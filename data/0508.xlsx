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uaweiMoveData\Users\鱼鱼ultra\Desktop\"/>
    </mc:Choice>
  </mc:AlternateContent>
  <xr:revisionPtr revIDLastSave="0" documentId="13_ncr:1_{4F2909F9-0F11-474C-8839-EED003606B6D}" xr6:coauthVersionLast="47" xr6:coauthVersionMax="47" xr10:uidLastSave="{00000000-0000-0000-0000-000000000000}"/>
  <bookViews>
    <workbookView xWindow="-110" yWindow="-110" windowWidth="25420" windowHeight="16300" activeTab="2" xr2:uid="{00000000-000D-0000-FFFF-FFFF00000000}"/>
  </bookViews>
  <sheets>
    <sheet name="涨停数量 " sheetId="26" r:id="rId1"/>
    <sheet name="涨停行业分布" sheetId="27" r:id="rId2"/>
    <sheet name="大盘小盘&amp;成长价值" sheetId="30" r:id="rId3"/>
    <sheet name="连板个股" sheetId="32" r:id="rId4"/>
    <sheet name="指数" sheetId="6" state="hidden" r:id="rId5"/>
    <sheet name="涨跌停" sheetId="9" state="hidden" r:id="rId6"/>
  </sheets>
  <externalReferences>
    <externalReference r:id="rId7"/>
    <externalReference r:id="rId8"/>
  </externalReferences>
  <definedNames>
    <definedName name="_xlnm._FilterDatabase" localSheetId="2" hidden="1">'大盘小盘&amp;成长价值'!$A$1:$J$360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W2" i="32" l="1"/>
  <c r="D969" i="26"/>
  <c r="ADV2" i="32"/>
  <c r="D968" i="26"/>
  <c r="ADU2" i="32"/>
  <c r="D967" i="26"/>
  <c r="ADT2" i="32"/>
  <c r="D966" i="26"/>
  <c r="ADS2" i="32"/>
  <c r="D965" i="26"/>
  <c r="ADR2" i="32"/>
  <c r="D964" i="26"/>
  <c r="ADQ2" i="32"/>
  <c r="D963" i="26"/>
  <c r="ADP2" i="32"/>
  <c r="D962" i="26"/>
  <c r="ADO2" i="32"/>
  <c r="D961" i="26"/>
  <c r="ADN2" i="32"/>
  <c r="D960" i="26"/>
  <c r="ADM2" i="32"/>
  <c r="D959" i="26"/>
  <c r="ADL2" i="32"/>
  <c r="ADK2" i="32"/>
  <c r="ADJ2" i="32"/>
  <c r="ADI2" i="32"/>
  <c r="ADH2" i="32"/>
  <c r="D953" i="26"/>
  <c r="D954" i="26"/>
  <c r="D955" i="26"/>
  <c r="D956" i="26"/>
  <c r="D957" i="26"/>
  <c r="D958" i="26"/>
  <c r="ADG2" i="32"/>
  <c r="ADF2" i="32"/>
  <c r="D952" i="26"/>
  <c r="ADE2" i="32"/>
  <c r="D951" i="26"/>
  <c r="ADD2" i="32"/>
  <c r="D950" i="26"/>
  <c r="ADC2" i="32"/>
  <c r="D949" i="26"/>
  <c r="ADB2" i="32"/>
  <c r="D948" i="26"/>
  <c r="ADA2" i="32"/>
  <c r="D947" i="26"/>
  <c r="ACZ2" i="32"/>
  <c r="D946" i="26"/>
  <c r="ACY2" i="32"/>
  <c r="D945" i="26"/>
  <c r="ACX2" i="32"/>
  <c r="D944" i="26"/>
  <c r="ACW2" i="32"/>
  <c r="D943" i="26"/>
  <c r="ACV2" i="32"/>
  <c r="D942" i="26"/>
  <c r="ACU2" i="32"/>
  <c r="D941" i="26"/>
  <c r="ACT2" i="32"/>
  <c r="D940" i="26"/>
  <c r="ACS2" i="32"/>
  <c r="D939" i="26"/>
  <c r="ACR2" i="32"/>
  <c r="D938" i="26"/>
  <c r="ACQ2" i="32"/>
  <c r="D937" i="26"/>
  <c r="ACP2" i="32"/>
  <c r="D936" i="26"/>
  <c r="D935" i="26"/>
  <c r="ACO2" i="32"/>
  <c r="ACN2" i="32"/>
  <c r="D934" i="26"/>
  <c r="ACM2" i="32"/>
  <c r="D933" i="26"/>
  <c r="ACL2" i="32"/>
  <c r="D932" i="26"/>
  <c r="ACK2" i="32"/>
  <c r="D931" i="26"/>
  <c r="ACJ2" i="32"/>
  <c r="D930" i="26"/>
  <c r="ACI2" i="32"/>
  <c r="D929" i="26"/>
  <c r="ACH2" i="32"/>
  <c r="D928" i="26"/>
  <c r="ACG2" i="32"/>
  <c r="D927" i="26"/>
  <c r="ACF2" i="32"/>
  <c r="D926" i="26"/>
  <c r="ACE2" i="32"/>
  <c r="D925" i="26"/>
  <c r="ACD2" i="32"/>
  <c r="D924" i="26"/>
  <c r="ACC2" i="32"/>
  <c r="D923" i="26"/>
  <c r="ACB2" i="32"/>
  <c r="D922" i="26"/>
  <c r="ACA2" i="32"/>
  <c r="D921" i="26"/>
  <c r="ABZ2" i="32"/>
  <c r="D920" i="26"/>
  <c r="ABY2" i="32"/>
  <c r="D919" i="26"/>
  <c r="ABX2" i="32"/>
  <c r="D918" i="26"/>
  <c r="ABW2" i="32"/>
  <c r="D917" i="26"/>
  <c r="ABV2" i="32"/>
  <c r="D916" i="26"/>
  <c r="ABU2" i="32"/>
  <c r="D915" i="26"/>
  <c r="ABT2" i="32"/>
  <c r="D914" i="26"/>
  <c r="ABS2" i="32"/>
  <c r="D913" i="26"/>
  <c r="ABR2" i="32"/>
  <c r="D912" i="26"/>
  <c r="ABQ2" i="32"/>
  <c r="D911" i="26"/>
  <c r="ABP2" i="32"/>
  <c r="D910" i="26"/>
  <c r="ABO2" i="32"/>
  <c r="D909" i="26"/>
  <c r="ABN2" i="32"/>
  <c r="D908" i="26"/>
  <c r="ABM2" i="32"/>
  <c r="D907" i="26"/>
  <c r="ABL2" i="32"/>
  <c r="D906" i="26"/>
  <c r="ABK2" i="32"/>
  <c r="D905" i="26"/>
  <c r="D904" i="26"/>
  <c r="ABJ2" i="32"/>
  <c r="ABI2" i="32"/>
  <c r="D903" i="26"/>
  <c r="ABH2" i="32"/>
  <c r="D902" i="26"/>
  <c r="ABG2" i="32"/>
  <c r="D901" i="26"/>
  <c r="ABF2" i="32"/>
  <c r="D900" i="26"/>
  <c r="ABE2" i="32"/>
  <c r="D899" i="26"/>
  <c r="ABD2" i="32"/>
  <c r="D898" i="26"/>
  <c r="ABC2" i="32"/>
  <c r="D897" i="26"/>
  <c r="ABB2" i="32"/>
  <c r="D896" i="26"/>
  <c r="D895" i="26"/>
  <c r="ABA2" i="32"/>
  <c r="AAY2" i="32"/>
  <c r="D894" i="26"/>
  <c r="AAZ2" i="32"/>
  <c r="D893" i="26"/>
  <c r="AAX2" i="32"/>
  <c r="D892" i="26"/>
  <c r="AAW2" i="32"/>
  <c r="D891" i="26"/>
  <c r="D890" i="26"/>
  <c r="AAV2" i="32"/>
  <c r="AAU2" i="32"/>
  <c r="D889" i="26"/>
  <c r="AAT2" i="32"/>
  <c r="D888" i="26"/>
  <c r="AAS2" i="32"/>
  <c r="D887" i="26"/>
  <c r="AAR2" i="32"/>
  <c r="D886" i="26"/>
  <c r="AAQ2" i="32"/>
  <c r="D885" i="26"/>
  <c r="AAP2" i="32"/>
  <c r="D884" i="26"/>
  <c r="D883" i="26"/>
  <c r="AAO2" i="32"/>
  <c r="AAN2" i="32"/>
  <c r="D882" i="26"/>
  <c r="AAM2" i="32"/>
  <c r="D881" i="26"/>
  <c r="AAL2" i="32"/>
  <c r="D880" i="26"/>
  <c r="AAK2" i="32"/>
  <c r="D879" i="26"/>
  <c r="AAJ2" i="32"/>
  <c r="D878" i="26"/>
  <c r="AAI2" i="32"/>
  <c r="D877" i="26"/>
  <c r="AAH2" i="32"/>
  <c r="D876" i="26"/>
  <c r="AAG2" i="32"/>
  <c r="D875" i="26"/>
  <c r="A1" i="32"/>
  <c r="A1" i="30"/>
  <c r="C11" i="27"/>
  <c r="C88" i="27"/>
  <c r="C64" i="27"/>
  <c r="C25" i="27"/>
  <c r="C87" i="27"/>
  <c r="C63" i="27"/>
  <c r="C34" i="27"/>
  <c r="C84" i="27"/>
  <c r="C18" i="27"/>
  <c r="C97" i="27"/>
  <c r="C116" i="27"/>
  <c r="C53" i="27"/>
  <c r="C15" i="27"/>
  <c r="C61" i="27"/>
  <c r="C2" i="27"/>
  <c r="C26" i="27"/>
  <c r="C58" i="27"/>
  <c r="C5" i="27"/>
  <c r="C39" i="27"/>
  <c r="C50" i="27"/>
  <c r="C66" i="27"/>
  <c r="C54" i="27"/>
  <c r="C44" i="27"/>
  <c r="C14" i="27"/>
  <c r="C9" i="27"/>
  <c r="C74" i="27"/>
  <c r="C16" i="27"/>
  <c r="C19" i="27"/>
  <c r="C73" i="27"/>
  <c r="C8" i="27"/>
  <c r="C17" i="27"/>
  <c r="C4" i="27"/>
  <c r="C98" i="27"/>
  <c r="C32" i="27"/>
  <c r="C12" i="27"/>
  <c r="C30" i="27"/>
  <c r="C6" i="27"/>
  <c r="C94" i="27"/>
  <c r="C7" i="27"/>
  <c r="C13" i="27"/>
  <c r="C38" i="27"/>
  <c r="C52" i="27"/>
  <c r="C3" i="27"/>
  <c r="C23" i="27"/>
  <c r="C35" i="27"/>
  <c r="C106" i="27"/>
  <c r="C77" i="27"/>
  <c r="C21" i="27"/>
  <c r="C104" i="27"/>
  <c r="C57" i="27"/>
  <c r="C70" i="27"/>
  <c r="C100" i="27"/>
  <c r="C36" i="27"/>
  <c r="C20" i="27"/>
  <c r="C69" i="27"/>
  <c r="C45" i="27"/>
  <c r="C10" i="27"/>
  <c r="C40" i="27"/>
  <c r="AAF2" i="32" l="1"/>
  <c r="D874" i="26"/>
  <c r="AAD2" i="32"/>
  <c r="AAE2" i="32"/>
  <c r="D873" i="26"/>
  <c r="D872" i="26"/>
  <c r="AAB2" i="32"/>
  <c r="AAC2" i="32"/>
  <c r="D871" i="26"/>
  <c r="D870" i="26"/>
  <c r="AAA2" i="32"/>
  <c r="D869" i="26"/>
  <c r="ZZ2" i="32"/>
  <c r="D868" i="26"/>
  <c r="ZY2" i="32"/>
  <c r="D867" i="26"/>
  <c r="ZW2" i="32"/>
  <c r="ZX2" i="32"/>
  <c r="D865" i="26"/>
  <c r="D866" i="26"/>
  <c r="ZV2" i="32"/>
  <c r="D864" i="26"/>
  <c r="ZU2" i="32"/>
  <c r="D863" i="26"/>
  <c r="ZT2" i="32"/>
  <c r="ZS2" i="32"/>
  <c r="ZR2" i="32"/>
  <c r="ZQ2" i="32"/>
  <c r="ZP2" i="32"/>
  <c r="ZO2" i="32"/>
  <c r="ZN2" i="32"/>
  <c r="ZM2" i="32"/>
  <c r="D856" i="26" l="1"/>
  <c r="D857" i="26"/>
  <c r="D858" i="26"/>
  <c r="D859" i="26"/>
  <c r="D860" i="26"/>
  <c r="D861" i="26"/>
  <c r="D862" i="26"/>
  <c r="D855" i="26"/>
  <c r="ZL2" i="32"/>
  <c r="D854" i="26"/>
  <c r="ZK2" i="32"/>
  <c r="D853" i="26"/>
  <c r="ZJ2" i="32"/>
  <c r="D852" i="26"/>
  <c r="ZI2" i="32"/>
  <c r="D851" i="26"/>
  <c r="ZH2" i="32"/>
  <c r="ZG2" i="32"/>
  <c r="D849" i="26"/>
  <c r="D850" i="26"/>
  <c r="ZF2" i="32"/>
  <c r="D848" i="26"/>
  <c r="D847" i="26"/>
  <c r="ZE2" i="32"/>
  <c r="D846" i="26"/>
  <c r="ZD2" i="32"/>
  <c r="ZC2" i="32"/>
  <c r="D845" i="26"/>
  <c r="ZB2" i="32"/>
  <c r="D844" i="26"/>
  <c r="ZA2" i="32"/>
  <c r="D843" i="26"/>
  <c r="D842" i="26"/>
  <c r="YZ2" i="32"/>
  <c r="YY2" i="32"/>
  <c r="D841" i="26"/>
  <c r="YX2" i="32"/>
  <c r="D840" i="26"/>
  <c r="YW2" i="32"/>
  <c r="D839" i="26"/>
  <c r="YV2" i="32"/>
  <c r="D838" i="26"/>
  <c r="YU2" i="32"/>
  <c r="D837" i="26"/>
  <c r="YT2" i="32"/>
  <c r="D836" i="26"/>
  <c r="YS2" i="32"/>
  <c r="D835" i="26"/>
  <c r="YR2" i="32"/>
  <c r="D834" i="26"/>
  <c r="YQ2" i="32"/>
  <c r="D833" i="26"/>
  <c r="YP2" i="32"/>
  <c r="D832" i="26"/>
  <c r="YO2" i="32"/>
  <c r="D831" i="26"/>
  <c r="YN2" i="32"/>
  <c r="D830" i="26"/>
  <c r="D829" i="26"/>
  <c r="YM2" i="32"/>
  <c r="YL2" i="32"/>
  <c r="D828" i="26"/>
  <c r="YK2" i="32"/>
  <c r="D827" i="26"/>
  <c r="D826" i="26"/>
  <c r="YJ2" i="32"/>
  <c r="YI2" i="32"/>
  <c r="D825" i="26"/>
  <c r="YH2" i="32"/>
  <c r="D824" i="26"/>
  <c r="YG2" i="32"/>
  <c r="D823" i="26"/>
  <c r="YF2" i="32"/>
  <c r="D822" i="26"/>
  <c r="YE2" i="32"/>
  <c r="D821" i="26"/>
  <c r="YD2" i="32"/>
  <c r="D820" i="26"/>
  <c r="YC2" i="32"/>
  <c r="D819" i="26"/>
  <c r="YB2" i="32" l="1"/>
  <c r="YA2" i="32"/>
  <c r="XZ2" i="32"/>
  <c r="XY2" i="32"/>
  <c r="XX2" i="32"/>
  <c r="XW2" i="32"/>
  <c r="XV2" i="32"/>
  <c r="XU2" i="32"/>
  <c r="XT2" i="32"/>
  <c r="XS2" i="32"/>
  <c r="XR2" i="32"/>
  <c r="XQ2" i="32"/>
  <c r="XP2" i="32"/>
  <c r="XO2" i="32"/>
  <c r="XN2" i="32"/>
  <c r="XM2" i="32"/>
  <c r="XL2" i="32"/>
  <c r="XK2" i="32"/>
  <c r="XJ2" i="32"/>
  <c r="XI2" i="32"/>
  <c r="XH2" i="32"/>
  <c r="XG2" i="32"/>
  <c r="XF2" i="32"/>
  <c r="XE2" i="32"/>
  <c r="XD2" i="32"/>
  <c r="XC2" i="32"/>
  <c r="XB2" i="32"/>
  <c r="XA2" i="32"/>
  <c r="WZ2" i="32"/>
  <c r="WY2" i="32"/>
  <c r="C402" i="27"/>
  <c r="C984" i="27"/>
  <c r="C768" i="27"/>
  <c r="C224" i="27"/>
  <c r="C347" i="27"/>
  <c r="C1038" i="27"/>
  <c r="C609" i="27"/>
  <c r="C1024" i="27"/>
  <c r="C198" i="27"/>
  <c r="C245" i="27"/>
  <c r="C841" i="27"/>
  <c r="C29" i="27"/>
  <c r="C919" i="27"/>
  <c r="C788" i="27"/>
  <c r="C1016" i="27"/>
  <c r="C987" i="27"/>
  <c r="C221" i="27"/>
  <c r="C416" i="27"/>
  <c r="C249" i="27"/>
  <c r="C186" i="27"/>
  <c r="C702" i="27"/>
  <c r="C396" i="27"/>
  <c r="C946" i="27"/>
  <c r="C101" i="27"/>
  <c r="C135" i="27"/>
  <c r="C326" i="27"/>
  <c r="C254" i="27"/>
  <c r="C860" i="27"/>
  <c r="C986" i="27"/>
  <c r="C999" i="27"/>
  <c r="C67" i="27"/>
  <c r="C400" i="27"/>
  <c r="C950" i="27"/>
  <c r="C78" i="27"/>
  <c r="C424" i="27"/>
  <c r="C421" i="27"/>
  <c r="C692" i="27"/>
  <c r="C589" i="27"/>
  <c r="C884" i="27"/>
  <c r="C714" i="27"/>
  <c r="C146" i="27"/>
  <c r="C487" i="27"/>
  <c r="C936" i="27"/>
  <c r="C247" i="27"/>
  <c r="C906" i="27"/>
  <c r="C171" i="27"/>
  <c r="C211" i="27"/>
  <c r="C954" i="27"/>
  <c r="C811" i="27"/>
  <c r="C289" i="27"/>
  <c r="C654" i="27"/>
  <c r="C761" i="27"/>
  <c r="C459" i="27"/>
  <c r="C628" i="27"/>
  <c r="C497" i="27"/>
  <c r="C600" i="27"/>
  <c r="C397" i="27"/>
  <c r="C625" i="27"/>
  <c r="C310" i="27"/>
  <c r="C883" i="27"/>
  <c r="C153" i="27"/>
  <c r="C446" i="27"/>
  <c r="C120" i="27"/>
  <c r="C355" i="27"/>
  <c r="C304" i="27"/>
  <c r="C621" i="27"/>
  <c r="C382" i="27"/>
  <c r="C325" i="27"/>
  <c r="C351" i="27"/>
  <c r="C587" i="27"/>
  <c r="C162" i="27"/>
  <c r="C541" i="27"/>
  <c r="C745" i="27"/>
  <c r="C1015" i="27"/>
  <c r="C828" i="27"/>
  <c r="C318" i="27"/>
  <c r="C303" i="27"/>
  <c r="C270" i="27"/>
  <c r="C1064" i="27"/>
  <c r="C197" i="27"/>
  <c r="C479" i="27"/>
  <c r="C909" i="27"/>
  <c r="C428" i="27"/>
  <c r="C1057" i="27"/>
  <c r="C509" i="27"/>
  <c r="C401" i="27"/>
  <c r="C880" i="27"/>
  <c r="C248" i="27"/>
  <c r="C890" i="27"/>
  <c r="C156" i="27"/>
  <c r="C824" i="27"/>
  <c r="C854" i="27"/>
  <c r="C174" i="27"/>
  <c r="C59" i="27"/>
  <c r="C93" i="27"/>
  <c r="C202" i="27"/>
  <c r="C512" i="27"/>
  <c r="C672" i="27"/>
  <c r="C1021" i="27"/>
  <c r="C226" i="27"/>
  <c r="C758" i="27"/>
  <c r="C709" i="27"/>
  <c r="C72" i="27"/>
  <c r="C734" i="27"/>
  <c r="C233" i="27"/>
  <c r="C704" i="27"/>
  <c r="C637" i="27"/>
  <c r="C960" i="27"/>
  <c r="C277" i="27"/>
  <c r="C744" i="27"/>
  <c r="C160" i="27"/>
  <c r="C1002" i="27"/>
  <c r="C471" i="27"/>
  <c r="C409" i="27"/>
  <c r="C1004" i="27"/>
  <c r="C119" i="27"/>
  <c r="C655" i="27"/>
  <c r="C985" i="27"/>
  <c r="C316" i="27"/>
  <c r="C102" i="27"/>
  <c r="C713" i="27"/>
  <c r="C732" i="27"/>
  <c r="C853" i="27"/>
  <c r="C978" i="27"/>
  <c r="C1060" i="27"/>
  <c r="C196" i="27"/>
  <c r="C851" i="27"/>
  <c r="C522" i="27"/>
  <c r="C695" i="27"/>
  <c r="C276" i="27"/>
  <c r="C930" i="27"/>
  <c r="C771" i="27"/>
  <c r="C970" i="27"/>
  <c r="C607" i="27"/>
  <c r="C191" i="27"/>
  <c r="C179" i="27"/>
  <c r="C92" i="27"/>
  <c r="C623" i="27"/>
  <c r="C977" i="27"/>
  <c r="C271" i="27"/>
  <c r="C959" i="27"/>
  <c r="C232" i="27"/>
  <c r="C209" i="27"/>
  <c r="C85" i="27"/>
  <c r="C790" i="27"/>
  <c r="C432" i="27"/>
  <c r="C385" i="27"/>
  <c r="C548" i="27"/>
  <c r="C147" i="27"/>
  <c r="C802" i="27"/>
  <c r="C259" i="27"/>
  <c r="C545" i="27"/>
  <c r="C904" i="27"/>
  <c r="C671" i="27"/>
  <c r="C110" i="27"/>
  <c r="C107" i="27"/>
  <c r="C322" i="27"/>
  <c r="C766" i="27"/>
  <c r="C816" i="27"/>
  <c r="C646" i="27"/>
  <c r="C280" i="27"/>
  <c r="C422" i="27"/>
  <c r="C770" i="27"/>
  <c r="C217" i="27"/>
  <c r="C866" i="27"/>
  <c r="C393" i="27"/>
  <c r="C837" i="27"/>
  <c r="C943" i="27"/>
  <c r="C139" i="27"/>
  <c r="C694" i="27"/>
  <c r="C358" i="27"/>
  <c r="C305" i="27"/>
  <c r="C696" i="27"/>
  <c r="C356" i="27"/>
  <c r="C620" i="27"/>
  <c r="C565" i="27"/>
  <c r="C124" i="27"/>
  <c r="C804" i="27"/>
  <c r="C295" i="27"/>
  <c r="C142" i="27"/>
  <c r="C407" i="27"/>
  <c r="C588" i="27"/>
  <c r="C580" i="27"/>
  <c r="C223" i="27"/>
  <c r="C49" i="27"/>
  <c r="C406" i="27"/>
  <c r="C514" i="27"/>
  <c r="C859" i="27"/>
  <c r="C170" i="27"/>
  <c r="C472" i="27"/>
  <c r="C582" i="27"/>
  <c r="C1056" i="27"/>
  <c r="C214" i="27"/>
  <c r="C335" i="27"/>
  <c r="C665" i="27"/>
  <c r="C726" i="27"/>
  <c r="C822" i="27"/>
  <c r="C158" i="27"/>
  <c r="C253" i="27"/>
  <c r="C657" i="27"/>
  <c r="C762" i="27"/>
  <c r="C697" i="27"/>
  <c r="C686" i="27"/>
  <c r="C122" i="27"/>
  <c r="C669" i="27"/>
  <c r="C352" i="27"/>
  <c r="C28" i="27"/>
  <c r="C282" i="27"/>
  <c r="C126" i="27"/>
  <c r="C958" i="27"/>
  <c r="C321" i="27"/>
  <c r="C616" i="27"/>
  <c r="C935" i="27"/>
  <c r="C844" i="27"/>
  <c r="C362" i="27"/>
  <c r="C279" i="27"/>
  <c r="C648" i="27"/>
  <c r="C604" i="27"/>
  <c r="C480" i="27"/>
  <c r="C1000" i="27"/>
  <c r="C691" i="27"/>
  <c r="C942" i="27"/>
  <c r="C980" i="27"/>
  <c r="C812" i="27"/>
  <c r="C469" i="27"/>
  <c r="C333" i="27"/>
  <c r="C848" i="27"/>
  <c r="C974" i="27"/>
  <c r="C757" i="27"/>
  <c r="C327" i="27"/>
  <c r="C1031" i="27"/>
  <c r="C833" i="27"/>
  <c r="C535" i="27"/>
  <c r="C344" i="27"/>
  <c r="C789" i="27"/>
  <c r="C740" i="27"/>
  <c r="C188" i="27"/>
  <c r="C972" i="27"/>
  <c r="C183" i="27"/>
  <c r="C395" i="27"/>
  <c r="C666" i="27"/>
  <c r="C656" i="27"/>
  <c r="C664" i="27"/>
  <c r="C46" i="27"/>
  <c r="C159" i="27"/>
  <c r="C285" i="27"/>
  <c r="C882" i="27"/>
  <c r="C360" i="27"/>
  <c r="C961" i="27"/>
  <c r="C581" i="27"/>
  <c r="C573" i="27"/>
  <c r="C201" i="27"/>
  <c r="C42" i="27"/>
  <c r="C649" i="27"/>
  <c r="C1065" i="27"/>
  <c r="C785" i="27"/>
  <c r="C204" i="27"/>
  <c r="C1045" i="27"/>
  <c r="C117" i="27"/>
  <c r="C426" i="27"/>
  <c r="C515" i="27"/>
  <c r="C60" i="27"/>
  <c r="C731" i="27"/>
  <c r="C464" i="27"/>
  <c r="C458" i="27"/>
  <c r="C453" i="27"/>
  <c r="C150" i="27"/>
  <c r="C1075" i="27"/>
  <c r="C112" i="27"/>
  <c r="C990" i="27"/>
  <c r="C173" i="27"/>
  <c r="C190" i="27"/>
  <c r="C262" i="27"/>
  <c r="C624" i="27"/>
  <c r="C767" i="27"/>
  <c r="C826" i="27"/>
  <c r="C383" i="27"/>
  <c r="C33" i="27"/>
  <c r="C319" i="27"/>
  <c r="C956" i="27"/>
  <c r="C754" i="27"/>
  <c r="C375" i="27"/>
  <c r="C240" i="27"/>
  <c r="C275" i="27"/>
  <c r="C891" i="27"/>
  <c r="C430" i="27"/>
  <c r="C934" i="27"/>
  <c r="C775" i="27"/>
  <c r="C457" i="27"/>
  <c r="C134" i="27"/>
  <c r="C969" i="27"/>
  <c r="C439" i="27"/>
  <c r="C384" i="27"/>
  <c r="C442" i="27"/>
  <c r="C417" i="27"/>
  <c r="C109" i="27"/>
  <c r="C145" i="27"/>
  <c r="C519" i="27"/>
  <c r="C749" i="27"/>
  <c r="C242" i="27"/>
  <c r="C474" i="27"/>
  <c r="C937" i="27"/>
  <c r="C787" i="27"/>
  <c r="C547" i="27"/>
  <c r="C653" i="27"/>
  <c r="C37" i="27"/>
  <c r="C466" i="27"/>
  <c r="C606" i="27"/>
  <c r="C207" i="27"/>
  <c r="C359" i="27"/>
  <c r="C331" i="27"/>
  <c r="C903" i="27"/>
  <c r="C750" i="27"/>
  <c r="C346" i="27"/>
  <c r="C786" i="27"/>
  <c r="C317" i="27"/>
  <c r="C574" i="27"/>
  <c r="C1067" i="27"/>
  <c r="C921" i="27"/>
  <c r="C716" i="27"/>
  <c r="C1040" i="27"/>
  <c r="C836" i="27"/>
  <c r="C857" i="27"/>
  <c r="C924" i="27"/>
  <c r="C973" i="27"/>
  <c r="C399" i="27"/>
  <c r="C1001" i="27"/>
  <c r="C835" i="27"/>
  <c r="C157" i="27"/>
  <c r="C81" i="27"/>
  <c r="C570" i="27"/>
  <c r="C315" i="27"/>
  <c r="C636" i="27"/>
  <c r="C556" i="27"/>
  <c r="C169" i="27"/>
  <c r="C176" i="27"/>
  <c r="C996" i="27"/>
  <c r="C1046" i="27"/>
  <c r="C932" i="27"/>
  <c r="C667" i="27"/>
  <c r="C387" i="27"/>
  <c r="C908" i="27"/>
  <c r="C559" i="27"/>
  <c r="C96" i="27"/>
  <c r="C727" i="27"/>
  <c r="C953" i="27"/>
  <c r="C861" i="27"/>
  <c r="C957" i="27"/>
  <c r="C842" i="27"/>
  <c r="C501" i="27"/>
  <c r="C689" i="27"/>
  <c r="C1047" i="27"/>
  <c r="C719" i="27"/>
  <c r="C123" i="27"/>
  <c r="C423" i="27"/>
  <c r="C1061" i="27"/>
  <c r="C313" i="27"/>
  <c r="C829" i="27"/>
  <c r="C149" i="27"/>
  <c r="C330" i="27"/>
  <c r="C568" i="27"/>
  <c r="C1041" i="27"/>
  <c r="C779" i="27"/>
  <c r="C148" i="27"/>
  <c r="C586" i="27"/>
  <c r="C538" i="27"/>
  <c r="C701" i="27"/>
  <c r="C863" i="27"/>
  <c r="C307" i="27"/>
  <c r="C181" i="27"/>
  <c r="C178" i="27"/>
  <c r="C888" i="27"/>
  <c r="C272" i="27"/>
  <c r="C1074" i="27"/>
  <c r="C328" i="27"/>
  <c r="C99" i="27"/>
  <c r="C783" i="27"/>
  <c r="C712" i="27"/>
  <c r="C753" i="27"/>
  <c r="C449" i="27"/>
  <c r="C670" i="27"/>
  <c r="C263" i="27"/>
  <c r="C290" i="27"/>
  <c r="C820" i="27"/>
  <c r="C630" i="27"/>
  <c r="C575" i="27"/>
  <c r="C815" i="27"/>
  <c r="C915" i="27"/>
  <c r="C528" i="27"/>
  <c r="C210" i="27"/>
  <c r="C993" i="27"/>
  <c r="C235" i="27"/>
  <c r="C138" i="27"/>
  <c r="C567" i="27"/>
  <c r="C350" i="27"/>
  <c r="C175" i="27"/>
  <c r="C391" i="27"/>
  <c r="C108" i="27"/>
  <c r="C455" i="27"/>
  <c r="C698" i="27"/>
  <c r="C595" i="27"/>
  <c r="C644" i="27"/>
  <c r="C821" i="27"/>
  <c r="C579" i="27"/>
  <c r="C234" i="27"/>
  <c r="C337" i="27"/>
  <c r="C1023" i="27"/>
  <c r="C846" i="27"/>
  <c r="C476" i="27"/>
  <c r="C681" i="27"/>
  <c r="C1054" i="27"/>
  <c r="C364" i="27"/>
  <c r="C495" i="27"/>
  <c r="C585" i="27"/>
  <c r="C435" i="27"/>
  <c r="C782" i="27"/>
  <c r="C918" i="27"/>
  <c r="C839" i="27"/>
  <c r="C255" i="27"/>
  <c r="C291" i="27"/>
  <c r="C887" i="27"/>
  <c r="C1063" i="27"/>
  <c r="C444" i="27"/>
  <c r="C377" i="27"/>
  <c r="C552" i="27"/>
  <c r="C302" i="27"/>
  <c r="C564" i="27"/>
  <c r="C90" i="27"/>
  <c r="C685" i="27"/>
  <c r="C772" i="27"/>
  <c r="C257" i="27"/>
  <c r="C130" i="27"/>
  <c r="C795" i="27"/>
  <c r="C460" i="27"/>
  <c r="C687" i="27"/>
  <c r="C905" i="27"/>
  <c r="C536" i="27"/>
  <c r="C516" i="27"/>
  <c r="C467" i="27"/>
  <c r="C542" i="27"/>
  <c r="C314" i="27"/>
  <c r="C203" i="27"/>
  <c r="C769" i="27"/>
  <c r="C1062" i="27"/>
  <c r="C505" i="27"/>
  <c r="C343" i="27"/>
  <c r="C336" i="27"/>
  <c r="C894" i="27"/>
  <c r="C855" i="27"/>
  <c r="C710" i="27"/>
  <c r="C143" i="27"/>
  <c r="C717" i="27"/>
  <c r="C388" i="27"/>
  <c r="C339" i="27"/>
  <c r="C951" i="27"/>
  <c r="C367" i="27"/>
  <c r="C752" i="27"/>
  <c r="C911" i="27"/>
  <c r="C899" i="27"/>
  <c r="C551" i="27"/>
  <c r="C818" i="27"/>
  <c r="C381" i="27"/>
  <c r="C349" i="27"/>
  <c r="C988" i="27"/>
  <c r="C798" i="27"/>
  <c r="C215" i="27"/>
  <c r="C631" i="27"/>
  <c r="C200" i="27"/>
  <c r="C1070" i="27"/>
  <c r="C722" i="27"/>
  <c r="C492" i="27"/>
  <c r="C933" i="27"/>
  <c r="C874" i="27"/>
  <c r="C900" i="27"/>
  <c r="C858" i="27"/>
  <c r="C531" i="27"/>
  <c r="C817" i="27"/>
  <c r="C619" i="27"/>
  <c r="C434" i="27"/>
  <c r="C79" i="27"/>
  <c r="C241" i="27"/>
  <c r="C412" i="27"/>
  <c r="C51" i="27"/>
  <c r="C379" i="27"/>
  <c r="C527" i="27"/>
  <c r="C1017" i="27"/>
  <c r="C278" i="27"/>
  <c r="C611" i="27"/>
  <c r="C27" i="27"/>
  <c r="C576" i="27"/>
  <c r="C118" i="27"/>
  <c r="C199" i="27"/>
  <c r="C1055" i="27"/>
  <c r="C237" i="27"/>
  <c r="C481" i="27"/>
  <c r="C1035" i="27"/>
  <c r="C324" i="27"/>
  <c r="C803" i="27"/>
  <c r="C265" i="27"/>
  <c r="C447" i="27"/>
  <c r="C491" i="27"/>
  <c r="C468" i="27"/>
  <c r="C643" i="27"/>
  <c r="C594" i="27"/>
  <c r="C711" i="27"/>
  <c r="C228" i="27"/>
  <c r="C470" i="27"/>
  <c r="C760" i="27"/>
  <c r="C627" i="27"/>
  <c r="C477" i="27"/>
  <c r="C997" i="27"/>
  <c r="C867" i="27"/>
  <c r="C944" i="27"/>
  <c r="C496" i="27"/>
  <c r="C1006" i="27"/>
  <c r="C493" i="27"/>
  <c r="C641" i="27"/>
  <c r="C361" i="27"/>
  <c r="C499" i="27"/>
  <c r="C733" i="27"/>
  <c r="C229" i="27"/>
  <c r="C878" i="27"/>
  <c r="C75" i="27"/>
  <c r="C730" i="27"/>
  <c r="C523" i="27"/>
  <c r="C334" i="27"/>
  <c r="C895" i="27"/>
  <c r="C312" i="27"/>
  <c r="C154" i="27"/>
  <c r="C144" i="27"/>
  <c r="C293" i="27"/>
  <c r="C208" i="27"/>
  <c r="C113" i="27"/>
  <c r="C43" i="27"/>
  <c r="C639" i="27"/>
  <c r="C489" i="27"/>
  <c r="C294" i="27"/>
  <c r="C876" i="27"/>
  <c r="C831" i="27"/>
  <c r="C427" i="27"/>
  <c r="C1034" i="27"/>
  <c r="C48" i="27"/>
  <c r="C363" i="27"/>
  <c r="C503" i="27"/>
  <c r="C1008" i="27"/>
  <c r="C1009" i="27"/>
  <c r="C518" i="27"/>
  <c r="C167" i="27"/>
  <c r="C418" i="27"/>
  <c r="C886" i="27"/>
  <c r="C410" i="27"/>
  <c r="C870" i="27"/>
  <c r="C572" i="27"/>
  <c r="C737" i="27"/>
  <c r="C133" i="27"/>
  <c r="C1022" i="27"/>
  <c r="C661" i="27"/>
  <c r="C231" i="27"/>
  <c r="C941" i="27"/>
  <c r="C638" i="27"/>
  <c r="C647" i="27"/>
  <c r="C414" i="27"/>
  <c r="C172" i="27"/>
  <c r="C1044" i="27"/>
  <c r="C306" i="27"/>
  <c r="C1053" i="27"/>
  <c r="C83" i="27"/>
  <c r="C1050" i="27"/>
  <c r="C380" i="27"/>
  <c r="C502" i="27"/>
  <c r="C1028" i="27"/>
  <c r="C365" i="27"/>
  <c r="C967" i="27"/>
  <c r="C494" i="27"/>
  <c r="C193" i="27"/>
  <c r="C629" i="27"/>
  <c r="C431" i="27"/>
  <c r="C764" i="27"/>
  <c r="C807" i="27"/>
  <c r="C1030" i="27"/>
  <c r="C373" i="27"/>
  <c r="C885" i="27"/>
  <c r="C560" i="27"/>
  <c r="C332" i="27"/>
  <c r="C823" i="27"/>
  <c r="C577" i="27"/>
  <c r="C881" i="27"/>
  <c r="C189" i="27"/>
  <c r="C569" i="27"/>
  <c r="C1005" i="27"/>
  <c r="C955" i="27"/>
  <c r="C662" i="27"/>
  <c r="C1072" i="27"/>
  <c r="C889" i="27"/>
  <c r="C809" i="27"/>
  <c r="C819" i="27"/>
  <c r="C929" i="27"/>
  <c r="C230" i="27"/>
  <c r="C668" i="27"/>
  <c r="C320" i="27"/>
  <c r="C445" i="27"/>
  <c r="C238" i="27"/>
  <c r="C55" i="27"/>
  <c r="C613" i="27"/>
  <c r="C392" i="27"/>
  <c r="C239" i="27"/>
  <c r="C475" i="27"/>
  <c r="C260" i="27"/>
  <c r="C329" i="27"/>
  <c r="C433" i="27"/>
  <c r="C879" i="27"/>
  <c r="C736" i="27"/>
  <c r="C1019" i="27"/>
  <c r="C137" i="27"/>
  <c r="C965" i="27"/>
  <c r="C76" i="27"/>
  <c r="C540" i="27"/>
  <c r="C371" i="27"/>
  <c r="C411" i="27"/>
  <c r="C688" i="27"/>
  <c r="C898" i="27"/>
  <c r="C1037" i="27"/>
  <c r="C603" i="27"/>
  <c r="C814" i="27"/>
  <c r="C1068" i="27"/>
  <c r="C864" i="27"/>
  <c r="C599" i="27"/>
  <c r="C1012" i="27"/>
  <c r="C1036" i="27"/>
  <c r="C592" i="27"/>
  <c r="C797" i="27"/>
  <c r="C308" i="27"/>
  <c r="C1010" i="27"/>
  <c r="C673" i="27"/>
  <c r="C920" i="27"/>
  <c r="C511" i="27"/>
  <c r="C1007" i="27"/>
  <c r="C177" i="27"/>
  <c r="C121" i="27"/>
  <c r="C281" i="27"/>
  <c r="C794" i="27"/>
  <c r="C429" i="27"/>
  <c r="C246" i="27"/>
  <c r="C544" i="27"/>
  <c r="C425" i="27"/>
  <c r="C741" i="27"/>
  <c r="C751" i="27"/>
  <c r="C830" i="27"/>
  <c r="C706" i="27"/>
  <c r="C800" i="27"/>
  <c r="C680" i="27"/>
  <c r="C525" i="27"/>
  <c r="C161" i="27"/>
  <c r="C663" i="27"/>
  <c r="C128" i="27"/>
  <c r="C348" i="27"/>
  <c r="C755" i="27"/>
  <c r="C141" i="27"/>
  <c r="C473" i="27"/>
  <c r="C532" i="27"/>
  <c r="C526" i="27"/>
  <c r="C892" i="27"/>
  <c r="C982" i="27"/>
  <c r="C86" i="27"/>
  <c r="C342" i="27"/>
  <c r="C227" i="27"/>
  <c r="C524" i="27"/>
  <c r="C902" i="27"/>
  <c r="C922" i="27"/>
  <c r="C578" i="27"/>
  <c r="C219" i="27"/>
  <c r="C1039" i="27"/>
  <c r="C640" i="27"/>
  <c r="C125" i="27"/>
  <c r="C729" i="27"/>
  <c r="C266" i="27"/>
  <c r="C374" i="27"/>
  <c r="C699" i="27"/>
  <c r="C463" i="27"/>
  <c r="C438" i="27"/>
  <c r="C759" i="27"/>
  <c r="C1033" i="27"/>
  <c r="C808" i="27"/>
  <c r="C676" i="27"/>
  <c r="C436" i="27"/>
  <c r="C601" i="27"/>
  <c r="C152" i="27"/>
  <c r="C478" i="27"/>
  <c r="C504" i="27"/>
  <c r="C799" i="27"/>
  <c r="C776" i="27"/>
  <c r="C420" i="27"/>
  <c r="C136" i="27"/>
  <c r="C533" i="27"/>
  <c r="C553" i="27"/>
  <c r="C256" i="27"/>
  <c r="C488" i="27"/>
  <c r="C1051" i="27"/>
  <c r="C369" i="27"/>
  <c r="C928" i="27"/>
  <c r="C784" i="27"/>
  <c r="C1011" i="27"/>
  <c r="C415" i="27"/>
  <c r="C80" i="27"/>
  <c r="C875" i="27"/>
  <c r="C163" i="27"/>
  <c r="C968" i="27"/>
  <c r="C517" i="27"/>
  <c r="C743" i="27"/>
  <c r="C690" i="27"/>
  <c r="C1003" i="27"/>
  <c r="C56" i="27"/>
  <c r="C520" i="27"/>
  <c r="C792" i="27"/>
  <c r="C913" i="27"/>
  <c r="C739" i="27"/>
  <c r="C873" i="27"/>
  <c r="C856" i="27"/>
  <c r="C976" i="27"/>
  <c r="C675" i="27"/>
  <c r="C498" i="27"/>
  <c r="C868" i="27"/>
  <c r="C1052" i="27"/>
  <c r="C539" i="27"/>
  <c r="C677" i="27"/>
  <c r="C642" i="27"/>
  <c r="C914" i="27"/>
  <c r="C192" i="27"/>
  <c r="C252" i="27"/>
  <c r="C31" i="27"/>
  <c r="C571" i="27"/>
  <c r="C354" i="27"/>
  <c r="C948" i="27"/>
  <c r="C862" i="27"/>
  <c r="C615" i="27"/>
  <c r="C273" i="27"/>
  <c r="C155" i="27"/>
  <c r="C707" i="27"/>
  <c r="C563" i="27"/>
  <c r="C791" i="27"/>
  <c r="C964" i="27"/>
  <c r="C549" i="27"/>
  <c r="C590" i="27"/>
  <c r="C441" i="27"/>
  <c r="C998" i="27"/>
  <c r="C261" i="27"/>
  <c r="C537" i="27"/>
  <c r="C461" i="27"/>
  <c r="C309" i="27"/>
  <c r="C543" i="27"/>
  <c r="C24" i="27"/>
  <c r="C618" i="27"/>
  <c r="C683" i="27"/>
  <c r="C597" i="27"/>
  <c r="C345" i="27"/>
  <c r="C194" i="27"/>
  <c r="C443" i="27"/>
  <c r="C725" i="27"/>
  <c r="C693" i="27"/>
  <c r="C583" i="27"/>
  <c r="C847" i="27"/>
  <c r="C482" i="27"/>
  <c r="C650" i="27"/>
  <c r="C182" i="27"/>
  <c r="C298" i="27"/>
  <c r="C778" i="27"/>
  <c r="C164" i="27"/>
  <c r="C507" i="27"/>
  <c r="C366" i="27"/>
  <c r="C566" i="27"/>
  <c r="C1026" i="27"/>
  <c r="C299" i="27"/>
  <c r="C720" i="27"/>
  <c r="C981" i="27"/>
  <c r="C975" i="27"/>
  <c r="C82" i="27"/>
  <c r="C216" i="27"/>
  <c r="C561" i="27"/>
  <c r="C140" i="27"/>
  <c r="C562" i="27"/>
  <c r="C269" i="27"/>
  <c r="C896" i="27"/>
  <c r="C605" i="27"/>
  <c r="C747" i="27"/>
  <c r="C297" i="27"/>
  <c r="C763" i="27"/>
  <c r="C728" i="27"/>
  <c r="C1027" i="27"/>
  <c r="C288" i="27"/>
  <c r="C773" i="27"/>
  <c r="C258" i="27"/>
  <c r="C838" i="27"/>
  <c r="C1073" i="27"/>
  <c r="C832" i="27"/>
  <c r="C834" i="27"/>
  <c r="C1032" i="27"/>
  <c r="C850" i="27"/>
  <c r="C213" i="27"/>
  <c r="C71" i="27"/>
  <c r="C22" i="27"/>
  <c r="C508" i="27"/>
  <c r="C910" i="27"/>
  <c r="C871" i="27"/>
  <c r="C635" i="27"/>
  <c r="C849" i="27"/>
  <c r="C923" i="27"/>
  <c r="C738" i="27"/>
  <c r="C372" i="27"/>
  <c r="C907" i="27"/>
  <c r="C454" i="27"/>
  <c r="C678" i="27"/>
  <c r="C994" i="27"/>
  <c r="C41" i="27"/>
  <c r="C485" i="27"/>
  <c r="C353" i="27"/>
  <c r="C222" i="27"/>
  <c r="C963" i="27"/>
  <c r="C413" i="27"/>
  <c r="C180" i="27"/>
  <c r="C777" i="27"/>
  <c r="C901" i="27"/>
  <c r="C165" i="27"/>
  <c r="C244" i="27"/>
  <c r="C962" i="27"/>
  <c r="C486" i="27"/>
  <c r="C840" i="27"/>
  <c r="C806" i="27"/>
  <c r="C598" i="27"/>
  <c r="C748" i="27"/>
  <c r="C151" i="27"/>
  <c r="C394" i="27"/>
  <c r="C801" i="27"/>
  <c r="C218" i="27"/>
  <c r="C68" i="27"/>
  <c r="C952" i="27"/>
  <c r="C300" i="27"/>
  <c r="C187" i="27"/>
  <c r="C872" i="27"/>
  <c r="C1042" i="27"/>
  <c r="C405" i="27"/>
  <c r="C1020" i="27"/>
  <c r="C651" i="27"/>
  <c r="C700" i="27"/>
  <c r="C718" i="27"/>
  <c r="C550" i="27"/>
  <c r="C500" i="27"/>
  <c r="C1069" i="27"/>
  <c r="C376" i="27"/>
  <c r="C916" i="27"/>
  <c r="C925" i="27"/>
  <c r="C251" i="27"/>
  <c r="C95" i="27"/>
  <c r="C756" i="27"/>
  <c r="C529" i="27"/>
  <c r="C660" i="27"/>
  <c r="C869" i="27"/>
  <c r="C225" i="27"/>
  <c r="C132" i="27"/>
  <c r="C510" i="27"/>
  <c r="C311" i="27"/>
  <c r="C632" i="27"/>
  <c r="C65" i="27"/>
  <c r="C243" i="27"/>
  <c r="C115" i="27"/>
  <c r="C341" i="27"/>
  <c r="C602" i="27"/>
  <c r="C805" i="27"/>
  <c r="C940" i="27"/>
  <c r="C62" i="27"/>
  <c r="C114" i="27"/>
  <c r="C284" i="27"/>
  <c r="C1049" i="27"/>
  <c r="C610" i="27"/>
  <c r="C127" i="27"/>
  <c r="C286" i="27"/>
  <c r="C742" i="27"/>
  <c r="C534" i="27"/>
  <c r="C843" i="27"/>
  <c r="C338" i="27"/>
  <c r="C357" i="27"/>
  <c r="C912" i="27"/>
  <c r="C283" i="27"/>
  <c r="C765" i="27"/>
  <c r="C781" i="27"/>
  <c r="C682" i="27"/>
  <c r="C1025" i="27"/>
  <c r="C47" i="27"/>
  <c r="C705" i="27"/>
  <c r="C166" i="27"/>
  <c r="C398" i="27"/>
  <c r="C927" i="27"/>
  <c r="C206" i="27"/>
  <c r="C591" i="27"/>
  <c r="C557" i="27"/>
  <c r="C612" i="27"/>
  <c r="C370" i="27"/>
  <c r="C845" i="27"/>
  <c r="C708" i="27"/>
  <c r="C287" i="27"/>
  <c r="C462" i="27"/>
  <c r="C554" i="27"/>
  <c r="C404" i="27"/>
  <c r="C989" i="27"/>
  <c r="C296" i="27"/>
  <c r="C793" i="27"/>
  <c r="C939" i="27"/>
  <c r="C674" i="27"/>
  <c r="C827" i="27"/>
  <c r="C448" i="27"/>
  <c r="C301" i="27"/>
  <c r="C983" i="27"/>
  <c r="C440" i="27"/>
  <c r="C735" i="27"/>
  <c r="C268" i="27"/>
  <c r="C614" i="27"/>
  <c r="C530" i="27"/>
  <c r="C584" i="27"/>
  <c r="C945" i="27"/>
  <c r="C403" i="27"/>
  <c r="C995" i="27"/>
  <c r="C131" i="27"/>
  <c r="C596" i="27"/>
  <c r="C992" i="27"/>
  <c r="C195" i="27"/>
  <c r="C938" i="27"/>
  <c r="C506" i="27"/>
  <c r="C129" i="27"/>
  <c r="C220" i="27"/>
  <c r="C184" i="27"/>
  <c r="C658" i="27"/>
  <c r="C340" i="27"/>
  <c r="C378" i="27"/>
  <c r="C168" i="27"/>
  <c r="C437" i="27"/>
  <c r="C852" i="27"/>
  <c r="C389" i="27"/>
  <c r="C185" i="27"/>
  <c r="C721" i="27"/>
  <c r="C1014" i="27"/>
  <c r="C323" i="27"/>
  <c r="C633" i="27"/>
  <c r="C390" i="27"/>
  <c r="C264" i="27"/>
  <c r="C947" i="27"/>
  <c r="C465" i="27"/>
  <c r="C893" i="27"/>
  <c r="C1029" i="27"/>
  <c r="C971" i="27"/>
  <c r="C813" i="27"/>
  <c r="C1066" i="27"/>
  <c r="C292" i="27"/>
  <c r="C634" i="27"/>
  <c r="C368" i="27"/>
  <c r="C825" i="27"/>
  <c r="C419" i="27"/>
  <c r="C966" i="27"/>
  <c r="C236" i="27"/>
  <c r="C456" i="27"/>
  <c r="C917" i="27"/>
  <c r="C408" i="27"/>
  <c r="C877" i="27"/>
  <c r="C679" i="27"/>
  <c r="C250" i="27"/>
  <c r="C451" i="27"/>
  <c r="C897" i="27"/>
  <c r="C105" i="27"/>
  <c r="C484" i="27"/>
  <c r="C949" i="27"/>
  <c r="C746" i="27"/>
  <c r="C1013" i="27"/>
  <c r="C452" i="27"/>
  <c r="C386" i="27"/>
  <c r="C558" i="27"/>
  <c r="C1071" i="27"/>
  <c r="C931" i="27"/>
  <c r="C483" i="27"/>
  <c r="C652" i="27"/>
  <c r="C450" i="27"/>
  <c r="C645" i="27"/>
  <c r="C513" i="27"/>
  <c r="C724" i="27"/>
  <c r="C111" i="27"/>
  <c r="C723" i="27"/>
  <c r="C617" i="27"/>
  <c r="C546" i="27"/>
  <c r="C89" i="27"/>
  <c r="C979" i="27"/>
  <c r="C1058" i="27"/>
  <c r="C1048" i="27"/>
  <c r="C212" i="27"/>
  <c r="C205" i="27"/>
  <c r="C1018" i="27"/>
  <c r="C626" i="27"/>
  <c r="C796" i="27"/>
  <c r="C1059" i="27"/>
  <c r="C1043" i="27"/>
  <c r="C622" i="27"/>
  <c r="C274" i="27"/>
  <c r="C774" i="27"/>
  <c r="C490" i="27"/>
  <c r="C926" i="27"/>
  <c r="C684" i="27"/>
  <c r="C780" i="27"/>
  <c r="C810" i="27"/>
  <c r="C715" i="27"/>
  <c r="C608" i="27"/>
  <c r="C103" i="27"/>
  <c r="C991" i="27"/>
  <c r="C267" i="27"/>
  <c r="C703" i="27"/>
  <c r="C593" i="27"/>
  <c r="C521" i="27"/>
  <c r="C865" i="27"/>
  <c r="C555" i="27"/>
  <c r="C91" i="27"/>
  <c r="C659" i="27"/>
  <c r="D818" i="26" l="1"/>
  <c r="D817" i="26"/>
  <c r="D816" i="26"/>
  <c r="D815" i="26"/>
  <c r="D814" i="26"/>
  <c r="D813" i="26"/>
  <c r="D812" i="26"/>
  <c r="D811" i="26"/>
  <c r="D810" i="26"/>
  <c r="D809" i="26"/>
  <c r="D808" i="26"/>
  <c r="D807" i="26"/>
  <c r="D806" i="26"/>
  <c r="D805" i="26"/>
  <c r="D804" i="26"/>
  <c r="D803" i="26"/>
  <c r="D802" i="26"/>
  <c r="D801" i="26"/>
  <c r="D800" i="26"/>
  <c r="D799" i="26"/>
  <c r="D798" i="26"/>
  <c r="D797" i="26"/>
  <c r="D796" i="26"/>
  <c r="D795" i="26"/>
  <c r="D794" i="26"/>
  <c r="D793" i="26"/>
  <c r="D792" i="26"/>
  <c r="D791" i="26"/>
  <c r="D790" i="26"/>
  <c r="D789" i="26"/>
  <c r="WX2" i="32"/>
  <c r="D788" i="26"/>
  <c r="B2" i="32"/>
  <c r="C2" i="32"/>
  <c r="D2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AG2" i="32"/>
  <c r="AH2" i="32"/>
  <c r="AI2" i="32"/>
  <c r="AJ2" i="32"/>
  <c r="AK2" i="32"/>
  <c r="AL2" i="32"/>
  <c r="AM2" i="32"/>
  <c r="AN2" i="32"/>
  <c r="AO2" i="32"/>
  <c r="AP2" i="32"/>
  <c r="AQ2" i="32"/>
  <c r="AR2" i="32"/>
  <c r="AS2" i="32"/>
  <c r="AT2" i="32"/>
  <c r="AU2" i="32"/>
  <c r="AV2" i="32"/>
  <c r="AW2" i="32"/>
  <c r="AX2" i="32"/>
  <c r="AY2" i="32"/>
  <c r="AZ2" i="32"/>
  <c r="BA2" i="32"/>
  <c r="BB2" i="32"/>
  <c r="BC2" i="32"/>
  <c r="BD2" i="32"/>
  <c r="BE2" i="32"/>
  <c r="BF2" i="32"/>
  <c r="BG2" i="32"/>
  <c r="BH2" i="32"/>
  <c r="BI2" i="32"/>
  <c r="BJ2" i="32"/>
  <c r="BK2" i="32"/>
  <c r="BL2" i="32"/>
  <c r="BM2" i="32"/>
  <c r="BN2" i="32"/>
  <c r="BO2" i="32"/>
  <c r="BP2" i="32"/>
  <c r="BQ2" i="32"/>
  <c r="BR2" i="32"/>
  <c r="BS2" i="32"/>
  <c r="BT2" i="32"/>
  <c r="BU2" i="32"/>
  <c r="BV2" i="32"/>
  <c r="BW2" i="32"/>
  <c r="BX2" i="32"/>
  <c r="BY2" i="32"/>
  <c r="BZ2" i="32"/>
  <c r="CA2" i="32"/>
  <c r="CB2" i="32"/>
  <c r="CC2" i="32"/>
  <c r="CD2" i="32"/>
  <c r="CE2" i="32"/>
  <c r="CF2" i="32"/>
  <c r="CG2" i="32"/>
  <c r="CH2" i="32"/>
  <c r="CI2" i="32"/>
  <c r="CJ2" i="32"/>
  <c r="CK2" i="32"/>
  <c r="CL2" i="32"/>
  <c r="CM2" i="32"/>
  <c r="CN2" i="32"/>
  <c r="CO2" i="32"/>
  <c r="CP2" i="32"/>
  <c r="CQ2" i="32"/>
  <c r="CR2" i="32"/>
  <c r="CS2" i="32"/>
  <c r="CT2" i="32"/>
  <c r="CU2" i="32"/>
  <c r="CV2" i="32"/>
  <c r="CW2" i="32"/>
  <c r="CX2" i="32"/>
  <c r="CY2" i="32"/>
  <c r="CZ2" i="32"/>
  <c r="DA2" i="32"/>
  <c r="DB2" i="32"/>
  <c r="DC2" i="32"/>
  <c r="DD2" i="32"/>
  <c r="DE2" i="32"/>
  <c r="DF2" i="32"/>
  <c r="DG2" i="32"/>
  <c r="DH2" i="32"/>
  <c r="DI2" i="32"/>
  <c r="DJ2" i="32"/>
  <c r="DK2" i="32"/>
  <c r="DL2" i="32"/>
  <c r="DM2" i="32"/>
  <c r="DN2" i="32"/>
  <c r="DO2" i="32"/>
  <c r="DP2" i="32"/>
  <c r="DQ2" i="32"/>
  <c r="DR2" i="32"/>
  <c r="DS2" i="32"/>
  <c r="DT2" i="32"/>
  <c r="DU2" i="32"/>
  <c r="DV2" i="32"/>
  <c r="DW2" i="32"/>
  <c r="DX2" i="32"/>
  <c r="DY2" i="32"/>
  <c r="DZ2" i="32"/>
  <c r="EA2" i="32"/>
  <c r="EB2" i="32"/>
  <c r="EC2" i="32"/>
  <c r="ED2" i="32"/>
  <c r="EE2" i="32"/>
  <c r="EF2" i="32"/>
  <c r="EG2" i="32"/>
  <c r="EH2" i="32"/>
  <c r="EI2" i="32"/>
  <c r="EJ2" i="32"/>
  <c r="EK2" i="32"/>
  <c r="EL2" i="32"/>
  <c r="EM2" i="32"/>
  <c r="EN2" i="32"/>
  <c r="EO2" i="32"/>
  <c r="EP2" i="32"/>
  <c r="EQ2" i="32"/>
  <c r="ER2" i="32"/>
  <c r="ES2" i="32"/>
  <c r="ET2" i="32"/>
  <c r="EU2" i="32"/>
  <c r="EV2" i="32"/>
  <c r="EW2" i="32"/>
  <c r="EX2" i="32"/>
  <c r="EY2" i="32"/>
  <c r="EZ2" i="32"/>
  <c r="FA2" i="32"/>
  <c r="FB2" i="32"/>
  <c r="FC2" i="32"/>
  <c r="FD2" i="32"/>
  <c r="FE2" i="32"/>
  <c r="FF2" i="32"/>
  <c r="FG2" i="32"/>
  <c r="FH2" i="32"/>
  <c r="FI2" i="32"/>
  <c r="FJ2" i="32"/>
  <c r="FK2" i="32"/>
  <c r="FL2" i="32"/>
  <c r="FM2" i="32"/>
  <c r="FN2" i="32"/>
  <c r="FO2" i="32"/>
  <c r="FP2" i="32"/>
  <c r="FQ2" i="32"/>
  <c r="FR2" i="32"/>
  <c r="FS2" i="32"/>
  <c r="FT2" i="32"/>
  <c r="FU2" i="32"/>
  <c r="FV2" i="32"/>
  <c r="FW2" i="32"/>
  <c r="FX2" i="32"/>
  <c r="FY2" i="32"/>
  <c r="FZ2" i="32"/>
  <c r="GA2" i="32"/>
  <c r="GB2" i="32"/>
  <c r="GC2" i="32"/>
  <c r="GD2" i="32"/>
  <c r="GE2" i="32"/>
  <c r="GF2" i="32"/>
  <c r="GG2" i="32"/>
  <c r="GH2" i="32"/>
  <c r="GI2" i="32"/>
  <c r="GJ2" i="32"/>
  <c r="GK2" i="32"/>
  <c r="GL2" i="32"/>
  <c r="GM2" i="32"/>
  <c r="GN2" i="32"/>
  <c r="GO2" i="32"/>
  <c r="GP2" i="32"/>
  <c r="GQ2" i="32"/>
  <c r="GR2" i="32"/>
  <c r="GS2" i="32"/>
  <c r="GT2" i="32"/>
  <c r="GU2" i="32"/>
  <c r="GV2" i="32"/>
  <c r="GW2" i="32"/>
  <c r="GX2" i="32"/>
  <c r="GY2" i="32"/>
  <c r="GZ2" i="32"/>
  <c r="HA2" i="32"/>
  <c r="HB2" i="32"/>
  <c r="HC2" i="32"/>
  <c r="HD2" i="32"/>
  <c r="HE2" i="32"/>
  <c r="HF2" i="32"/>
  <c r="HG2" i="32"/>
  <c r="HH2" i="32"/>
  <c r="HI2" i="32"/>
  <c r="HJ2" i="32"/>
  <c r="HK2" i="32"/>
  <c r="HL2" i="32"/>
  <c r="HM2" i="32"/>
  <c r="HN2" i="32"/>
  <c r="HO2" i="32"/>
  <c r="HP2" i="32"/>
  <c r="HQ2" i="32"/>
  <c r="HR2" i="32"/>
  <c r="HS2" i="32"/>
  <c r="HT2" i="32"/>
  <c r="HU2" i="32"/>
  <c r="HV2" i="32"/>
  <c r="HW2" i="32"/>
  <c r="HX2" i="32"/>
  <c r="HY2" i="32"/>
  <c r="HZ2" i="32"/>
  <c r="IA2" i="32"/>
  <c r="IB2" i="32"/>
  <c r="IC2" i="32"/>
  <c r="ID2" i="32"/>
  <c r="IE2" i="32"/>
  <c r="IF2" i="32"/>
  <c r="IG2" i="32"/>
  <c r="IH2" i="32"/>
  <c r="II2" i="32"/>
  <c r="IJ2" i="32"/>
  <c r="IK2" i="32"/>
  <c r="IL2" i="32"/>
  <c r="IM2" i="32"/>
  <c r="IN2" i="32"/>
  <c r="IO2" i="32"/>
  <c r="IP2" i="32"/>
  <c r="IQ2" i="32"/>
  <c r="IR2" i="32"/>
  <c r="IS2" i="32"/>
  <c r="IT2" i="32"/>
  <c r="IU2" i="32"/>
  <c r="IV2" i="32"/>
  <c r="IW2" i="32"/>
  <c r="IX2" i="32"/>
  <c r="IY2" i="32"/>
  <c r="IZ2" i="32"/>
  <c r="JA2" i="32"/>
  <c r="JB2" i="32"/>
  <c r="JC2" i="32"/>
  <c r="JD2" i="32"/>
  <c r="JE2" i="32"/>
  <c r="JF2" i="32"/>
  <c r="JG2" i="32"/>
  <c r="JH2" i="32"/>
  <c r="JI2" i="32"/>
  <c r="JJ2" i="32"/>
  <c r="JK2" i="32"/>
  <c r="JL2" i="32"/>
  <c r="JM2" i="32"/>
  <c r="JN2" i="32"/>
  <c r="JO2" i="32"/>
  <c r="JP2" i="32"/>
  <c r="JQ2" i="32"/>
  <c r="JR2" i="32"/>
  <c r="JS2" i="32"/>
  <c r="JT2" i="32"/>
  <c r="JU2" i="32"/>
  <c r="JV2" i="32"/>
  <c r="JW2" i="32"/>
  <c r="JX2" i="32"/>
  <c r="JY2" i="32"/>
  <c r="JZ2" i="32"/>
  <c r="KA2" i="32"/>
  <c r="KB2" i="32"/>
  <c r="KC2" i="32"/>
  <c r="KD2" i="32"/>
  <c r="KE2" i="32"/>
  <c r="KF2" i="32"/>
  <c r="KG2" i="32"/>
  <c r="KH2" i="32"/>
  <c r="KI2" i="32"/>
  <c r="KJ2" i="32"/>
  <c r="KK2" i="32"/>
  <c r="KL2" i="32"/>
  <c r="KM2" i="32"/>
  <c r="KN2" i="32"/>
  <c r="KO2" i="32"/>
  <c r="KP2" i="32"/>
  <c r="KQ2" i="32"/>
  <c r="KR2" i="32"/>
  <c r="KS2" i="32"/>
  <c r="KT2" i="32"/>
  <c r="KU2" i="32"/>
  <c r="KV2" i="32"/>
  <c r="KW2" i="32"/>
  <c r="KX2" i="32"/>
  <c r="KY2" i="32"/>
  <c r="KZ2" i="32"/>
  <c r="LA2" i="32"/>
  <c r="LB2" i="32"/>
  <c r="LC2" i="32"/>
  <c r="LD2" i="32"/>
  <c r="LE2" i="32"/>
  <c r="LF2" i="32"/>
  <c r="LG2" i="32"/>
  <c r="LH2" i="32"/>
  <c r="LI2" i="32"/>
  <c r="LJ2" i="32"/>
  <c r="LK2" i="32"/>
  <c r="LL2" i="32"/>
  <c r="LM2" i="32"/>
  <c r="LN2" i="32"/>
  <c r="LO2" i="32"/>
  <c r="LP2" i="32"/>
  <c r="LQ2" i="32"/>
  <c r="LR2" i="32"/>
  <c r="LS2" i="32"/>
  <c r="LT2" i="32"/>
  <c r="LU2" i="32"/>
  <c r="LV2" i="32"/>
  <c r="LW2" i="32"/>
  <c r="LX2" i="32"/>
  <c r="LY2" i="32"/>
  <c r="LZ2" i="32"/>
  <c r="MA2" i="32"/>
  <c r="MB2" i="32"/>
  <c r="MC2" i="32"/>
  <c r="MD2" i="32"/>
  <c r="ME2" i="32"/>
  <c r="MF2" i="32"/>
  <c r="MG2" i="32"/>
  <c r="MH2" i="32"/>
  <c r="MI2" i="32"/>
  <c r="MJ2" i="32"/>
  <c r="MK2" i="32"/>
  <c r="ML2" i="32"/>
  <c r="MM2" i="32"/>
  <c r="MN2" i="32"/>
  <c r="MO2" i="32"/>
  <c r="MP2" i="32"/>
  <c r="MQ2" i="32"/>
  <c r="MR2" i="32"/>
  <c r="MS2" i="32"/>
  <c r="MT2" i="32"/>
  <c r="MU2" i="32"/>
  <c r="MV2" i="32"/>
  <c r="MW2" i="32"/>
  <c r="MX2" i="32"/>
  <c r="MY2" i="32"/>
  <c r="MZ2" i="32"/>
  <c r="NA2" i="32"/>
  <c r="NB2" i="32"/>
  <c r="NC2" i="32"/>
  <c r="ND2" i="32"/>
  <c r="NE2" i="32"/>
  <c r="NF2" i="32"/>
  <c r="NG2" i="32"/>
  <c r="NH2" i="32"/>
  <c r="NI2" i="32"/>
  <c r="NJ2" i="32"/>
  <c r="NK2" i="32"/>
  <c r="NL2" i="32"/>
  <c r="NM2" i="32"/>
  <c r="NN2" i="32"/>
  <c r="NO2" i="32"/>
  <c r="NP2" i="32"/>
  <c r="NQ2" i="32"/>
  <c r="NR2" i="32"/>
  <c r="NS2" i="32"/>
  <c r="NT2" i="32"/>
  <c r="NU2" i="32"/>
  <c r="NV2" i="32"/>
  <c r="NW2" i="32"/>
  <c r="NX2" i="32"/>
  <c r="NY2" i="32"/>
  <c r="NZ2" i="32"/>
  <c r="OA2" i="32"/>
  <c r="OB2" i="32"/>
  <c r="OC2" i="32"/>
  <c r="OD2" i="32"/>
  <c r="OE2" i="32"/>
  <c r="OF2" i="32"/>
  <c r="OG2" i="32"/>
  <c r="OH2" i="32"/>
  <c r="OI2" i="32"/>
  <c r="OJ2" i="32"/>
  <c r="OK2" i="32"/>
  <c r="OL2" i="32"/>
  <c r="OM2" i="32"/>
  <c r="ON2" i="32"/>
  <c r="OO2" i="32"/>
  <c r="OP2" i="32"/>
  <c r="OQ2" i="32"/>
  <c r="OR2" i="32"/>
  <c r="OS2" i="32"/>
  <c r="OT2" i="32"/>
  <c r="OU2" i="32"/>
  <c r="OV2" i="32"/>
  <c r="OW2" i="32"/>
  <c r="OX2" i="32"/>
  <c r="OY2" i="32"/>
  <c r="OZ2" i="32"/>
  <c r="PA2" i="32"/>
  <c r="PB2" i="32"/>
  <c r="PC2" i="32"/>
  <c r="PD2" i="32"/>
  <c r="PE2" i="32"/>
  <c r="PF2" i="32"/>
  <c r="PG2" i="32"/>
  <c r="PH2" i="32"/>
  <c r="PI2" i="32"/>
  <c r="PJ2" i="32"/>
  <c r="PK2" i="32"/>
  <c r="PL2" i="32"/>
  <c r="PM2" i="32"/>
  <c r="PN2" i="32"/>
  <c r="PO2" i="32"/>
  <c r="PP2" i="32"/>
  <c r="PQ2" i="32"/>
  <c r="PR2" i="32"/>
  <c r="PS2" i="32"/>
  <c r="PT2" i="32"/>
  <c r="PU2" i="32"/>
  <c r="PV2" i="32"/>
  <c r="PW2" i="32"/>
  <c r="PX2" i="32"/>
  <c r="PY2" i="32"/>
  <c r="PZ2" i="32"/>
  <c r="QA2" i="32"/>
  <c r="QB2" i="32"/>
  <c r="QC2" i="32"/>
  <c r="QD2" i="32"/>
  <c r="QE2" i="32"/>
  <c r="QF2" i="32"/>
  <c r="QG2" i="32"/>
  <c r="QH2" i="32"/>
  <c r="QI2" i="32"/>
  <c r="QJ2" i="32"/>
  <c r="QK2" i="32"/>
  <c r="QL2" i="32"/>
  <c r="QM2" i="32"/>
  <c r="QN2" i="32"/>
  <c r="QO2" i="32"/>
  <c r="QP2" i="32"/>
  <c r="QQ2" i="32"/>
  <c r="QR2" i="32"/>
  <c r="QS2" i="32"/>
  <c r="QT2" i="32"/>
  <c r="QU2" i="32"/>
  <c r="QV2" i="32"/>
  <c r="QW2" i="32"/>
  <c r="QX2" i="32"/>
  <c r="QY2" i="32"/>
  <c r="QZ2" i="32"/>
  <c r="RA2" i="32"/>
  <c r="RB2" i="32"/>
  <c r="RC2" i="32"/>
  <c r="RD2" i="32"/>
  <c r="RE2" i="32"/>
  <c r="RF2" i="32"/>
  <c r="RG2" i="32"/>
  <c r="RH2" i="32"/>
  <c r="RI2" i="32"/>
  <c r="RJ2" i="32"/>
  <c r="RK2" i="32"/>
  <c r="RL2" i="32"/>
  <c r="RM2" i="32"/>
  <c r="RN2" i="32"/>
  <c r="RO2" i="32"/>
  <c r="RP2" i="32"/>
  <c r="RQ2" i="32"/>
  <c r="RR2" i="32"/>
  <c r="RS2" i="32"/>
  <c r="RT2" i="32"/>
  <c r="RU2" i="32"/>
  <c r="RV2" i="32"/>
  <c r="RW2" i="32"/>
  <c r="RX2" i="32"/>
  <c r="RY2" i="32"/>
  <c r="RZ2" i="32"/>
  <c r="SA2" i="32"/>
  <c r="SB2" i="32"/>
  <c r="SC2" i="32"/>
  <c r="SD2" i="32"/>
  <c r="SE2" i="32"/>
  <c r="SF2" i="32"/>
  <c r="SG2" i="32"/>
  <c r="SH2" i="32"/>
  <c r="SI2" i="32"/>
  <c r="SJ2" i="32"/>
  <c r="SK2" i="32"/>
  <c r="SL2" i="32"/>
  <c r="SM2" i="32"/>
  <c r="SN2" i="32"/>
  <c r="SO2" i="32"/>
  <c r="SP2" i="32"/>
  <c r="SQ2" i="32"/>
  <c r="SR2" i="32"/>
  <c r="SS2" i="32"/>
  <c r="ST2" i="32"/>
  <c r="SU2" i="32"/>
  <c r="SV2" i="32"/>
  <c r="SW2" i="32"/>
  <c r="SX2" i="32"/>
  <c r="SY2" i="32"/>
  <c r="SZ2" i="32"/>
  <c r="TA2" i="32"/>
  <c r="TB2" i="32"/>
  <c r="TC2" i="32"/>
  <c r="TD2" i="32"/>
  <c r="TE2" i="32"/>
  <c r="TF2" i="32"/>
  <c r="TG2" i="32"/>
  <c r="TH2" i="32"/>
  <c r="TI2" i="32"/>
  <c r="TJ2" i="32"/>
  <c r="TK2" i="32"/>
  <c r="TL2" i="32"/>
  <c r="TM2" i="32"/>
  <c r="TN2" i="32"/>
  <c r="TO2" i="32"/>
  <c r="TP2" i="32"/>
  <c r="TQ2" i="32"/>
  <c r="TR2" i="32"/>
  <c r="TS2" i="32"/>
  <c r="TT2" i="32"/>
  <c r="TU2" i="32"/>
  <c r="TV2" i="32"/>
  <c r="TW2" i="32"/>
  <c r="TX2" i="32"/>
  <c r="TY2" i="32"/>
  <c r="TZ2" i="32"/>
  <c r="UA2" i="32"/>
  <c r="UB2" i="32"/>
  <c r="UC2" i="32"/>
  <c r="UD2" i="32"/>
  <c r="UE2" i="32"/>
  <c r="UF2" i="32"/>
  <c r="UG2" i="32"/>
  <c r="UH2" i="32"/>
  <c r="UI2" i="32"/>
  <c r="UJ2" i="32"/>
  <c r="UK2" i="32"/>
  <c r="UL2" i="32"/>
  <c r="UM2" i="32"/>
  <c r="UN2" i="32"/>
  <c r="UO2" i="32"/>
  <c r="UP2" i="32"/>
  <c r="UQ2" i="32"/>
  <c r="UR2" i="32"/>
  <c r="US2" i="32"/>
  <c r="UT2" i="32"/>
  <c r="UU2" i="32"/>
  <c r="UV2" i="32"/>
  <c r="UW2" i="32"/>
  <c r="UX2" i="32"/>
  <c r="UY2" i="32"/>
  <c r="UZ2" i="32"/>
  <c r="VA2" i="32"/>
  <c r="VB2" i="32"/>
  <c r="VC2" i="32"/>
  <c r="VD2" i="32"/>
  <c r="VE2" i="32"/>
  <c r="VF2" i="32"/>
  <c r="VG2" i="32"/>
  <c r="VH2" i="32"/>
  <c r="VI2" i="32"/>
  <c r="VJ2" i="32"/>
  <c r="VK2" i="32"/>
  <c r="VL2" i="32"/>
  <c r="VM2" i="32"/>
  <c r="VN2" i="32"/>
  <c r="VO2" i="32"/>
  <c r="VP2" i="32"/>
  <c r="VQ2" i="32"/>
  <c r="VR2" i="32"/>
  <c r="VS2" i="32"/>
  <c r="VT2" i="32"/>
  <c r="VU2" i="32"/>
  <c r="VV2" i="32"/>
  <c r="VW2" i="32"/>
  <c r="VX2" i="32"/>
  <c r="VY2" i="32"/>
  <c r="VZ2" i="32"/>
  <c r="WA2" i="32"/>
  <c r="WB2" i="32"/>
  <c r="WC2" i="32"/>
  <c r="WD2" i="32"/>
  <c r="WE2" i="32"/>
  <c r="WF2" i="32"/>
  <c r="WG2" i="32"/>
  <c r="WH2" i="32"/>
  <c r="WI2" i="32"/>
  <c r="WJ2" i="32"/>
  <c r="WK2" i="32"/>
  <c r="WL2" i="32"/>
  <c r="WM2" i="32"/>
  <c r="WN2" i="32"/>
  <c r="WO2" i="32"/>
  <c r="WP2" i="32"/>
  <c r="WQ2" i="32"/>
  <c r="WR2" i="32"/>
  <c r="WS2" i="32"/>
  <c r="WT2" i="32"/>
  <c r="WU2" i="32"/>
  <c r="WV2" i="32"/>
  <c r="WW2" i="32"/>
  <c r="D787" i="26" l="1"/>
  <c r="D786" i="26"/>
  <c r="D785" i="26"/>
  <c r="D784" i="26" l="1"/>
  <c r="D783" i="26"/>
  <c r="D782" i="26"/>
  <c r="D781" i="26"/>
  <c r="D780" i="26"/>
  <c r="D779" i="26"/>
  <c r="D778" i="26"/>
  <c r="D777" i="26"/>
  <c r="D776" i="26"/>
  <c r="D775" i="26"/>
  <c r="D774" i="26"/>
  <c r="D773" i="26"/>
  <c r="D772" i="26"/>
  <c r="D771" i="26"/>
  <c r="D770" i="26"/>
  <c r="D769" i="26"/>
  <c r="D768" i="26"/>
  <c r="D767" i="26"/>
  <c r="D766" i="26"/>
  <c r="D765" i="26"/>
  <c r="D764" i="26"/>
  <c r="D763" i="26"/>
  <c r="D762" i="26"/>
  <c r="D761" i="26"/>
  <c r="D760" i="26"/>
  <c r="D759" i="26"/>
  <c r="D758" i="26"/>
  <c r="D757" i="26"/>
  <c r="D756" i="26"/>
  <c r="D755" i="26"/>
  <c r="D754" i="26"/>
  <c r="D753" i="26"/>
  <c r="D752" i="26"/>
  <c r="D751" i="26"/>
  <c r="D750" i="26"/>
  <c r="D749" i="26"/>
  <c r="D748" i="26"/>
  <c r="D747" i="26"/>
  <c r="D746" i="26"/>
  <c r="D745" i="26"/>
  <c r="D744" i="26"/>
  <c r="D743" i="26"/>
  <c r="D742" i="26"/>
  <c r="D741" i="26"/>
  <c r="D740" i="26"/>
  <c r="D739" i="26"/>
  <c r="D738" i="26"/>
  <c r="D737" i="26"/>
  <c r="D736" i="26"/>
  <c r="D735" i="26"/>
  <c r="D734" i="26"/>
  <c r="D733" i="26"/>
  <c r="D732" i="26"/>
  <c r="D731" i="26"/>
  <c r="D730" i="26"/>
  <c r="D729" i="26"/>
  <c r="D728" i="26"/>
  <c r="D727" i="26"/>
  <c r="D726" i="26"/>
  <c r="D725" i="26"/>
  <c r="D724" i="26"/>
  <c r="D723" i="26"/>
  <c r="B7" i="9"/>
  <c r="B6" i="9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4" i="6"/>
  <c r="R4" i="6" s="1"/>
  <c r="I360" i="30"/>
  <c r="G360" i="30"/>
  <c r="F360" i="30"/>
  <c r="I359" i="30"/>
  <c r="G359" i="30"/>
  <c r="F359" i="30"/>
  <c r="I358" i="30"/>
  <c r="G358" i="30"/>
  <c r="F358" i="30"/>
  <c r="I357" i="30"/>
  <c r="G357" i="30"/>
  <c r="F357" i="30"/>
  <c r="I356" i="30"/>
  <c r="G356" i="30"/>
  <c r="F356" i="30"/>
  <c r="I355" i="30"/>
  <c r="G355" i="30"/>
  <c r="F355" i="30"/>
  <c r="I354" i="30"/>
  <c r="G354" i="30"/>
  <c r="F354" i="30"/>
  <c r="I353" i="30"/>
  <c r="G353" i="30"/>
  <c r="F353" i="30"/>
  <c r="I352" i="30"/>
  <c r="G352" i="30"/>
  <c r="F352" i="30"/>
  <c r="I351" i="30"/>
  <c r="G351" i="30"/>
  <c r="F351" i="30"/>
  <c r="I350" i="30"/>
  <c r="G350" i="30"/>
  <c r="F350" i="30"/>
  <c r="I349" i="30"/>
  <c r="G349" i="30"/>
  <c r="F349" i="30"/>
  <c r="I348" i="30"/>
  <c r="G348" i="30"/>
  <c r="F348" i="30"/>
  <c r="I347" i="30"/>
  <c r="G347" i="30"/>
  <c r="F347" i="30"/>
  <c r="I346" i="30"/>
  <c r="G346" i="30"/>
  <c r="F346" i="30"/>
  <c r="I345" i="30"/>
  <c r="G345" i="30"/>
  <c r="F345" i="30"/>
  <c r="I344" i="30"/>
  <c r="G344" i="30"/>
  <c r="F344" i="30"/>
  <c r="I343" i="30"/>
  <c r="G343" i="30"/>
  <c r="F343" i="30"/>
  <c r="I342" i="30"/>
  <c r="G342" i="30"/>
  <c r="F342" i="30"/>
  <c r="I341" i="30"/>
  <c r="G341" i="30"/>
  <c r="F341" i="30"/>
  <c r="I340" i="30"/>
  <c r="G340" i="30"/>
  <c r="F340" i="30"/>
  <c r="I339" i="30"/>
  <c r="G339" i="30"/>
  <c r="F339" i="30"/>
  <c r="I338" i="30"/>
  <c r="G338" i="30"/>
  <c r="F338" i="30"/>
  <c r="I337" i="30"/>
  <c r="G337" i="30"/>
  <c r="F337" i="30"/>
  <c r="I336" i="30"/>
  <c r="G336" i="30"/>
  <c r="F336" i="30"/>
  <c r="I335" i="30"/>
  <c r="G335" i="30"/>
  <c r="F335" i="30"/>
  <c r="I334" i="30"/>
  <c r="G334" i="30"/>
  <c r="F334" i="30"/>
  <c r="I333" i="30"/>
  <c r="G333" i="30"/>
  <c r="F333" i="30"/>
  <c r="I332" i="30"/>
  <c r="G332" i="30"/>
  <c r="F332" i="30"/>
  <c r="I331" i="30"/>
  <c r="G331" i="30"/>
  <c r="F331" i="30"/>
  <c r="I330" i="30"/>
  <c r="G330" i="30"/>
  <c r="F330" i="30"/>
  <c r="I329" i="30"/>
  <c r="G329" i="30"/>
  <c r="F329" i="30"/>
  <c r="I328" i="30"/>
  <c r="G328" i="30"/>
  <c r="F328" i="30"/>
  <c r="I327" i="30"/>
  <c r="G327" i="30"/>
  <c r="F327" i="30"/>
  <c r="I326" i="30"/>
  <c r="G326" i="30"/>
  <c r="F326" i="30"/>
  <c r="I325" i="30"/>
  <c r="G325" i="30"/>
  <c r="F325" i="30"/>
  <c r="I324" i="30"/>
  <c r="G324" i="30"/>
  <c r="F324" i="30"/>
  <c r="I323" i="30"/>
  <c r="G323" i="30"/>
  <c r="F323" i="30"/>
  <c r="I322" i="30"/>
  <c r="G322" i="30"/>
  <c r="F322" i="30"/>
  <c r="I321" i="30"/>
  <c r="G321" i="30"/>
  <c r="F321" i="30"/>
  <c r="I320" i="30"/>
  <c r="G320" i="30"/>
  <c r="F320" i="30"/>
  <c r="I319" i="30"/>
  <c r="G319" i="30"/>
  <c r="F319" i="30"/>
  <c r="I318" i="30"/>
  <c r="G318" i="30"/>
  <c r="F318" i="30"/>
  <c r="I317" i="30"/>
  <c r="G317" i="30"/>
  <c r="F317" i="30"/>
  <c r="I316" i="30"/>
  <c r="G316" i="30"/>
  <c r="F316" i="30"/>
  <c r="I315" i="30"/>
  <c r="G315" i="30"/>
  <c r="F315" i="30"/>
  <c r="I314" i="30"/>
  <c r="G314" i="30"/>
  <c r="F314" i="30"/>
  <c r="I313" i="30"/>
  <c r="G313" i="30"/>
  <c r="F313" i="30"/>
  <c r="I312" i="30"/>
  <c r="G312" i="30"/>
  <c r="F312" i="30"/>
  <c r="I311" i="30"/>
  <c r="G311" i="30"/>
  <c r="F311" i="30"/>
  <c r="I310" i="30"/>
  <c r="G310" i="30"/>
  <c r="F310" i="30"/>
  <c r="I309" i="30"/>
  <c r="G309" i="30"/>
  <c r="F309" i="30"/>
  <c r="I308" i="30"/>
  <c r="G308" i="30"/>
  <c r="F308" i="30"/>
  <c r="I307" i="30"/>
  <c r="G307" i="30"/>
  <c r="F307" i="30"/>
  <c r="I306" i="30"/>
  <c r="G306" i="30"/>
  <c r="F306" i="30"/>
  <c r="I305" i="30"/>
  <c r="G305" i="30"/>
  <c r="F305" i="30"/>
  <c r="I304" i="30"/>
  <c r="G304" i="30"/>
  <c r="F304" i="30"/>
  <c r="I303" i="30"/>
  <c r="G303" i="30"/>
  <c r="F303" i="30"/>
  <c r="I302" i="30"/>
  <c r="G302" i="30"/>
  <c r="F302" i="30"/>
  <c r="I301" i="30"/>
  <c r="G301" i="30"/>
  <c r="F301" i="30"/>
  <c r="I300" i="30"/>
  <c r="G300" i="30"/>
  <c r="F300" i="30"/>
  <c r="I299" i="30"/>
  <c r="G299" i="30"/>
  <c r="F299" i="30"/>
  <c r="I298" i="30"/>
  <c r="G298" i="30"/>
  <c r="F298" i="30"/>
  <c r="I297" i="30"/>
  <c r="G297" i="30"/>
  <c r="F297" i="30"/>
  <c r="I296" i="30"/>
  <c r="G296" i="30"/>
  <c r="F296" i="30"/>
  <c r="I295" i="30"/>
  <c r="G295" i="30"/>
  <c r="F295" i="30"/>
  <c r="I294" i="30"/>
  <c r="G294" i="30"/>
  <c r="F294" i="30"/>
  <c r="I293" i="30"/>
  <c r="G293" i="30"/>
  <c r="F293" i="30"/>
  <c r="I292" i="30"/>
  <c r="G292" i="30"/>
  <c r="F292" i="30"/>
  <c r="I291" i="30"/>
  <c r="G291" i="30"/>
  <c r="F291" i="30"/>
  <c r="I290" i="30"/>
  <c r="G290" i="30"/>
  <c r="F290" i="30"/>
  <c r="I289" i="30"/>
  <c r="G289" i="30"/>
  <c r="F289" i="30"/>
  <c r="I288" i="30"/>
  <c r="G288" i="30"/>
  <c r="F288" i="30"/>
  <c r="I287" i="30"/>
  <c r="G287" i="30"/>
  <c r="F287" i="30"/>
  <c r="I286" i="30"/>
  <c r="G286" i="30"/>
  <c r="F286" i="30"/>
  <c r="I285" i="30"/>
  <c r="G285" i="30"/>
  <c r="F285" i="30"/>
  <c r="I284" i="30"/>
  <c r="G284" i="30"/>
  <c r="F284" i="30"/>
  <c r="I283" i="30"/>
  <c r="G283" i="30"/>
  <c r="F283" i="30"/>
  <c r="I282" i="30"/>
  <c r="G282" i="30"/>
  <c r="F282" i="30"/>
  <c r="I281" i="30"/>
  <c r="G281" i="30"/>
  <c r="F281" i="30"/>
  <c r="I280" i="30"/>
  <c r="G280" i="30"/>
  <c r="F280" i="30"/>
  <c r="I279" i="30"/>
  <c r="G279" i="30"/>
  <c r="F279" i="30"/>
  <c r="I278" i="30"/>
  <c r="G278" i="30"/>
  <c r="F278" i="30"/>
  <c r="I277" i="30"/>
  <c r="G277" i="30"/>
  <c r="F277" i="30"/>
  <c r="I276" i="30"/>
  <c r="G276" i="30"/>
  <c r="F276" i="30"/>
  <c r="I275" i="30"/>
  <c r="G275" i="30"/>
  <c r="F275" i="30"/>
  <c r="I274" i="30"/>
  <c r="G274" i="30"/>
  <c r="F274" i="30"/>
  <c r="I273" i="30"/>
  <c r="G273" i="30"/>
  <c r="F273" i="30"/>
  <c r="I272" i="30"/>
  <c r="G272" i="30"/>
  <c r="F272" i="30"/>
  <c r="I271" i="30"/>
  <c r="G271" i="30"/>
  <c r="F271" i="30"/>
  <c r="I270" i="30"/>
  <c r="G270" i="30"/>
  <c r="F270" i="30"/>
  <c r="I269" i="30"/>
  <c r="G269" i="30"/>
  <c r="F269" i="30"/>
  <c r="I268" i="30"/>
  <c r="G268" i="30"/>
  <c r="F268" i="30"/>
  <c r="I267" i="30"/>
  <c r="G267" i="30"/>
  <c r="F267" i="30"/>
  <c r="I266" i="30"/>
  <c r="G266" i="30"/>
  <c r="F266" i="30"/>
  <c r="I265" i="30"/>
  <c r="G265" i="30"/>
  <c r="F265" i="30"/>
  <c r="I264" i="30"/>
  <c r="G264" i="30"/>
  <c r="F264" i="30"/>
  <c r="I263" i="30"/>
  <c r="G263" i="30"/>
  <c r="F263" i="30"/>
  <c r="I262" i="30"/>
  <c r="G262" i="30"/>
  <c r="F262" i="30"/>
  <c r="I261" i="30"/>
  <c r="G261" i="30"/>
  <c r="F261" i="30"/>
  <c r="I260" i="30"/>
  <c r="G260" i="30"/>
  <c r="F260" i="30"/>
  <c r="I259" i="30"/>
  <c r="G259" i="30"/>
  <c r="F259" i="30"/>
  <c r="I258" i="30"/>
  <c r="G258" i="30"/>
  <c r="F258" i="30"/>
  <c r="I257" i="30"/>
  <c r="G257" i="30"/>
  <c r="F257" i="30"/>
  <c r="I256" i="30"/>
  <c r="G256" i="30"/>
  <c r="F256" i="30"/>
  <c r="I255" i="30"/>
  <c r="G255" i="30"/>
  <c r="F255" i="30"/>
  <c r="I254" i="30"/>
  <c r="G254" i="30"/>
  <c r="F254" i="30"/>
  <c r="I253" i="30"/>
  <c r="G253" i="30"/>
  <c r="F253" i="30"/>
  <c r="I252" i="30"/>
  <c r="G252" i="30"/>
  <c r="F252" i="30"/>
  <c r="I251" i="30"/>
  <c r="G251" i="30"/>
  <c r="F251" i="30"/>
  <c r="I250" i="30"/>
  <c r="G250" i="30"/>
  <c r="F250" i="30"/>
  <c r="I249" i="30"/>
  <c r="G249" i="30"/>
  <c r="F249" i="30"/>
  <c r="I248" i="30"/>
  <c r="G248" i="30"/>
  <c r="F248" i="30"/>
  <c r="I247" i="30"/>
  <c r="G247" i="30"/>
  <c r="F247" i="30"/>
  <c r="I246" i="30"/>
  <c r="G246" i="30"/>
  <c r="F246" i="30"/>
  <c r="I245" i="30"/>
  <c r="G245" i="30"/>
  <c r="F245" i="30"/>
  <c r="I244" i="30"/>
  <c r="G244" i="30"/>
  <c r="F244" i="30"/>
  <c r="I243" i="30"/>
  <c r="G243" i="30"/>
  <c r="F243" i="30"/>
  <c r="I242" i="30"/>
  <c r="G242" i="30"/>
  <c r="F242" i="30"/>
  <c r="I241" i="30"/>
  <c r="G241" i="30"/>
  <c r="F241" i="30"/>
  <c r="I240" i="30"/>
  <c r="G240" i="30"/>
  <c r="F240" i="30"/>
  <c r="I239" i="30"/>
  <c r="G239" i="30"/>
  <c r="F239" i="30"/>
  <c r="I238" i="30"/>
  <c r="G238" i="30"/>
  <c r="F238" i="30"/>
  <c r="I237" i="30"/>
  <c r="G237" i="30"/>
  <c r="F237" i="30"/>
  <c r="I236" i="30"/>
  <c r="G236" i="30"/>
  <c r="F236" i="30"/>
  <c r="I235" i="30"/>
  <c r="G235" i="30"/>
  <c r="F235" i="30"/>
  <c r="I234" i="30"/>
  <c r="G234" i="30"/>
  <c r="F234" i="30"/>
  <c r="I233" i="30"/>
  <c r="G233" i="30"/>
  <c r="F233" i="30"/>
  <c r="I232" i="30"/>
  <c r="G232" i="30"/>
  <c r="F232" i="30"/>
  <c r="I231" i="30"/>
  <c r="G231" i="30"/>
  <c r="F231" i="30"/>
  <c r="I230" i="30"/>
  <c r="G230" i="30"/>
  <c r="F230" i="30"/>
  <c r="I229" i="30"/>
  <c r="G229" i="30"/>
  <c r="F229" i="30"/>
  <c r="I228" i="30"/>
  <c r="G228" i="30"/>
  <c r="F228" i="30"/>
  <c r="I227" i="30"/>
  <c r="G227" i="30"/>
  <c r="F227" i="30"/>
  <c r="I226" i="30"/>
  <c r="G226" i="30"/>
  <c r="F226" i="30"/>
  <c r="I225" i="30"/>
  <c r="G225" i="30"/>
  <c r="F225" i="30"/>
  <c r="I224" i="30"/>
  <c r="G224" i="30"/>
  <c r="F224" i="30"/>
  <c r="I223" i="30"/>
  <c r="G223" i="30"/>
  <c r="F223" i="30"/>
  <c r="I222" i="30"/>
  <c r="G222" i="30"/>
  <c r="F222" i="30"/>
  <c r="I221" i="30"/>
  <c r="G221" i="30"/>
  <c r="F221" i="30"/>
  <c r="I220" i="30"/>
  <c r="G220" i="30"/>
  <c r="F220" i="30"/>
  <c r="I219" i="30"/>
  <c r="G219" i="30"/>
  <c r="F219" i="30"/>
  <c r="I218" i="30"/>
  <c r="G218" i="30"/>
  <c r="F218" i="30"/>
  <c r="I217" i="30"/>
  <c r="G217" i="30"/>
  <c r="F217" i="30"/>
  <c r="I216" i="30"/>
  <c r="G216" i="30"/>
  <c r="F216" i="30"/>
  <c r="I215" i="30"/>
  <c r="G215" i="30"/>
  <c r="F215" i="30"/>
  <c r="I214" i="30"/>
  <c r="G214" i="30"/>
  <c r="F214" i="30"/>
  <c r="I213" i="30"/>
  <c r="G213" i="30"/>
  <c r="F213" i="30"/>
  <c r="I212" i="30"/>
  <c r="G212" i="30"/>
  <c r="F212" i="30"/>
  <c r="I211" i="30"/>
  <c r="G211" i="30"/>
  <c r="F211" i="30"/>
  <c r="I210" i="30"/>
  <c r="G210" i="30"/>
  <c r="F210" i="30"/>
  <c r="I209" i="30"/>
  <c r="G209" i="30"/>
  <c r="F209" i="30"/>
  <c r="I208" i="30"/>
  <c r="G208" i="30"/>
  <c r="F208" i="30"/>
  <c r="I207" i="30"/>
  <c r="G207" i="30"/>
  <c r="F207" i="30"/>
  <c r="I206" i="30"/>
  <c r="G206" i="30"/>
  <c r="F206" i="30"/>
  <c r="I205" i="30"/>
  <c r="G205" i="30"/>
  <c r="F205" i="30"/>
  <c r="I204" i="30"/>
  <c r="G204" i="30"/>
  <c r="F204" i="30"/>
  <c r="I203" i="30"/>
  <c r="G203" i="30"/>
  <c r="F203" i="30"/>
  <c r="I202" i="30"/>
  <c r="G202" i="30"/>
  <c r="F202" i="30"/>
  <c r="I201" i="30"/>
  <c r="G201" i="30"/>
  <c r="F201" i="30"/>
  <c r="I200" i="30"/>
  <c r="G200" i="30"/>
  <c r="F200" i="30"/>
  <c r="I199" i="30"/>
  <c r="G199" i="30"/>
  <c r="F199" i="30"/>
  <c r="I198" i="30"/>
  <c r="G198" i="30"/>
  <c r="F198" i="30"/>
  <c r="I197" i="30"/>
  <c r="G197" i="30"/>
  <c r="F197" i="30"/>
  <c r="I196" i="30"/>
  <c r="G196" i="30"/>
  <c r="F196" i="30"/>
  <c r="I195" i="30"/>
  <c r="G195" i="30"/>
  <c r="F195" i="30"/>
  <c r="I194" i="30"/>
  <c r="G194" i="30"/>
  <c r="F194" i="30"/>
  <c r="I193" i="30"/>
  <c r="G193" i="30"/>
  <c r="F193" i="30"/>
  <c r="I192" i="30"/>
  <c r="G192" i="30"/>
  <c r="F192" i="30"/>
  <c r="I191" i="30"/>
  <c r="G191" i="30"/>
  <c r="F191" i="30"/>
  <c r="I190" i="30"/>
  <c r="G190" i="30"/>
  <c r="F190" i="30"/>
  <c r="I189" i="30"/>
  <c r="G189" i="30"/>
  <c r="F189" i="30"/>
  <c r="I188" i="30"/>
  <c r="G188" i="30"/>
  <c r="F188" i="30"/>
  <c r="I187" i="30"/>
  <c r="G187" i="30"/>
  <c r="F187" i="30"/>
  <c r="I186" i="30"/>
  <c r="G186" i="30"/>
  <c r="F186" i="30"/>
  <c r="I185" i="30"/>
  <c r="G185" i="30"/>
  <c r="F185" i="30"/>
  <c r="I184" i="30"/>
  <c r="G184" i="30"/>
  <c r="F184" i="30"/>
  <c r="I183" i="30"/>
  <c r="G183" i="30"/>
  <c r="F183" i="30"/>
  <c r="I182" i="30"/>
  <c r="G182" i="30"/>
  <c r="F182" i="30"/>
  <c r="I181" i="30"/>
  <c r="G181" i="30"/>
  <c r="F181" i="30"/>
  <c r="I180" i="30"/>
  <c r="G180" i="30"/>
  <c r="F180" i="30"/>
  <c r="I179" i="30"/>
  <c r="G179" i="30"/>
  <c r="F179" i="30"/>
  <c r="I178" i="30"/>
  <c r="G178" i="30"/>
  <c r="F178" i="30"/>
  <c r="I177" i="30"/>
  <c r="G177" i="30"/>
  <c r="F177" i="30"/>
  <c r="I176" i="30"/>
  <c r="G176" i="30"/>
  <c r="F176" i="30"/>
  <c r="I175" i="30"/>
  <c r="G175" i="30"/>
  <c r="F175" i="30"/>
  <c r="I174" i="30"/>
  <c r="G174" i="30"/>
  <c r="F174" i="30"/>
  <c r="I173" i="30"/>
  <c r="G173" i="30"/>
  <c r="F173" i="30"/>
  <c r="I172" i="30"/>
  <c r="G172" i="30"/>
  <c r="F172" i="30"/>
  <c r="I171" i="30"/>
  <c r="G171" i="30"/>
  <c r="F171" i="30"/>
  <c r="I170" i="30"/>
  <c r="G170" i="30"/>
  <c r="F170" i="30"/>
  <c r="I169" i="30"/>
  <c r="G169" i="30"/>
  <c r="F169" i="30"/>
  <c r="I168" i="30"/>
  <c r="G168" i="30"/>
  <c r="F168" i="30"/>
  <c r="I167" i="30"/>
  <c r="G167" i="30"/>
  <c r="F167" i="30"/>
  <c r="I166" i="30"/>
  <c r="G166" i="30"/>
  <c r="F166" i="30"/>
  <c r="I165" i="30"/>
  <c r="G165" i="30"/>
  <c r="F165" i="30"/>
  <c r="I164" i="30"/>
  <c r="G164" i="30"/>
  <c r="F164" i="30"/>
  <c r="I163" i="30"/>
  <c r="G163" i="30"/>
  <c r="F163" i="30"/>
  <c r="I162" i="30"/>
  <c r="G162" i="30"/>
  <c r="F162" i="30"/>
  <c r="I161" i="30"/>
  <c r="G161" i="30"/>
  <c r="F161" i="30"/>
  <c r="I160" i="30"/>
  <c r="G160" i="30"/>
  <c r="F160" i="30"/>
  <c r="I159" i="30"/>
  <c r="G159" i="30"/>
  <c r="F159" i="30"/>
  <c r="I158" i="30"/>
  <c r="G158" i="30"/>
  <c r="F158" i="30"/>
  <c r="I157" i="30"/>
  <c r="G157" i="30"/>
  <c r="F157" i="30"/>
  <c r="I156" i="30"/>
  <c r="G156" i="30"/>
  <c r="F156" i="30"/>
  <c r="I155" i="30"/>
  <c r="G155" i="30"/>
  <c r="F155" i="30"/>
  <c r="I154" i="30"/>
  <c r="G154" i="30"/>
  <c r="F154" i="30"/>
  <c r="I153" i="30"/>
  <c r="G153" i="30"/>
  <c r="F153" i="30"/>
  <c r="I152" i="30"/>
  <c r="G152" i="30"/>
  <c r="F152" i="30"/>
  <c r="I151" i="30"/>
  <c r="G151" i="30"/>
  <c r="F151" i="30"/>
  <c r="I150" i="30"/>
  <c r="G150" i="30"/>
  <c r="F150" i="30"/>
  <c r="I149" i="30"/>
  <c r="G149" i="30"/>
  <c r="F149" i="30"/>
  <c r="I148" i="30"/>
  <c r="G148" i="30"/>
  <c r="F148" i="30"/>
  <c r="I147" i="30"/>
  <c r="G147" i="30"/>
  <c r="F147" i="30"/>
  <c r="I146" i="30"/>
  <c r="G146" i="30"/>
  <c r="F146" i="30"/>
  <c r="I145" i="30"/>
  <c r="G145" i="30"/>
  <c r="F145" i="30"/>
  <c r="I144" i="30"/>
  <c r="G144" i="30"/>
  <c r="F144" i="30"/>
  <c r="I143" i="30"/>
  <c r="G143" i="30"/>
  <c r="F143" i="30"/>
  <c r="I142" i="30"/>
  <c r="G142" i="30"/>
  <c r="F142" i="30"/>
  <c r="I141" i="30"/>
  <c r="G141" i="30"/>
  <c r="F141" i="30"/>
  <c r="I140" i="30"/>
  <c r="G140" i="30"/>
  <c r="F140" i="30"/>
  <c r="I139" i="30"/>
  <c r="G139" i="30"/>
  <c r="F139" i="30"/>
  <c r="I138" i="30"/>
  <c r="G138" i="30"/>
  <c r="F138" i="30"/>
  <c r="I137" i="30"/>
  <c r="G137" i="30"/>
  <c r="F137" i="30"/>
  <c r="I136" i="30"/>
  <c r="G136" i="30"/>
  <c r="F136" i="30"/>
  <c r="I135" i="30"/>
  <c r="G135" i="30"/>
  <c r="F135" i="30"/>
  <c r="I134" i="30"/>
  <c r="G134" i="30"/>
  <c r="F134" i="30"/>
  <c r="I133" i="30"/>
  <c r="G133" i="30"/>
  <c r="F133" i="30"/>
  <c r="I132" i="30"/>
  <c r="G132" i="30"/>
  <c r="F132" i="30"/>
  <c r="I131" i="30"/>
  <c r="G131" i="30"/>
  <c r="F131" i="30"/>
  <c r="I130" i="30"/>
  <c r="G130" i="30"/>
  <c r="F130" i="30"/>
  <c r="I129" i="30"/>
  <c r="G129" i="30"/>
  <c r="F129" i="30"/>
  <c r="I128" i="30"/>
  <c r="G128" i="30"/>
  <c r="F128" i="30"/>
  <c r="I127" i="30"/>
  <c r="G127" i="30"/>
  <c r="F127" i="30"/>
  <c r="I126" i="30"/>
  <c r="G126" i="30"/>
  <c r="F126" i="30"/>
  <c r="I125" i="30"/>
  <c r="G125" i="30"/>
  <c r="F125" i="30"/>
  <c r="I124" i="30"/>
  <c r="G124" i="30"/>
  <c r="F124" i="30"/>
  <c r="I123" i="30"/>
  <c r="G123" i="30"/>
  <c r="F123" i="30"/>
  <c r="I122" i="30"/>
  <c r="G122" i="30"/>
  <c r="F122" i="30"/>
  <c r="I121" i="30"/>
  <c r="G121" i="30"/>
  <c r="F121" i="30"/>
  <c r="I120" i="30"/>
  <c r="G120" i="30"/>
  <c r="F120" i="30"/>
  <c r="I119" i="30"/>
  <c r="G119" i="30"/>
  <c r="F119" i="30"/>
  <c r="I118" i="30"/>
  <c r="G118" i="30"/>
  <c r="F118" i="30"/>
  <c r="I117" i="30"/>
  <c r="G117" i="30"/>
  <c r="F117" i="30"/>
  <c r="I116" i="30"/>
  <c r="G116" i="30"/>
  <c r="F116" i="30"/>
  <c r="I115" i="30"/>
  <c r="G115" i="30"/>
  <c r="F115" i="30"/>
  <c r="I114" i="30"/>
  <c r="G114" i="30"/>
  <c r="F114" i="30"/>
  <c r="I113" i="30"/>
  <c r="G113" i="30"/>
  <c r="F113" i="30"/>
  <c r="I112" i="30"/>
  <c r="G112" i="30"/>
  <c r="F112" i="30"/>
  <c r="I111" i="30"/>
  <c r="G111" i="30"/>
  <c r="F111" i="30"/>
  <c r="I110" i="30"/>
  <c r="G110" i="30"/>
  <c r="F110" i="30"/>
  <c r="I109" i="30"/>
  <c r="G109" i="30"/>
  <c r="F109" i="30"/>
  <c r="I108" i="30"/>
  <c r="G108" i="30"/>
  <c r="F108" i="30"/>
  <c r="I107" i="30"/>
  <c r="G107" i="30"/>
  <c r="F107" i="30"/>
  <c r="I106" i="30"/>
  <c r="G106" i="30"/>
  <c r="F106" i="30"/>
  <c r="I105" i="30"/>
  <c r="G105" i="30"/>
  <c r="F105" i="30"/>
  <c r="I104" i="30"/>
  <c r="G104" i="30"/>
  <c r="F104" i="30"/>
  <c r="I103" i="30"/>
  <c r="G103" i="30"/>
  <c r="F103" i="30"/>
  <c r="I102" i="30"/>
  <c r="G102" i="30"/>
  <c r="F102" i="30"/>
  <c r="I101" i="30"/>
  <c r="G101" i="30"/>
  <c r="F101" i="30"/>
  <c r="I100" i="30"/>
  <c r="G100" i="30"/>
  <c r="F100" i="30"/>
  <c r="I99" i="30"/>
  <c r="G99" i="30"/>
  <c r="F99" i="30"/>
  <c r="I98" i="30"/>
  <c r="G98" i="30"/>
  <c r="F98" i="30"/>
  <c r="I97" i="30"/>
  <c r="G97" i="30"/>
  <c r="F97" i="30"/>
  <c r="I96" i="30"/>
  <c r="G96" i="30"/>
  <c r="F96" i="30"/>
  <c r="I95" i="30"/>
  <c r="G95" i="30"/>
  <c r="F95" i="30"/>
  <c r="I94" i="30"/>
  <c r="G94" i="30"/>
  <c r="F94" i="30"/>
  <c r="I93" i="30"/>
  <c r="G93" i="30"/>
  <c r="F93" i="30"/>
  <c r="I92" i="30"/>
  <c r="G92" i="30"/>
  <c r="F92" i="30"/>
  <c r="I91" i="30"/>
  <c r="G91" i="30"/>
  <c r="F91" i="30"/>
  <c r="I90" i="30"/>
  <c r="G90" i="30"/>
  <c r="F90" i="30"/>
  <c r="I89" i="30"/>
  <c r="G89" i="30"/>
  <c r="F89" i="30"/>
  <c r="I88" i="30"/>
  <c r="G88" i="30"/>
  <c r="F88" i="30"/>
  <c r="I87" i="30"/>
  <c r="G87" i="30"/>
  <c r="F87" i="30"/>
  <c r="I86" i="30"/>
  <c r="G86" i="30"/>
  <c r="F86" i="30"/>
  <c r="I85" i="30"/>
  <c r="G85" i="30"/>
  <c r="F85" i="30"/>
  <c r="I84" i="30"/>
  <c r="G84" i="30"/>
  <c r="F84" i="30"/>
  <c r="I83" i="30"/>
  <c r="G83" i="30"/>
  <c r="F83" i="30"/>
  <c r="I82" i="30"/>
  <c r="G82" i="30"/>
  <c r="F82" i="30"/>
  <c r="I81" i="30"/>
  <c r="G81" i="30"/>
  <c r="F81" i="30"/>
  <c r="I80" i="30"/>
  <c r="G80" i="30"/>
  <c r="F80" i="30"/>
  <c r="I79" i="30"/>
  <c r="G79" i="30"/>
  <c r="F79" i="30"/>
  <c r="I78" i="30"/>
  <c r="G78" i="30"/>
  <c r="F78" i="30"/>
  <c r="I77" i="30"/>
  <c r="G77" i="30"/>
  <c r="F77" i="30"/>
  <c r="I76" i="30"/>
  <c r="G76" i="30"/>
  <c r="F76" i="30"/>
  <c r="I75" i="30"/>
  <c r="G75" i="30"/>
  <c r="F75" i="30"/>
  <c r="I74" i="30"/>
  <c r="G74" i="30"/>
  <c r="F74" i="30"/>
  <c r="I73" i="30"/>
  <c r="G73" i="30"/>
  <c r="F73" i="30"/>
  <c r="I72" i="30"/>
  <c r="G72" i="30"/>
  <c r="F72" i="30"/>
  <c r="I71" i="30"/>
  <c r="G71" i="30"/>
  <c r="F71" i="30"/>
  <c r="I70" i="30"/>
  <c r="G70" i="30"/>
  <c r="F70" i="30"/>
  <c r="I69" i="30"/>
  <c r="G69" i="30"/>
  <c r="F69" i="30"/>
  <c r="I68" i="30"/>
  <c r="G68" i="30"/>
  <c r="F68" i="30"/>
  <c r="I67" i="30"/>
  <c r="G67" i="30"/>
  <c r="F67" i="30"/>
  <c r="I66" i="30"/>
  <c r="G66" i="30"/>
  <c r="F66" i="30"/>
  <c r="I65" i="30"/>
  <c r="G65" i="30"/>
  <c r="F65" i="30"/>
  <c r="I64" i="30"/>
  <c r="G64" i="30"/>
  <c r="F64" i="30"/>
  <c r="I63" i="30"/>
  <c r="G63" i="30"/>
  <c r="F63" i="30"/>
  <c r="I62" i="30"/>
  <c r="G62" i="30"/>
  <c r="F62" i="30"/>
  <c r="I61" i="30"/>
  <c r="G61" i="30"/>
  <c r="F61" i="30"/>
  <c r="I60" i="30"/>
  <c r="G60" i="30"/>
  <c r="F60" i="30"/>
  <c r="I59" i="30"/>
  <c r="G59" i="30"/>
  <c r="F59" i="30"/>
  <c r="I58" i="30"/>
  <c r="G58" i="30"/>
  <c r="F58" i="30"/>
  <c r="I57" i="30"/>
  <c r="G57" i="30"/>
  <c r="F57" i="30"/>
  <c r="I56" i="30"/>
  <c r="G56" i="30"/>
  <c r="F56" i="30"/>
  <c r="I55" i="30"/>
  <c r="G55" i="30"/>
  <c r="F55" i="30"/>
  <c r="I54" i="30"/>
  <c r="G54" i="30"/>
  <c r="F54" i="30"/>
  <c r="I53" i="30"/>
  <c r="G53" i="30"/>
  <c r="F53" i="30"/>
  <c r="I52" i="30"/>
  <c r="G52" i="30"/>
  <c r="F52" i="30"/>
  <c r="I51" i="30"/>
  <c r="G51" i="30"/>
  <c r="F51" i="30"/>
  <c r="I50" i="30"/>
  <c r="G50" i="30"/>
  <c r="F50" i="30"/>
  <c r="I49" i="30"/>
  <c r="G49" i="30"/>
  <c r="F49" i="30"/>
  <c r="I48" i="30"/>
  <c r="G48" i="30"/>
  <c r="F48" i="30"/>
  <c r="I47" i="30"/>
  <c r="G47" i="30"/>
  <c r="F47" i="30"/>
  <c r="I46" i="30"/>
  <c r="G46" i="30"/>
  <c r="F46" i="30"/>
  <c r="I45" i="30"/>
  <c r="G45" i="30"/>
  <c r="F45" i="30"/>
  <c r="I44" i="30"/>
  <c r="G44" i="30"/>
  <c r="F44" i="30"/>
  <c r="I43" i="30"/>
  <c r="G43" i="30"/>
  <c r="F43" i="30"/>
  <c r="I42" i="30"/>
  <c r="G42" i="30"/>
  <c r="F42" i="30"/>
  <c r="I41" i="30"/>
  <c r="G41" i="30"/>
  <c r="F41" i="30"/>
  <c r="I40" i="30"/>
  <c r="G40" i="30"/>
  <c r="F40" i="30"/>
  <c r="I39" i="30"/>
  <c r="G39" i="30"/>
  <c r="F39" i="30"/>
  <c r="I38" i="30"/>
  <c r="G38" i="30"/>
  <c r="F38" i="30"/>
  <c r="I37" i="30"/>
  <c r="G37" i="30"/>
  <c r="F37" i="30"/>
  <c r="I36" i="30"/>
  <c r="G36" i="30"/>
  <c r="F36" i="30"/>
  <c r="I35" i="30"/>
  <c r="G35" i="30"/>
  <c r="F35" i="30"/>
  <c r="I34" i="30"/>
  <c r="G34" i="30"/>
  <c r="F34" i="30"/>
  <c r="I33" i="30"/>
  <c r="G33" i="30"/>
  <c r="F33" i="30"/>
  <c r="I32" i="30"/>
  <c r="G32" i="30"/>
  <c r="F32" i="30"/>
  <c r="I31" i="30"/>
  <c r="G31" i="30"/>
  <c r="F31" i="30"/>
  <c r="I30" i="30"/>
  <c r="G30" i="30"/>
  <c r="F30" i="30"/>
  <c r="I29" i="30"/>
  <c r="G29" i="30"/>
  <c r="F29" i="30"/>
  <c r="I28" i="30"/>
  <c r="G28" i="30"/>
  <c r="F28" i="30"/>
  <c r="I27" i="30"/>
  <c r="G27" i="30"/>
  <c r="F27" i="30"/>
  <c r="I26" i="30"/>
  <c r="G26" i="30"/>
  <c r="F26" i="30"/>
  <c r="I25" i="30"/>
  <c r="G25" i="30"/>
  <c r="F25" i="30"/>
  <c r="I24" i="30"/>
  <c r="G24" i="30"/>
  <c r="F24" i="30"/>
  <c r="I23" i="30"/>
  <c r="G23" i="30"/>
  <c r="F23" i="30"/>
  <c r="I22" i="30"/>
  <c r="G22" i="30"/>
  <c r="F22" i="30"/>
  <c r="I21" i="30"/>
  <c r="G21" i="30"/>
  <c r="F21" i="30"/>
  <c r="I20" i="30"/>
  <c r="G20" i="30"/>
  <c r="F20" i="30"/>
  <c r="I19" i="30"/>
  <c r="G19" i="30"/>
  <c r="F19" i="30"/>
  <c r="I18" i="30"/>
  <c r="G18" i="30"/>
  <c r="F18" i="30"/>
  <c r="I17" i="30"/>
  <c r="G17" i="30"/>
  <c r="F17" i="30"/>
  <c r="I16" i="30"/>
  <c r="G16" i="30"/>
  <c r="F16" i="30"/>
  <c r="I15" i="30"/>
  <c r="G15" i="30"/>
  <c r="F15" i="30"/>
  <c r="I14" i="30"/>
  <c r="G14" i="30"/>
  <c r="F14" i="30"/>
  <c r="I13" i="30"/>
  <c r="G13" i="30"/>
  <c r="F13" i="30"/>
  <c r="I12" i="30"/>
  <c r="G12" i="30"/>
  <c r="F12" i="30"/>
  <c r="I11" i="30"/>
  <c r="G11" i="30"/>
  <c r="F11" i="30"/>
  <c r="I10" i="30"/>
  <c r="G10" i="30"/>
  <c r="F10" i="30"/>
  <c r="I9" i="30"/>
  <c r="G9" i="30"/>
  <c r="F9" i="30"/>
  <c r="I8" i="30"/>
  <c r="G8" i="30"/>
  <c r="F8" i="30"/>
  <c r="I7" i="30"/>
  <c r="G7" i="30"/>
  <c r="F7" i="30"/>
  <c r="I6" i="30"/>
  <c r="G6" i="30"/>
  <c r="F6" i="30"/>
  <c r="I5" i="30"/>
  <c r="G5" i="30"/>
  <c r="F5" i="30"/>
  <c r="I4" i="30"/>
  <c r="G4" i="30"/>
  <c r="F4" i="30"/>
  <c r="D722" i="26"/>
  <c r="D721" i="26"/>
  <c r="D720" i="26"/>
  <c r="D719" i="26"/>
  <c r="D718" i="26"/>
  <c r="D717" i="26"/>
  <c r="D716" i="26"/>
  <c r="D715" i="26"/>
  <c r="D714" i="26"/>
  <c r="D713" i="26"/>
  <c r="D712" i="26"/>
  <c r="D711" i="26"/>
  <c r="D710" i="26"/>
  <c r="D709" i="26"/>
  <c r="D708" i="26"/>
  <c r="D707" i="26"/>
  <c r="D706" i="26"/>
  <c r="D705" i="26"/>
  <c r="D704" i="26"/>
  <c r="D703" i="26"/>
  <c r="D702" i="26"/>
  <c r="D701" i="26"/>
  <c r="D700" i="26"/>
  <c r="D699" i="26"/>
  <c r="D698" i="26"/>
  <c r="D697" i="26"/>
  <c r="D696" i="26"/>
  <c r="D695" i="26"/>
  <c r="D694" i="26"/>
  <c r="D693" i="26"/>
  <c r="D692" i="26"/>
  <c r="D691" i="26"/>
  <c r="D690" i="26"/>
  <c r="D689" i="26"/>
  <c r="D688" i="26"/>
  <c r="D687" i="26"/>
  <c r="D686" i="26"/>
  <c r="D685" i="26"/>
  <c r="D684" i="26"/>
  <c r="D683" i="26"/>
  <c r="D682" i="26"/>
  <c r="D681" i="26"/>
  <c r="D680" i="26"/>
  <c r="D679" i="26"/>
  <c r="D678" i="26"/>
  <c r="D677" i="26"/>
  <c r="D676" i="26"/>
  <c r="D675" i="26"/>
  <c r="D674" i="26"/>
  <c r="D673" i="26"/>
  <c r="D672" i="26"/>
  <c r="D671" i="26"/>
  <c r="D670" i="26"/>
  <c r="D669" i="26"/>
  <c r="D668" i="26"/>
  <c r="D667" i="26"/>
  <c r="D666" i="26"/>
  <c r="D665" i="26"/>
  <c r="D664" i="26"/>
  <c r="D663" i="26"/>
  <c r="D662" i="26"/>
  <c r="D661" i="26"/>
  <c r="D660" i="26"/>
  <c r="D659" i="26"/>
  <c r="D658" i="26"/>
  <c r="D657" i="26"/>
  <c r="D656" i="26"/>
  <c r="D655" i="26"/>
  <c r="D654" i="26"/>
  <c r="D653" i="26"/>
  <c r="D652" i="26"/>
  <c r="D651" i="26"/>
  <c r="D650" i="26"/>
  <c r="D649" i="26"/>
  <c r="D648" i="26"/>
  <c r="D647" i="26"/>
  <c r="D646" i="26"/>
  <c r="D645" i="26"/>
  <c r="D644" i="26"/>
  <c r="D643" i="26"/>
  <c r="D642" i="26"/>
  <c r="D641" i="26"/>
  <c r="D640" i="26"/>
  <c r="D639" i="26"/>
  <c r="D638" i="26"/>
  <c r="D637" i="26"/>
  <c r="D636" i="26"/>
  <c r="D635" i="26"/>
  <c r="D634" i="26"/>
  <c r="D633" i="26"/>
  <c r="D632" i="26"/>
  <c r="D631" i="26"/>
  <c r="D630" i="26"/>
  <c r="D629" i="26"/>
  <c r="D628" i="26"/>
  <c r="D627" i="26"/>
  <c r="D626" i="26"/>
  <c r="D625" i="26"/>
  <c r="D624" i="26"/>
  <c r="D623" i="26"/>
  <c r="D622" i="26"/>
  <c r="D621" i="26"/>
  <c r="D620" i="26"/>
  <c r="D619" i="26"/>
  <c r="D618" i="26"/>
  <c r="D617" i="26"/>
  <c r="D616" i="26"/>
  <c r="D615" i="26"/>
  <c r="D614" i="26"/>
  <c r="D613" i="26"/>
  <c r="D612" i="26"/>
  <c r="D611" i="26"/>
  <c r="D610" i="26"/>
  <c r="D609" i="26"/>
  <c r="D608" i="26"/>
  <c r="D607" i="26"/>
  <c r="D606" i="26"/>
  <c r="D605" i="26"/>
  <c r="D604" i="26"/>
  <c r="D603" i="26"/>
  <c r="D602" i="26"/>
  <c r="D601" i="26"/>
  <c r="D600" i="26"/>
  <c r="D599" i="26"/>
  <c r="D598" i="26"/>
  <c r="D597" i="26"/>
  <c r="D596" i="26"/>
  <c r="D595" i="26"/>
  <c r="D594" i="26"/>
  <c r="D593" i="26"/>
  <c r="D592" i="26"/>
  <c r="D591" i="26"/>
  <c r="D590" i="26"/>
  <c r="D589" i="26"/>
  <c r="D588" i="26"/>
  <c r="D587" i="26"/>
  <c r="D586" i="26"/>
  <c r="D585" i="26"/>
  <c r="D584" i="26"/>
  <c r="D583" i="26"/>
  <c r="D582" i="26"/>
  <c r="D581" i="26"/>
  <c r="D580" i="26"/>
  <c r="D579" i="26"/>
  <c r="D578" i="26"/>
  <c r="D577" i="26"/>
  <c r="D576" i="26"/>
  <c r="D575" i="26"/>
  <c r="D574" i="26"/>
  <c r="D573" i="26"/>
  <c r="D572" i="26"/>
  <c r="D571" i="26"/>
  <c r="D570" i="26"/>
  <c r="D569" i="26"/>
  <c r="D568" i="26"/>
  <c r="D567" i="26"/>
  <c r="D566" i="26"/>
  <c r="D565" i="26"/>
  <c r="D564" i="26"/>
  <c r="D563" i="26"/>
  <c r="D562" i="26"/>
  <c r="D561" i="26"/>
  <c r="D560" i="26"/>
  <c r="D559" i="26"/>
  <c r="D558" i="26"/>
  <c r="D557" i="26"/>
  <c r="D556" i="26"/>
  <c r="D555" i="26"/>
  <c r="D554" i="26"/>
  <c r="D553" i="26"/>
  <c r="D552" i="26"/>
  <c r="D551" i="26"/>
  <c r="D550" i="26"/>
  <c r="D549" i="26"/>
  <c r="D548" i="26"/>
  <c r="D547" i="26"/>
  <c r="D546" i="26"/>
  <c r="D545" i="26"/>
  <c r="D544" i="26"/>
  <c r="D543" i="26"/>
  <c r="D542" i="26"/>
  <c r="D541" i="26"/>
  <c r="D540" i="26"/>
  <c r="D539" i="26"/>
  <c r="D538" i="26"/>
  <c r="D537" i="26"/>
  <c r="D536" i="26"/>
  <c r="D535" i="26"/>
  <c r="D534" i="26"/>
  <c r="D533" i="26"/>
  <c r="D532" i="26"/>
  <c r="D531" i="26"/>
  <c r="D530" i="26"/>
  <c r="D529" i="26"/>
  <c r="D528" i="26"/>
  <c r="D527" i="26"/>
  <c r="D526" i="26"/>
  <c r="D525" i="26"/>
  <c r="D524" i="26"/>
  <c r="D523" i="26"/>
  <c r="D522" i="26"/>
  <c r="D521" i="26"/>
  <c r="D520" i="26"/>
  <c r="D519" i="26"/>
  <c r="D518" i="26"/>
  <c r="D517" i="26"/>
  <c r="D516" i="26"/>
  <c r="D515" i="26"/>
  <c r="D514" i="26"/>
  <c r="D513" i="26"/>
  <c r="D512" i="26"/>
  <c r="D511" i="26"/>
  <c r="D510" i="26"/>
  <c r="D509" i="26"/>
  <c r="D508" i="26"/>
  <c r="D507" i="26"/>
  <c r="D506" i="26"/>
  <c r="D505" i="26"/>
  <c r="D504" i="26"/>
  <c r="D503" i="26"/>
  <c r="D502" i="26"/>
  <c r="D501" i="26"/>
  <c r="D500" i="26"/>
  <c r="D499" i="26"/>
  <c r="D498" i="26"/>
  <c r="D497" i="26"/>
  <c r="D496" i="26"/>
  <c r="D495" i="26"/>
  <c r="D494" i="26"/>
  <c r="D493" i="26"/>
  <c r="D492" i="26"/>
  <c r="D491" i="26"/>
  <c r="D490" i="26"/>
  <c r="D489" i="26"/>
  <c r="D488" i="26"/>
  <c r="D487" i="26"/>
  <c r="D486" i="26"/>
  <c r="D485" i="26"/>
  <c r="D484" i="26"/>
  <c r="D483" i="26"/>
  <c r="D482" i="26"/>
  <c r="D481" i="26"/>
  <c r="D480" i="26"/>
  <c r="D479" i="26"/>
  <c r="D478" i="26"/>
  <c r="D477" i="26"/>
  <c r="D476" i="26"/>
  <c r="D475" i="26"/>
  <c r="D474" i="26"/>
  <c r="D473" i="26"/>
  <c r="D472" i="26"/>
  <c r="D471" i="26"/>
  <c r="D470" i="26"/>
  <c r="D469" i="26"/>
  <c r="D468" i="26"/>
  <c r="D467" i="26"/>
  <c r="D466" i="26"/>
  <c r="D465" i="26"/>
  <c r="D464" i="26"/>
  <c r="D463" i="26"/>
  <c r="D462" i="26"/>
  <c r="D461" i="26"/>
  <c r="D460" i="26"/>
  <c r="D459" i="26"/>
  <c r="D458" i="26"/>
  <c r="D457" i="26"/>
  <c r="D456" i="26"/>
  <c r="D455" i="26"/>
  <c r="D454" i="26"/>
  <c r="D453" i="26"/>
  <c r="D452" i="26"/>
  <c r="D451" i="26"/>
  <c r="D450" i="26"/>
  <c r="D449" i="26"/>
  <c r="D448" i="26"/>
  <c r="D447" i="26"/>
  <c r="D446" i="26"/>
  <c r="D445" i="26"/>
  <c r="D444" i="26"/>
  <c r="D443" i="26"/>
  <c r="D442" i="26"/>
  <c r="D441" i="26"/>
  <c r="D440" i="26"/>
  <c r="D439" i="26"/>
  <c r="D438" i="26"/>
  <c r="D437" i="26"/>
  <c r="D436" i="26"/>
  <c r="D435" i="26"/>
  <c r="D434" i="26"/>
  <c r="D433" i="26"/>
  <c r="D432" i="26"/>
  <c r="D431" i="26"/>
  <c r="D430" i="26"/>
  <c r="D429" i="26"/>
  <c r="D428" i="26"/>
  <c r="D427" i="26"/>
  <c r="D426" i="26"/>
  <c r="D425" i="26"/>
  <c r="D424" i="26"/>
  <c r="D423" i="26"/>
  <c r="D422" i="26"/>
  <c r="D421" i="26"/>
  <c r="D420" i="26"/>
  <c r="D419" i="26"/>
  <c r="D418" i="26"/>
  <c r="D417" i="26"/>
  <c r="D416" i="26"/>
  <c r="D415" i="26"/>
  <c r="D414" i="26"/>
  <c r="D413" i="26"/>
  <c r="D412" i="26"/>
  <c r="D411" i="26"/>
  <c r="D410" i="26"/>
  <c r="D409" i="26"/>
  <c r="D408" i="26"/>
  <c r="D407" i="26"/>
  <c r="D406" i="26"/>
  <c r="D405" i="26"/>
  <c r="D404" i="26"/>
  <c r="D403" i="26"/>
  <c r="D402" i="26"/>
  <c r="D401" i="26"/>
  <c r="D400" i="26"/>
  <c r="D399" i="26"/>
  <c r="D398" i="26"/>
  <c r="D397" i="26"/>
  <c r="D396" i="26"/>
  <c r="D395" i="26"/>
  <c r="D394" i="26"/>
  <c r="D393" i="26"/>
  <c r="D392" i="26"/>
  <c r="D391" i="26"/>
  <c r="D390" i="26"/>
  <c r="D389" i="26"/>
  <c r="D388" i="26"/>
  <c r="D387" i="26"/>
  <c r="D386" i="26"/>
  <c r="D385" i="26"/>
  <c r="D384" i="26"/>
  <c r="D383" i="26"/>
  <c r="D382" i="26"/>
  <c r="D381" i="26"/>
  <c r="D380" i="26"/>
  <c r="D379" i="26"/>
  <c r="D378" i="26"/>
  <c r="D377" i="26"/>
  <c r="D376" i="26"/>
  <c r="D375" i="26"/>
  <c r="D374" i="26"/>
  <c r="D373" i="26"/>
  <c r="D372" i="26"/>
  <c r="D371" i="26"/>
  <c r="D370" i="26"/>
  <c r="D369" i="26"/>
  <c r="D368" i="26"/>
  <c r="D367" i="26"/>
  <c r="D366" i="26"/>
  <c r="D365" i="26"/>
  <c r="D364" i="26"/>
  <c r="D363" i="26"/>
  <c r="D362" i="26"/>
  <c r="D361" i="26"/>
  <c r="D360" i="26"/>
  <c r="D359" i="26"/>
  <c r="D358" i="26"/>
  <c r="D357" i="26"/>
  <c r="D356" i="26"/>
  <c r="D355" i="26"/>
  <c r="D354" i="26"/>
  <c r="D353" i="26"/>
  <c r="D352" i="26"/>
  <c r="D351" i="26"/>
  <c r="D350" i="26"/>
  <c r="D349" i="26"/>
  <c r="D348" i="26"/>
  <c r="D347" i="26"/>
  <c r="D346" i="26"/>
  <c r="D345" i="26"/>
  <c r="D344" i="26"/>
  <c r="D343" i="26"/>
  <c r="D342" i="26"/>
  <c r="D341" i="26"/>
  <c r="D340" i="26"/>
  <c r="D339" i="26"/>
  <c r="D338" i="26"/>
  <c r="D337" i="26"/>
  <c r="D336" i="26"/>
  <c r="D335" i="26"/>
  <c r="D334" i="26"/>
  <c r="D333" i="26"/>
  <c r="D332" i="26"/>
  <c r="D331" i="26"/>
  <c r="D330" i="26"/>
  <c r="D329" i="26"/>
  <c r="D328" i="26"/>
  <c r="D327" i="26"/>
  <c r="D326" i="26"/>
  <c r="D325" i="26"/>
  <c r="D324" i="26"/>
  <c r="D323" i="26"/>
  <c r="D322" i="26"/>
  <c r="D321" i="26"/>
  <c r="D320" i="26"/>
  <c r="D319" i="26"/>
  <c r="D318" i="26"/>
  <c r="D317" i="26"/>
  <c r="D316" i="26"/>
  <c r="D315" i="26"/>
  <c r="D314" i="26"/>
  <c r="D313" i="26"/>
  <c r="D312" i="26"/>
  <c r="D311" i="26"/>
  <c r="D310" i="26"/>
  <c r="D309" i="26"/>
  <c r="D308" i="26"/>
  <c r="D307" i="26"/>
  <c r="D306" i="26"/>
  <c r="D305" i="26"/>
  <c r="D304" i="26"/>
  <c r="D303" i="26"/>
  <c r="D302" i="26"/>
  <c r="D301" i="26"/>
  <c r="D300" i="26"/>
  <c r="D299" i="26"/>
  <c r="D298" i="26"/>
  <c r="D297" i="26"/>
  <c r="D296" i="26"/>
  <c r="D295" i="26"/>
  <c r="D294" i="26"/>
  <c r="D293" i="26"/>
  <c r="D292" i="26"/>
  <c r="D291" i="26"/>
  <c r="D290" i="26"/>
  <c r="D289" i="26"/>
  <c r="D288" i="26"/>
  <c r="D287" i="26"/>
  <c r="D286" i="26"/>
  <c r="D285" i="26"/>
  <c r="D284" i="26"/>
  <c r="D283" i="26"/>
  <c r="D282" i="26"/>
  <c r="D281" i="26"/>
  <c r="D280" i="26"/>
  <c r="D279" i="26"/>
  <c r="D278" i="26"/>
  <c r="D277" i="26"/>
  <c r="D276" i="26"/>
  <c r="D275" i="26"/>
  <c r="D274" i="26"/>
  <c r="D273" i="26"/>
  <c r="D272" i="26"/>
  <c r="D271" i="26"/>
  <c r="D270" i="26"/>
  <c r="D269" i="26"/>
  <c r="D268" i="26"/>
  <c r="D267" i="26"/>
  <c r="D266" i="26"/>
  <c r="D265" i="26"/>
  <c r="D264" i="26"/>
  <c r="D263" i="26"/>
  <c r="D262" i="26"/>
  <c r="D261" i="26"/>
  <c r="D260" i="26"/>
  <c r="D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D187" i="26"/>
  <c r="D186" i="26"/>
  <c r="D185" i="26"/>
  <c r="D184" i="26"/>
  <c r="D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E132" i="26" s="1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E118" i="26" s="1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E96" i="26" s="1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E75" i="26" s="1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E9" i="26" s="1"/>
  <c r="D8" i="26"/>
  <c r="E8" i="26" s="1"/>
  <c r="D7" i="26"/>
  <c r="D6" i="26"/>
  <c r="E6" i="26" s="1"/>
  <c r="D5" i="26"/>
  <c r="D4" i="26"/>
  <c r="D3" i="26"/>
  <c r="D2" i="26"/>
  <c r="O2" i="6"/>
  <c r="X2" i="6"/>
  <c r="C2" i="6"/>
  <c r="W2" i="6"/>
  <c r="R5" i="6"/>
  <c r="T2" i="6"/>
  <c r="D2" i="6"/>
  <c r="P2" i="6"/>
  <c r="B5" i="6"/>
  <c r="S2" i="6"/>
  <c r="A5" i="6" l="1"/>
  <c r="N4" i="6"/>
  <c r="V4" i="6"/>
  <c r="H209" i="30"/>
  <c r="H225" i="30"/>
  <c r="J221" i="30"/>
  <c r="H236" i="30"/>
  <c r="J6" i="30"/>
  <c r="H124" i="30"/>
  <c r="H203" i="30"/>
  <c r="H230" i="30"/>
  <c r="H254" i="30"/>
  <c r="J108" i="30"/>
  <c r="H119" i="30"/>
  <c r="H273" i="30"/>
  <c r="J87" i="30"/>
  <c r="H98" i="30"/>
  <c r="H247" i="30"/>
  <c r="H316" i="30"/>
  <c r="H332" i="30"/>
  <c r="H45" i="30"/>
  <c r="J50" i="30"/>
  <c r="H61" i="30"/>
  <c r="J66" i="30"/>
  <c r="H77" i="30"/>
  <c r="J161" i="30"/>
  <c r="H40" i="30"/>
  <c r="H140" i="30"/>
  <c r="H35" i="30"/>
  <c r="J232" i="30"/>
  <c r="J353" i="30"/>
  <c r="J145" i="30"/>
  <c r="H190" i="30"/>
  <c r="H238" i="30"/>
  <c r="J282" i="30"/>
  <c r="J186" i="30"/>
  <c r="H275" i="30"/>
  <c r="J280" i="30"/>
  <c r="J344" i="30"/>
  <c r="J129" i="30"/>
  <c r="H188" i="30"/>
  <c r="H269" i="30"/>
  <c r="J330" i="30"/>
  <c r="J239" i="30"/>
  <c r="H260" i="30"/>
  <c r="H156" i="30"/>
  <c r="H64" i="30"/>
  <c r="H80" i="30"/>
  <c r="J250" i="30"/>
  <c r="H172" i="30"/>
  <c r="H32" i="30"/>
  <c r="H37" i="30"/>
  <c r="H42" i="30"/>
  <c r="J47" i="30"/>
  <c r="H58" i="30"/>
  <c r="J63" i="30"/>
  <c r="H74" i="30"/>
  <c r="J79" i="30"/>
  <c r="J84" i="30"/>
  <c r="H95" i="30"/>
  <c r="H100" i="30"/>
  <c r="J105" i="30"/>
  <c r="H116" i="30"/>
  <c r="J121" i="30"/>
  <c r="J126" i="30"/>
  <c r="H137" i="30"/>
  <c r="J142" i="30"/>
  <c r="H153" i="30"/>
  <c r="J158" i="30"/>
  <c r="H169" i="30"/>
  <c r="J174" i="30"/>
  <c r="H206" i="30"/>
  <c r="J216" i="30"/>
  <c r="H227" i="30"/>
  <c r="J228" i="30"/>
  <c r="J262" i="30"/>
  <c r="J277" i="30"/>
  <c r="J290" i="30"/>
  <c r="J32" i="30"/>
  <c r="H69" i="30"/>
  <c r="H180" i="30"/>
  <c r="J27" i="30"/>
  <c r="H48" i="30"/>
  <c r="J53" i="30"/>
  <c r="J69" i="30"/>
  <c r="H85" i="30"/>
  <c r="J90" i="30"/>
  <c r="H106" i="30"/>
  <c r="J111" i="30"/>
  <c r="H127" i="30"/>
  <c r="J132" i="30"/>
  <c r="H143" i="30"/>
  <c r="J148" i="30"/>
  <c r="H159" i="30"/>
  <c r="J164" i="30"/>
  <c r="H175" i="30"/>
  <c r="J196" i="30"/>
  <c r="H217" i="30"/>
  <c r="J238" i="30"/>
  <c r="H253" i="30"/>
  <c r="H263" i="30"/>
  <c r="H283" i="30"/>
  <c r="H319" i="30"/>
  <c r="J350" i="30"/>
  <c r="J42" i="30"/>
  <c r="J95" i="30"/>
  <c r="H148" i="30"/>
  <c r="J225" i="30"/>
  <c r="H33" i="30"/>
  <c r="H38" i="30"/>
  <c r="H43" i="30"/>
  <c r="J48" i="30"/>
  <c r="H59" i="30"/>
  <c r="J64" i="30"/>
  <c r="H75" i="30"/>
  <c r="J80" i="30"/>
  <c r="J85" i="30"/>
  <c r="H96" i="30"/>
  <c r="H101" i="30"/>
  <c r="J106" i="30"/>
  <c r="H117" i="30"/>
  <c r="H122" i="30"/>
  <c r="J127" i="30"/>
  <c r="H138" i="30"/>
  <c r="J143" i="30"/>
  <c r="H154" i="30"/>
  <c r="J159" i="30"/>
  <c r="H170" i="30"/>
  <c r="J175" i="30"/>
  <c r="H186" i="30"/>
  <c r="H207" i="30"/>
  <c r="H212" i="30"/>
  <c r="H228" i="30"/>
  <c r="J233" i="30"/>
  <c r="J248" i="30"/>
  <c r="J288" i="30"/>
  <c r="J334" i="30"/>
  <c r="H27" i="30"/>
  <c r="J74" i="30"/>
  <c r="H111" i="30"/>
  <c r="J137" i="30"/>
  <c r="H196" i="30"/>
  <c r="J345" i="30"/>
  <c r="H22" i="30"/>
  <c r="H28" i="30"/>
  <c r="J33" i="30"/>
  <c r="J38" i="30"/>
  <c r="J43" i="30"/>
  <c r="H54" i="30"/>
  <c r="J59" i="30"/>
  <c r="H70" i="30"/>
  <c r="J75" i="30"/>
  <c r="H91" i="30"/>
  <c r="J96" i="30"/>
  <c r="J101" i="30"/>
  <c r="H112" i="30"/>
  <c r="J117" i="30"/>
  <c r="J122" i="30"/>
  <c r="H133" i="30"/>
  <c r="J138" i="30"/>
  <c r="H149" i="30"/>
  <c r="J154" i="30"/>
  <c r="H165" i="30"/>
  <c r="J170" i="30"/>
  <c r="H181" i="30"/>
  <c r="J199" i="30"/>
  <c r="H239" i="30"/>
  <c r="H242" i="30"/>
  <c r="J273" i="30"/>
  <c r="J346" i="30"/>
  <c r="J58" i="30"/>
  <c r="H90" i="30"/>
  <c r="J102" i="30"/>
  <c r="H164" i="30"/>
  <c r="J206" i="30"/>
  <c r="J12" i="30"/>
  <c r="J28" i="30"/>
  <c r="H49" i="30"/>
  <c r="J54" i="30"/>
  <c r="H65" i="30"/>
  <c r="J70" i="30"/>
  <c r="H81" i="30"/>
  <c r="H86" i="30"/>
  <c r="J91" i="30"/>
  <c r="H107" i="30"/>
  <c r="J112" i="30"/>
  <c r="H128" i="30"/>
  <c r="J133" i="30"/>
  <c r="H144" i="30"/>
  <c r="J149" i="30"/>
  <c r="H160" i="30"/>
  <c r="J165" i="30"/>
  <c r="H176" i="30"/>
  <c r="J181" i="30"/>
  <c r="H192" i="30"/>
  <c r="J223" i="30"/>
  <c r="H249" i="30"/>
  <c r="H287" i="30"/>
  <c r="H299" i="30"/>
  <c r="H336" i="30"/>
  <c r="J341" i="30"/>
  <c r="H53" i="30"/>
  <c r="J100" i="30"/>
  <c r="H132" i="30"/>
  <c r="H331" i="30"/>
  <c r="H34" i="30"/>
  <c r="H39" i="30"/>
  <c r="H44" i="30"/>
  <c r="J49" i="30"/>
  <c r="H60" i="30"/>
  <c r="J65" i="30"/>
  <c r="H76" i="30"/>
  <c r="J81" i="30"/>
  <c r="J86" i="30"/>
  <c r="H97" i="30"/>
  <c r="H102" i="30"/>
  <c r="J107" i="30"/>
  <c r="H118" i="30"/>
  <c r="H123" i="30"/>
  <c r="J128" i="30"/>
  <c r="H139" i="30"/>
  <c r="J144" i="30"/>
  <c r="H155" i="30"/>
  <c r="J160" i="30"/>
  <c r="H171" i="30"/>
  <c r="J192" i="30"/>
  <c r="J244" i="30"/>
  <c r="H259" i="30"/>
  <c r="H274" i="30"/>
  <c r="J279" i="30"/>
  <c r="J284" i="30"/>
  <c r="J289" i="30"/>
  <c r="J304" i="30"/>
  <c r="H315" i="30"/>
  <c r="J336" i="30"/>
  <c r="J153" i="30"/>
  <c r="J185" i="30"/>
  <c r="H24" i="30"/>
  <c r="H29" i="30"/>
  <c r="J34" i="30"/>
  <c r="J39" i="30"/>
  <c r="J44" i="30"/>
  <c r="H55" i="30"/>
  <c r="J60" i="30"/>
  <c r="H71" i="30"/>
  <c r="J76" i="30"/>
  <c r="H92" i="30"/>
  <c r="J97" i="30"/>
  <c r="H113" i="30"/>
  <c r="J118" i="30"/>
  <c r="J123" i="30"/>
  <c r="H134" i="30"/>
  <c r="J139" i="30"/>
  <c r="H150" i="30"/>
  <c r="J155" i="30"/>
  <c r="H166" i="30"/>
  <c r="J171" i="30"/>
  <c r="J203" i="30"/>
  <c r="J213" i="30"/>
  <c r="J259" i="30"/>
  <c r="J274" i="30"/>
  <c r="J37" i="30"/>
  <c r="J116" i="30"/>
  <c r="J169" i="30"/>
  <c r="J24" i="30"/>
  <c r="J29" i="30"/>
  <c r="H50" i="30"/>
  <c r="J55" i="30"/>
  <c r="H66" i="30"/>
  <c r="J71" i="30"/>
  <c r="H82" i="30"/>
  <c r="H87" i="30"/>
  <c r="J92" i="30"/>
  <c r="H108" i="30"/>
  <c r="J113" i="30"/>
  <c r="H129" i="30"/>
  <c r="J134" i="30"/>
  <c r="H145" i="30"/>
  <c r="J150" i="30"/>
  <c r="H161" i="30"/>
  <c r="J166" i="30"/>
  <c r="J182" i="30"/>
  <c r="H193" i="30"/>
  <c r="H235" i="30"/>
  <c r="H245" i="30"/>
  <c r="H250" i="30"/>
  <c r="H285" i="30"/>
  <c r="H303" i="30"/>
  <c r="H25" i="30"/>
  <c r="H30" i="30"/>
  <c r="H16" i="30"/>
  <c r="J40" i="30"/>
  <c r="J45" i="30"/>
  <c r="H56" i="30"/>
  <c r="J61" i="30"/>
  <c r="H72" i="30"/>
  <c r="J77" i="30"/>
  <c r="H93" i="30"/>
  <c r="J98" i="30"/>
  <c r="J103" i="30"/>
  <c r="H114" i="30"/>
  <c r="J119" i="30"/>
  <c r="J124" i="30"/>
  <c r="H135" i="30"/>
  <c r="J140" i="30"/>
  <c r="H151" i="30"/>
  <c r="J156" i="30"/>
  <c r="H167" i="30"/>
  <c r="J172" i="30"/>
  <c r="H183" i="30"/>
  <c r="H199" i="30"/>
  <c r="H223" i="30"/>
  <c r="J275" i="30"/>
  <c r="J261" i="30"/>
  <c r="J276" i="30"/>
  <c r="J300" i="30"/>
  <c r="H311" i="30"/>
  <c r="H327" i="30"/>
  <c r="H343" i="30"/>
  <c r="J82" i="30"/>
  <c r="J25" i="30"/>
  <c r="J30" i="30"/>
  <c r="J35" i="30"/>
  <c r="H51" i="30"/>
  <c r="J56" i="30"/>
  <c r="H67" i="30"/>
  <c r="J72" i="30"/>
  <c r="H83" i="30"/>
  <c r="H88" i="30"/>
  <c r="J93" i="30"/>
  <c r="H109" i="30"/>
  <c r="J114" i="30"/>
  <c r="H130" i="30"/>
  <c r="J135" i="30"/>
  <c r="H146" i="30"/>
  <c r="J151" i="30"/>
  <c r="H162" i="30"/>
  <c r="J167" i="30"/>
  <c r="H178" i="30"/>
  <c r="J209" i="30"/>
  <c r="H220" i="30"/>
  <c r="H264" i="30"/>
  <c r="H286" i="30"/>
  <c r="H290" i="30"/>
  <c r="J327" i="30"/>
  <c r="H338" i="30"/>
  <c r="H41" i="30"/>
  <c r="H46" i="30"/>
  <c r="J51" i="30"/>
  <c r="H62" i="30"/>
  <c r="J67" i="30"/>
  <c r="H78" i="30"/>
  <c r="J88" i="30"/>
  <c r="H99" i="30"/>
  <c r="H104" i="30"/>
  <c r="J109" i="30"/>
  <c r="H120" i="30"/>
  <c r="H125" i="30"/>
  <c r="J130" i="30"/>
  <c r="H141" i="30"/>
  <c r="J146" i="30"/>
  <c r="H157" i="30"/>
  <c r="J162" i="30"/>
  <c r="H173" i="30"/>
  <c r="H189" i="30"/>
  <c r="H213" i="30"/>
  <c r="J241" i="30"/>
  <c r="J249" i="30"/>
  <c r="H256" i="30"/>
  <c r="H271" i="30"/>
  <c r="H276" i="30"/>
  <c r="J286" i="30"/>
  <c r="H293" i="30"/>
  <c r="H103" i="30"/>
  <c r="H31" i="30"/>
  <c r="H36" i="30"/>
  <c r="J41" i="30"/>
  <c r="J46" i="30"/>
  <c r="H57" i="30"/>
  <c r="J62" i="30"/>
  <c r="H73" i="30"/>
  <c r="J78" i="30"/>
  <c r="J83" i="30"/>
  <c r="H94" i="30"/>
  <c r="J104" i="30"/>
  <c r="H115" i="30"/>
  <c r="J120" i="30"/>
  <c r="J125" i="30"/>
  <c r="H136" i="30"/>
  <c r="J141" i="30"/>
  <c r="H152" i="30"/>
  <c r="J157" i="30"/>
  <c r="H168" i="30"/>
  <c r="J173" i="30"/>
  <c r="J189" i="30"/>
  <c r="H200" i="30"/>
  <c r="J205" i="30"/>
  <c r="H210" i="30"/>
  <c r="J231" i="30"/>
  <c r="J256" i="30"/>
  <c r="J260" i="30"/>
  <c r="J266" i="30"/>
  <c r="J296" i="30"/>
  <c r="H312" i="30"/>
  <c r="H354" i="30"/>
  <c r="J359" i="30"/>
  <c r="H26" i="30"/>
  <c r="J31" i="30"/>
  <c r="J36" i="30"/>
  <c r="J22" i="30"/>
  <c r="H52" i="30"/>
  <c r="J57" i="30"/>
  <c r="H68" i="30"/>
  <c r="J73" i="30"/>
  <c r="H89" i="30"/>
  <c r="J94" i="30"/>
  <c r="J99" i="30"/>
  <c r="H110" i="30"/>
  <c r="J115" i="30"/>
  <c r="H131" i="30"/>
  <c r="J136" i="30"/>
  <c r="H147" i="30"/>
  <c r="J152" i="30"/>
  <c r="H163" i="30"/>
  <c r="J168" i="30"/>
  <c r="H179" i="30"/>
  <c r="H195" i="30"/>
  <c r="J210" i="30"/>
  <c r="H237" i="30"/>
  <c r="H306" i="30"/>
  <c r="J354" i="30"/>
  <c r="J295" i="30"/>
  <c r="J26" i="30"/>
  <c r="H47" i="30"/>
  <c r="J52" i="30"/>
  <c r="H63" i="30"/>
  <c r="J68" i="30"/>
  <c r="H79" i="30"/>
  <c r="H84" i="30"/>
  <c r="J89" i="30"/>
  <c r="H105" i="30"/>
  <c r="J110" i="30"/>
  <c r="H121" i="30"/>
  <c r="H126" i="30"/>
  <c r="J131" i="30"/>
  <c r="H142" i="30"/>
  <c r="J147" i="30"/>
  <c r="H158" i="30"/>
  <c r="J163" i="30"/>
  <c r="H174" i="30"/>
  <c r="J178" i="30"/>
  <c r="J195" i="30"/>
  <c r="H216" i="30"/>
  <c r="H232" i="30"/>
  <c r="J235" i="30"/>
  <c r="J242" i="30"/>
  <c r="J245" i="30"/>
  <c r="H252" i="30"/>
  <c r="H282" i="30"/>
  <c r="J287" i="30"/>
  <c r="J323" i="30"/>
  <c r="J9" i="30"/>
  <c r="H19" i="30"/>
  <c r="J179" i="30"/>
  <c r="J193" i="30"/>
  <c r="J200" i="30"/>
  <c r="J236" i="30"/>
  <c r="H262" i="30"/>
  <c r="H265" i="30"/>
  <c r="H288" i="30"/>
  <c r="H284" i="30"/>
  <c r="J299" i="30"/>
  <c r="J303" i="30"/>
  <c r="H340" i="30"/>
  <c r="J338" i="30"/>
  <c r="H13" i="30"/>
  <c r="J19" i="30"/>
  <c r="J176" i="30"/>
  <c r="J183" i="30"/>
  <c r="H204" i="30"/>
  <c r="J207" i="30"/>
  <c r="J243" i="30"/>
  <c r="J265" i="30"/>
  <c r="H292" i="30"/>
  <c r="H296" i="30"/>
  <c r="H358" i="30"/>
  <c r="H10" i="30"/>
  <c r="J16" i="30"/>
  <c r="H194" i="30"/>
  <c r="J197" i="30"/>
  <c r="H201" i="30"/>
  <c r="H211" i="30"/>
  <c r="H218" i="30"/>
  <c r="H241" i="30"/>
  <c r="H248" i="30"/>
  <c r="J247" i="30"/>
  <c r="H270" i="30"/>
  <c r="J258" i="30"/>
  <c r="H281" i="30"/>
  <c r="J269" i="30"/>
  <c r="H300" i="30"/>
  <c r="J311" i="30"/>
  <c r="J315" i="30"/>
  <c r="J314" i="30"/>
  <c r="H317" i="30"/>
  <c r="H353" i="30"/>
  <c r="H7" i="30"/>
  <c r="J13" i="30"/>
  <c r="H23" i="30"/>
  <c r="J220" i="30"/>
  <c r="J230" i="30"/>
  <c r="H233" i="30"/>
  <c r="H222" i="30"/>
  <c r="H229" i="30"/>
  <c r="J252" i="30"/>
  <c r="J281" i="30"/>
  <c r="H308" i="30"/>
  <c r="J292" i="30"/>
  <c r="H313" i="30"/>
  <c r="H350" i="30"/>
  <c r="J335" i="30"/>
  <c r="H4" i="30"/>
  <c r="J10" i="30"/>
  <c r="H20" i="30"/>
  <c r="J180" i="30"/>
  <c r="H184" i="30"/>
  <c r="J187" i="30"/>
  <c r="H191" i="30"/>
  <c r="J194" i="30"/>
  <c r="J201" i="30"/>
  <c r="H224" i="30"/>
  <c r="J227" i="30"/>
  <c r="J211" i="30"/>
  <c r="H215" i="30"/>
  <c r="J218" i="30"/>
  <c r="J240" i="30"/>
  <c r="H244" i="30"/>
  <c r="J251" i="30"/>
  <c r="H255" i="30"/>
  <c r="H278" i="30"/>
  <c r="H266" i="30"/>
  <c r="J285" i="30"/>
  <c r="H289" i="30"/>
  <c r="H309" i="30"/>
  <c r="J332" i="30"/>
  <c r="H359" i="30"/>
  <c r="H349" i="30"/>
  <c r="J7" i="30"/>
  <c r="H17" i="30"/>
  <c r="J23" i="30"/>
  <c r="H177" i="30"/>
  <c r="J177" i="30"/>
  <c r="J217" i="30"/>
  <c r="H205" i="30"/>
  <c r="J208" i="30"/>
  <c r="J234" i="30"/>
  <c r="J222" i="30"/>
  <c r="H226" i="30"/>
  <c r="J267" i="30"/>
  <c r="J293" i="30"/>
  <c r="H301" i="30"/>
  <c r="J308" i="30"/>
  <c r="J307" i="30"/>
  <c r="H305" i="30"/>
  <c r="J328" i="30"/>
  <c r="J313" i="30"/>
  <c r="J4" i="30"/>
  <c r="H14" i="30"/>
  <c r="J20" i="30"/>
  <c r="J184" i="30"/>
  <c r="J191" i="30"/>
  <c r="H214" i="30"/>
  <c r="H221" i="30"/>
  <c r="J224" i="30"/>
  <c r="H231" i="30"/>
  <c r="J215" i="30"/>
  <c r="J237" i="30"/>
  <c r="J255" i="30"/>
  <c r="J278" i="30"/>
  <c r="J316" i="30"/>
  <c r="J301" i="30"/>
  <c r="J309" i="30"/>
  <c r="J337" i="30"/>
  <c r="H323" i="30"/>
  <c r="J355" i="30"/>
  <c r="J349" i="30"/>
  <c r="H11" i="30"/>
  <c r="J17" i="30"/>
  <c r="H187" i="30"/>
  <c r="H197" i="30"/>
  <c r="H202" i="30"/>
  <c r="H219" i="30"/>
  <c r="J226" i="30"/>
  <c r="H234" i="30"/>
  <c r="J312" i="30"/>
  <c r="H333" i="30"/>
  <c r="J342" i="30"/>
  <c r="H8" i="30"/>
  <c r="J14" i="30"/>
  <c r="J190" i="30"/>
  <c r="J214" i="30"/>
  <c r="H268" i="30"/>
  <c r="J271" i="30"/>
  <c r="J270" i="30"/>
  <c r="H297" i="30"/>
  <c r="J305" i="30"/>
  <c r="H325" i="30"/>
  <c r="H329" i="30"/>
  <c r="J333" i="30"/>
  <c r="H347" i="30"/>
  <c r="H345" i="30"/>
  <c r="J351" i="30"/>
  <c r="H5" i="30"/>
  <c r="J11" i="30"/>
  <c r="H21" i="30"/>
  <c r="H185" i="30"/>
  <c r="J202" i="30"/>
  <c r="J212" i="30"/>
  <c r="H246" i="30"/>
  <c r="J263" i="30"/>
  <c r="H267" i="30"/>
  <c r="H279" i="30"/>
  <c r="H298" i="30"/>
  <c r="J321" i="30"/>
  <c r="J319" i="30"/>
  <c r="J329" i="30"/>
  <c r="H328" i="30"/>
  <c r="H337" i="30"/>
  <c r="J8" i="30"/>
  <c r="H18" i="30"/>
  <c r="J204" i="30"/>
  <c r="H208" i="30"/>
  <c r="J257" i="30"/>
  <c r="H261" i="30"/>
  <c r="J268" i="30"/>
  <c r="H272" i="30"/>
  <c r="J294" i="30"/>
  <c r="J298" i="30"/>
  <c r="J297" i="30"/>
  <c r="H302" i="30"/>
  <c r="J302" i="30"/>
  <c r="J325" i="30"/>
  <c r="J347" i="30"/>
  <c r="H355" i="30"/>
  <c r="H346" i="30"/>
  <c r="H360" i="30"/>
  <c r="J5" i="30"/>
  <c r="H15" i="30"/>
  <c r="J21" i="30"/>
  <c r="J246" i="30"/>
  <c r="J283" i="30"/>
  <c r="H291" i="30"/>
  <c r="J306" i="30"/>
  <c r="H330" i="30"/>
  <c r="H339" i="30"/>
  <c r="H324" i="30"/>
  <c r="J352" i="30"/>
  <c r="H12" i="30"/>
  <c r="J18" i="30"/>
  <c r="H198" i="30"/>
  <c r="H243" i="30"/>
  <c r="J254" i="30"/>
  <c r="J264" i="30"/>
  <c r="J291" i="30"/>
  <c r="H314" i="30"/>
  <c r="H318" i="30"/>
  <c r="H322" i="30"/>
  <c r="H321" i="30"/>
  <c r="J339" i="30"/>
  <c r="J343" i="30"/>
  <c r="H348" i="30"/>
  <c r="H357" i="30"/>
  <c r="J360" i="30"/>
  <c r="H9" i="30"/>
  <c r="J15" i="30"/>
  <c r="H251" i="30"/>
  <c r="H258" i="30"/>
  <c r="J253" i="30"/>
  <c r="H257" i="30"/>
  <c r="J272" i="30"/>
  <c r="H295" i="30"/>
  <c r="H310" i="30"/>
  <c r="H326" i="30"/>
  <c r="H335" i="30"/>
  <c r="J320" i="30"/>
  <c r="H356" i="30"/>
  <c r="H307" i="30"/>
  <c r="H6" i="30"/>
  <c r="H182" i="30"/>
  <c r="J188" i="30"/>
  <c r="J198" i="30"/>
  <c r="J219" i="30"/>
  <c r="J229" i="30"/>
  <c r="H277" i="30"/>
  <c r="H280" i="30"/>
  <c r="J310" i="30"/>
  <c r="J318" i="30"/>
  <c r="J317" i="30"/>
  <c r="J322" i="30"/>
  <c r="H344" i="30"/>
  <c r="J357" i="30"/>
  <c r="H342" i="30"/>
  <c r="H351" i="30"/>
  <c r="J326" i="30"/>
  <c r="J340" i="30"/>
  <c r="J358" i="30"/>
  <c r="H320" i="30"/>
  <c r="H334" i="30"/>
  <c r="H341" i="30"/>
  <c r="J348" i="30"/>
  <c r="H352" i="30"/>
  <c r="H240" i="30"/>
  <c r="H304" i="30"/>
  <c r="J324" i="30"/>
  <c r="J331" i="30"/>
  <c r="J356" i="30"/>
  <c r="H294" i="30"/>
  <c r="V5" i="6"/>
  <c r="N5" i="6"/>
  <c r="A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Fu</author>
  </authors>
  <commentList>
    <comment ref="B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C4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D4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  <comment ref="E4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</author>
  </authors>
  <commentList>
    <comment ref="B5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N5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R5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V5" authorId="0" shapeId="0" xr:uid="{00000000-0006-0000-0700-000004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B8" authorId="0" shapeId="0" xr:uid="{00000000-0006-0000-0700-000005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N8" authorId="0" shapeId="0" xr:uid="{00000000-0006-0000-0700-000006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R8" authorId="0" shapeId="0" xr:uid="{00000000-0006-0000-0700-000007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  <comment ref="AC9" authorId="0" shapeId="0" xr:uid="{00000000-0006-0000-0700-000008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</author>
  </authors>
  <commentList>
    <comment ref="A11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<sst xmlns="http://schemas.openxmlformats.org/spreadsheetml/2006/main" count="708" uniqueCount="374">
  <si>
    <t>上证指数</t>
  </si>
  <si>
    <t>date</t>
  </si>
  <si>
    <t>涨停个股数量</t>
  </si>
  <si>
    <t>跌停个股数量</t>
  </si>
  <si>
    <t>见底？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</si>
  <si>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</si>
  <si>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</si>
  <si>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</si>
  <si>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</si>
  <si>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</si>
  <si>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</si>
  <si>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</si>
  <si>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</si>
  <si>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</si>
  <si>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</si>
  <si>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</si>
  <si>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</si>
  <si>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</si>
  <si>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</si>
  <si>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</si>
  <si>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</si>
  <si>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</si>
  <si>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</si>
  <si>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</si>
  <si>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</si>
  <si>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</si>
  <si>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</si>
  <si>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</si>
  <si>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2022-08-15</t>
  </si>
  <si>
    <t>2022-08-16</t>
  </si>
  <si>
    <t>2022-08-17</t>
  </si>
  <si>
    <t>2022-08-18</t>
  </si>
  <si>
    <t>2022-08-19</t>
  </si>
  <si>
    <t>一般零售</t>
  </si>
  <si>
    <t>家居用品</t>
  </si>
  <si>
    <t>服装家纺</t>
  </si>
  <si>
    <t>物流</t>
  </si>
  <si>
    <t>汽车零部件</t>
  </si>
  <si>
    <t>消费电子</t>
  </si>
  <si>
    <t>通用设备</t>
  </si>
  <si>
    <t>化学制品</t>
  </si>
  <si>
    <t>房地产开发</t>
  </si>
  <si>
    <t>饮料乳品</t>
  </si>
  <si>
    <t>专用设备</t>
  </si>
  <si>
    <t>计算机设备</t>
  </si>
  <si>
    <t>文娱用品</t>
  </si>
  <si>
    <t>航运港口</t>
  </si>
  <si>
    <t>化学制药</t>
  </si>
  <si>
    <t>自动化设备</t>
  </si>
  <si>
    <t>光学光电子</t>
  </si>
  <si>
    <t>中药Ⅱ</t>
  </si>
  <si>
    <t>列1</t>
  </si>
  <si>
    <t>列2</t>
  </si>
  <si>
    <t>列3</t>
  </si>
  <si>
    <t>801203.SL</t>
  </si>
  <si>
    <t>801012.SL</t>
  </si>
  <si>
    <t>农产品加工</t>
  </si>
  <si>
    <t>801142.SL</t>
  </si>
  <si>
    <t>801014.SL</t>
  </si>
  <si>
    <t>饲料</t>
  </si>
  <si>
    <t>801132.SL</t>
  </si>
  <si>
    <t>801015.SL</t>
  </si>
  <si>
    <t>渔业</t>
  </si>
  <si>
    <t>801178.SL</t>
  </si>
  <si>
    <t>801016.SL</t>
  </si>
  <si>
    <t>种植业</t>
  </si>
  <si>
    <t>801093.SL</t>
  </si>
  <si>
    <t>801017.SL</t>
  </si>
  <si>
    <t>养殖业</t>
  </si>
  <si>
    <t>801085.SL</t>
  </si>
  <si>
    <t>801018.SL</t>
  </si>
  <si>
    <t>动物保健Ⅱ</t>
  </si>
  <si>
    <t>801072.SL</t>
  </si>
  <si>
    <t>801019.SL</t>
  </si>
  <si>
    <t>农业综合Ⅱ</t>
  </si>
  <si>
    <t>801034.SL</t>
  </si>
  <si>
    <t>801032.SL</t>
  </si>
  <si>
    <t>化学纤维</t>
  </si>
  <si>
    <t>801181.SL</t>
  </si>
  <si>
    <t>801033.SL</t>
  </si>
  <si>
    <t>化学原料</t>
  </si>
  <si>
    <t>801127.SL</t>
  </si>
  <si>
    <t>801074.SL</t>
  </si>
  <si>
    <t>801036.SL</t>
  </si>
  <si>
    <t>塑料</t>
  </si>
  <si>
    <t>801101.SL</t>
  </si>
  <si>
    <t>801037.SL</t>
  </si>
  <si>
    <t>橡胶</t>
  </si>
  <si>
    <t>801145.SL</t>
  </si>
  <si>
    <t>801038.SL</t>
  </si>
  <si>
    <t>农化制品</t>
  </si>
  <si>
    <t>801992.SL</t>
  </si>
  <si>
    <t>801039.SL</t>
  </si>
  <si>
    <t>非金属材料Ⅱ</t>
  </si>
  <si>
    <t>801151.SL</t>
  </si>
  <si>
    <t>801043.SL</t>
  </si>
  <si>
    <t>冶钢原料</t>
  </si>
  <si>
    <t>801078.SL</t>
  </si>
  <si>
    <t>801044.SL</t>
  </si>
  <si>
    <t>普钢</t>
  </si>
  <si>
    <t>801084.SL</t>
  </si>
  <si>
    <t>801045.SL</t>
  </si>
  <si>
    <t>特钢Ⅱ</t>
  </si>
  <si>
    <t>801155.SL</t>
  </si>
  <si>
    <t>801051.SL</t>
  </si>
  <si>
    <t>金属新材料</t>
  </si>
  <si>
    <t>801053.SL</t>
  </si>
  <si>
    <t>贵金属</t>
  </si>
  <si>
    <t>801766.SL</t>
  </si>
  <si>
    <t>影视院线</t>
  </si>
  <si>
    <t>801054.SL</t>
  </si>
  <si>
    <t>小金属</t>
  </si>
  <si>
    <t>801055.SL</t>
  </si>
  <si>
    <t>工业金属</t>
  </si>
  <si>
    <t>801745.SL</t>
  </si>
  <si>
    <t>军工电子Ⅱ</t>
  </si>
  <si>
    <t>801056.SL</t>
  </si>
  <si>
    <t>能源金属</t>
  </si>
  <si>
    <t>801722.SL</t>
  </si>
  <si>
    <t>装修装饰Ⅱ</t>
  </si>
  <si>
    <t>801993.SL</t>
  </si>
  <si>
    <t>旅游及景区</t>
  </si>
  <si>
    <t>801738.SL</t>
  </si>
  <si>
    <t>电网设备</t>
  </si>
  <si>
    <t>801076.SL</t>
  </si>
  <si>
    <t>轨交设备Ⅱ</t>
  </si>
  <si>
    <t>801077.SL</t>
  </si>
  <si>
    <t>工程机械</t>
  </si>
  <si>
    <t>801206.SL</t>
  </si>
  <si>
    <t>互联网电商</t>
  </si>
  <si>
    <t>801081.SL</t>
  </si>
  <si>
    <t>半导体</t>
  </si>
  <si>
    <t>801223.SL</t>
  </si>
  <si>
    <t>通信服务</t>
  </si>
  <si>
    <t>801082.SL</t>
  </si>
  <si>
    <t>其他电子Ⅱ</t>
  </si>
  <si>
    <t>801083.SL</t>
  </si>
  <si>
    <t>元件</t>
  </si>
  <si>
    <t>801202.SL</t>
  </si>
  <si>
    <t>贸易Ⅱ</t>
  </si>
  <si>
    <t>801881.SL</t>
  </si>
  <si>
    <t>摩托车及其他</t>
  </si>
  <si>
    <t>801764.SL</t>
  </si>
  <si>
    <t>游戏Ⅱ</t>
  </si>
  <si>
    <t>801086.SL</t>
  </si>
  <si>
    <t>电子化学品Ⅱ</t>
  </si>
  <si>
    <t>801742.SL</t>
  </si>
  <si>
    <t>航空装备Ⅱ</t>
  </si>
  <si>
    <t>801092.SL</t>
  </si>
  <si>
    <t>汽车服务</t>
  </si>
  <si>
    <t>801103.SL</t>
  </si>
  <si>
    <t>IT服务Ⅱ</t>
  </si>
  <si>
    <t>801095.SL</t>
  </si>
  <si>
    <t>乘用车</t>
  </si>
  <si>
    <t>801141.SL</t>
  </si>
  <si>
    <t>包装印刷</t>
  </si>
  <si>
    <t>801096.SL</t>
  </si>
  <si>
    <t>商用车</t>
  </si>
  <si>
    <t>801131.SL</t>
  </si>
  <si>
    <t>纺织制造</t>
  </si>
  <si>
    <t>801102.SL</t>
  </si>
  <si>
    <t>通信设备</t>
  </si>
  <si>
    <t>801971.SL</t>
  </si>
  <si>
    <t>环境治理</t>
  </si>
  <si>
    <t>801124.SL</t>
  </si>
  <si>
    <t>食品加工</t>
  </si>
  <si>
    <t>801104.SL</t>
  </si>
  <si>
    <t>软件开发</t>
  </si>
  <si>
    <t>801111.SL</t>
  </si>
  <si>
    <t>白色家电</t>
  </si>
  <si>
    <t>801713.SL</t>
  </si>
  <si>
    <t>装修建材</t>
  </si>
  <si>
    <t>801112.SL</t>
  </si>
  <si>
    <t>黑色家电</t>
  </si>
  <si>
    <t>801113.SL</t>
  </si>
  <si>
    <t>小家电</t>
  </si>
  <si>
    <t>801114.SL</t>
  </si>
  <si>
    <t>厨卫电器</t>
  </si>
  <si>
    <t>801982.SL</t>
  </si>
  <si>
    <t>化妆品</t>
  </si>
  <si>
    <t>801115.SL</t>
  </si>
  <si>
    <t>照明设备Ⅱ</t>
  </si>
  <si>
    <t>801231.SL</t>
  </si>
  <si>
    <t>综合Ⅱ</t>
  </si>
  <si>
    <t>801116.SL</t>
  </si>
  <si>
    <t>家电零部件Ⅱ</t>
  </si>
  <si>
    <t>801736.SL</t>
  </si>
  <si>
    <t>风电设备</t>
  </si>
  <si>
    <t>801117.SL</t>
  </si>
  <si>
    <t>其他家电Ⅱ</t>
  </si>
  <si>
    <t>801179.SL</t>
  </si>
  <si>
    <t>铁路公路</t>
  </si>
  <si>
    <t>801191.SL</t>
  </si>
  <si>
    <t>多元金融</t>
  </si>
  <si>
    <t>801125.SL</t>
  </si>
  <si>
    <t>白酒Ⅱ</t>
  </si>
  <si>
    <t>801733.SL</t>
  </si>
  <si>
    <t>其他电源设备Ⅱ</t>
  </si>
  <si>
    <t>801126.SL</t>
  </si>
  <si>
    <t>非白酒</t>
  </si>
  <si>
    <t>801765.SL</t>
  </si>
  <si>
    <t>广告营销</t>
  </si>
  <si>
    <t>801723.SL</t>
  </si>
  <si>
    <t>基础建设</t>
  </si>
  <si>
    <t>801128.SL</t>
  </si>
  <si>
    <t>休闲食品</t>
  </si>
  <si>
    <t>801129.SL</t>
  </si>
  <si>
    <t>调味发酵品Ⅱ</t>
  </si>
  <si>
    <t>801204.SL</t>
  </si>
  <si>
    <t>专业连锁Ⅱ</t>
  </si>
  <si>
    <t>801133.SL</t>
  </si>
  <si>
    <t>饰品</t>
  </si>
  <si>
    <t>801143.SL</t>
  </si>
  <si>
    <t>造纸</t>
  </si>
  <si>
    <t>801724.SL</t>
  </si>
  <si>
    <t>专业工程</t>
  </si>
  <si>
    <t>801981.SL</t>
  </si>
  <si>
    <t>个护用品</t>
  </si>
  <si>
    <t>801152.SL</t>
  </si>
  <si>
    <t>生物制品</t>
  </si>
  <si>
    <t>801153.SL</t>
  </si>
  <si>
    <t>医疗器械</t>
  </si>
  <si>
    <t>801735.SL</t>
  </si>
  <si>
    <t>光伏设备</t>
  </si>
  <si>
    <t>801154.SL</t>
  </si>
  <si>
    <t>医药商业</t>
  </si>
  <si>
    <t>801156.SL</t>
  </si>
  <si>
    <t>医疗服务</t>
  </si>
  <si>
    <t>801163.SL</t>
  </si>
  <si>
    <t>燃气Ⅱ</t>
  </si>
  <si>
    <t>801161.SL</t>
  </si>
  <si>
    <t>电力</t>
  </si>
  <si>
    <t>801743.SL</t>
  </si>
  <si>
    <t>地面兵装Ⅱ</t>
  </si>
  <si>
    <t>801744.SL</t>
  </si>
  <si>
    <t>航海装备Ⅱ</t>
  </si>
  <si>
    <t>801183.SL</t>
  </si>
  <si>
    <t>房地产服务</t>
  </si>
  <si>
    <t>801726.SL</t>
  </si>
  <si>
    <t>工程咨询服务Ⅱ</t>
  </si>
  <si>
    <t>801193.SL</t>
  </si>
  <si>
    <t>证券Ⅱ</t>
  </si>
  <si>
    <t>801963.SL</t>
  </si>
  <si>
    <t>炼化及贸易</t>
  </si>
  <si>
    <t>801194.SL</t>
  </si>
  <si>
    <t>保险Ⅱ</t>
  </si>
  <si>
    <t>801962.SL</t>
  </si>
  <si>
    <t>油服工程</t>
  </si>
  <si>
    <t>801741.SL</t>
  </si>
  <si>
    <t>航天装备Ⅱ</t>
  </si>
  <si>
    <t>801218.SL</t>
  </si>
  <si>
    <t>专业服务</t>
  </si>
  <si>
    <t>801207.SL</t>
  </si>
  <si>
    <t>旅游零售Ⅱ</t>
  </si>
  <si>
    <t>801216.SL</t>
  </si>
  <si>
    <t>体育Ⅱ</t>
  </si>
  <si>
    <t>801217.SL</t>
  </si>
  <si>
    <t>本地生活服务Ⅱ</t>
  </si>
  <si>
    <t>801219.SL</t>
  </si>
  <si>
    <t>酒店餐饮</t>
  </si>
  <si>
    <t>801711.SL</t>
  </si>
  <si>
    <t>水泥</t>
  </si>
  <si>
    <t>801712.SL</t>
  </si>
  <si>
    <t>玻璃玻纤</t>
  </si>
  <si>
    <t>801994.SL</t>
  </si>
  <si>
    <t>教育</t>
  </si>
  <si>
    <t>801721.SL</t>
  </si>
  <si>
    <t>房屋建设Ⅱ</t>
  </si>
  <si>
    <t>801769.SL</t>
  </si>
  <si>
    <t>出版</t>
  </si>
  <si>
    <t>801972.SL</t>
  </si>
  <si>
    <t>环保设备Ⅱ</t>
  </si>
  <si>
    <t>801731.SL</t>
  </si>
  <si>
    <t>电机Ⅱ</t>
  </si>
  <si>
    <t>801737.SL</t>
  </si>
  <si>
    <t>电池</t>
  </si>
  <si>
    <t>801951.SL</t>
  </si>
  <si>
    <t>煤炭开采</t>
  </si>
  <si>
    <t>801952.SL</t>
  </si>
  <si>
    <t>焦炭Ⅱ</t>
  </si>
  <si>
    <t>801767.SL</t>
  </si>
  <si>
    <t>数字媒体</t>
  </si>
  <si>
    <t>801768.SL</t>
  </si>
  <si>
    <t>社交Ⅱ</t>
  </si>
  <si>
    <t>801782.SL</t>
  </si>
  <si>
    <t>国有大型银行Ⅱ</t>
  </si>
  <si>
    <t>801783.SL</t>
  </si>
  <si>
    <t>股份制银行Ⅱ</t>
  </si>
  <si>
    <t>801784.SL</t>
  </si>
  <si>
    <t>城商行Ⅱ</t>
  </si>
  <si>
    <t>801995.SL</t>
  </si>
  <si>
    <t>电视广播Ⅱ</t>
  </si>
  <si>
    <t>801785.SL</t>
  </si>
  <si>
    <t>农商行Ⅱ</t>
  </si>
  <si>
    <t>801786.SL</t>
  </si>
  <si>
    <t>其他银行Ⅱ</t>
  </si>
  <si>
    <t>801991.SL</t>
  </si>
  <si>
    <t>航空机场</t>
  </si>
  <si>
    <t>801961.SL</t>
  </si>
  <si>
    <t>油气开采Ⅱ</t>
  </si>
  <si>
    <t>801983.SL</t>
  </si>
  <si>
    <t>医疗美容</t>
  </si>
  <si>
    <t>日期</t>
  </si>
  <si>
    <t>四板以上个股数量五日平均值</t>
  </si>
  <si>
    <t>最高板</t>
  </si>
  <si>
    <t>次高板</t>
  </si>
  <si>
    <t>四板以上个股数量</t>
  </si>
  <si>
    <t>中航电测</t>
  </si>
  <si>
    <t>坤泰股份</t>
  </si>
  <si>
    <t>宝地矿业</t>
  </si>
  <si>
    <t>联合水务</t>
  </si>
  <si>
    <t>日播时尚</t>
  </si>
  <si>
    <t>睿能科技</t>
  </si>
  <si>
    <t>大连热点</t>
  </si>
  <si>
    <t>我乐家居</t>
  </si>
  <si>
    <t>全是ST</t>
  </si>
  <si>
    <t>精伦电子</t>
  </si>
  <si>
    <t>圣龙股份</t>
  </si>
  <si>
    <t>真视通</t>
  </si>
  <si>
    <t>高新发展</t>
  </si>
  <si>
    <t>天龙股份</t>
  </si>
  <si>
    <t>三柏硕</t>
  </si>
  <si>
    <t>东安动力</t>
  </si>
  <si>
    <t>亚世光电</t>
  </si>
  <si>
    <t>长白山</t>
  </si>
  <si>
    <t>深中华A</t>
  </si>
  <si>
    <t>中视传媒</t>
  </si>
  <si>
    <t>克来机电</t>
  </si>
  <si>
    <t>艾艾精工</t>
  </si>
  <si>
    <t>000016.SH</t>
  </si>
  <si>
    <t>399852.SZ</t>
  </si>
  <si>
    <t>399370.SZ</t>
  </si>
  <si>
    <t>399371.SZ</t>
  </si>
  <si>
    <t>中证1000/上证50</t>
  </si>
  <si>
    <t>MA20</t>
  </si>
  <si>
    <t>国证成长/国证价值</t>
  </si>
  <si>
    <t>收盘价</t>
  </si>
  <si>
    <t>000001.SH</t>
  </si>
  <si>
    <t>399001.SZ</t>
  </si>
  <si>
    <t>399006.SZ</t>
  </si>
  <si>
    <t>000688.SH</t>
  </si>
  <si>
    <t>时间</t>
  </si>
  <si>
    <t>成交量</t>
  </si>
  <si>
    <t>分钟</t>
  </si>
  <si>
    <t>close</t>
  </si>
  <si>
    <t>volume</t>
  </si>
  <si>
    <t>数据集名称</t>
  </si>
  <si>
    <t>沪深涨跌家数统计</t>
  </si>
  <si>
    <t>开始日期</t>
  </si>
  <si>
    <t>结束日期</t>
  </si>
  <si>
    <t>统计范围</t>
  </si>
  <si>
    <t>万得全A</t>
  </si>
  <si>
    <t>reportDate</t>
  </si>
  <si>
    <t>riseNumberOfSHAndSZ</t>
  </si>
  <si>
    <t>noRiseOrFallNumberOfSHAndSZ</t>
  </si>
  <si>
    <t>fallNumberOfSHAndSZ</t>
  </si>
  <si>
    <t>limitUpNumOfSHAndSZ</t>
  </si>
  <si>
    <t>limitDownNumOfSHAndSZ</t>
  </si>
  <si>
    <t>沪深两市上涨家数</t>
  </si>
  <si>
    <t>沪深两市平盘家数</t>
  </si>
  <si>
    <t>沪深两市下跌家数</t>
  </si>
  <si>
    <t>沪深两市涨停家数</t>
  </si>
  <si>
    <t>沪深两市跌停家数</t>
  </si>
  <si>
    <t>日期</t>
    <phoneticPr fontId="9" type="noConversion"/>
  </si>
  <si>
    <t>000016.SH</t>
    <phoneticPr fontId="9" type="noConversion"/>
  </si>
  <si>
    <t>399852.SZ</t>
    <phoneticPr fontId="9" type="noConversion"/>
  </si>
  <si>
    <t>399370.SZ</t>
    <phoneticPr fontId="9" type="noConversion"/>
  </si>
  <si>
    <t>399371.SZ</t>
    <phoneticPr fontId="9" type="noConversion"/>
  </si>
  <si>
    <t>收盘价</t>
    <phoneticPr fontId="9" type="noConversion"/>
  </si>
  <si>
    <t>涨跌停个股差</t>
    <phoneticPr fontId="9" type="noConversion"/>
  </si>
  <si>
    <t>上证50</t>
    <phoneticPr fontId="9" type="noConversion"/>
  </si>
  <si>
    <t>中证1000</t>
    <phoneticPr fontId="9" type="noConversion"/>
  </si>
  <si>
    <t>国证成长</t>
    <phoneticPr fontId="9" type="noConversion"/>
  </si>
  <si>
    <t>国证价值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</si>
</sst>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m/dd"/>
    <numFmt numFmtId="177" formatCode="###,###,##0.0000"/>
    <numFmt numFmtId="178" formatCode="[$-F400]h:mm:ss\ AM/PM"/>
    <numFmt numFmtId="179" formatCode="yyyy/mm/dd\ hh:mm"/>
    <numFmt numFmtId="180" formatCode="0.0000"/>
    <numFmt numFmtId="181" formatCode="0.00_);[Red]\(0.00\)"/>
    <numFmt numFmtId="182" formatCode="#,##0.0000_ "/>
    <numFmt numFmtId="185" formatCode="yyyy\-mm\-dd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8535111545152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3">
      <alignment vertical="center"/>
    </xf>
    <xf numFmtId="181" fontId="1" fillId="0" borderId="0" xfId="3" applyNumberFormat="1" applyAlignment="1">
      <alignment horizontal="center" vertical="center"/>
    </xf>
    <xf numFmtId="0" fontId="2" fillId="0" borderId="0" xfId="3" applyFont="1">
      <alignment vertical="center"/>
    </xf>
    <xf numFmtId="49" fontId="1" fillId="0" borderId="0" xfId="3" applyNumberFormat="1">
      <alignment vertical="center"/>
    </xf>
    <xf numFmtId="49" fontId="1" fillId="0" borderId="0" xfId="3" applyNumberFormat="1" applyAlignment="1">
      <alignment horizontal="center" vertical="center"/>
    </xf>
    <xf numFmtId="49" fontId="1" fillId="0" borderId="0" xfId="3" applyNumberFormat="1" applyAlignment="1">
      <alignment horizontal="right" vertical="center"/>
    </xf>
    <xf numFmtId="176" fontId="1" fillId="0" borderId="0" xfId="3" applyNumberFormat="1">
      <alignment vertical="center"/>
    </xf>
    <xf numFmtId="182" fontId="1" fillId="0" borderId="0" xfId="3" applyNumberFormat="1" applyAlignment="1">
      <alignment horizontal="center" vertical="center"/>
    </xf>
    <xf numFmtId="182" fontId="1" fillId="0" borderId="0" xfId="3" applyNumberFormat="1" applyAlignment="1">
      <alignment horizontal="right" vertical="center"/>
    </xf>
    <xf numFmtId="182" fontId="1" fillId="0" borderId="0" xfId="3" applyNumberFormat="1">
      <alignment vertical="center"/>
    </xf>
    <xf numFmtId="0" fontId="1" fillId="0" borderId="0" xfId="3" applyAlignment="1">
      <alignment horizontal="right" vertical="center"/>
    </xf>
    <xf numFmtId="0" fontId="1" fillId="0" borderId="0" xfId="4">
      <alignment vertical="center"/>
    </xf>
    <xf numFmtId="176" fontId="1" fillId="0" borderId="0" xfId="4" applyNumberFormat="1">
      <alignment vertical="center"/>
    </xf>
    <xf numFmtId="0" fontId="1" fillId="3" borderId="0" xfId="4" applyFill="1">
      <alignment vertical="center"/>
    </xf>
    <xf numFmtId="14" fontId="1" fillId="0" borderId="0" xfId="4" applyNumberFormat="1">
      <alignment vertical="center"/>
    </xf>
    <xf numFmtId="49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0" fontId="4" fillId="0" borderId="0" xfId="5" applyFont="1">
      <alignment vertical="center"/>
    </xf>
    <xf numFmtId="14" fontId="5" fillId="0" borderId="0" xfId="5" applyNumberFormat="1" applyFont="1" applyAlignment="1">
      <alignment horizontal="left" vertical="top"/>
    </xf>
    <xf numFmtId="0" fontId="5" fillId="0" borderId="0" xfId="5" applyFont="1">
      <alignment vertical="center"/>
    </xf>
    <xf numFmtId="14" fontId="4" fillId="0" borderId="0" xfId="5" applyNumberFormat="1" applyFont="1" applyAlignment="1">
      <alignment horizontal="left" vertical="top"/>
    </xf>
    <xf numFmtId="0" fontId="6" fillId="0" borderId="0" xfId="5" applyFont="1">
      <alignment vertical="center"/>
    </xf>
    <xf numFmtId="49" fontId="5" fillId="0" borderId="0" xfId="5" applyNumberFormat="1" applyFont="1">
      <alignment vertical="center"/>
    </xf>
    <xf numFmtId="14" fontId="5" fillId="0" borderId="0" xfId="5" applyNumberFormat="1" applyFont="1">
      <alignment vertical="center"/>
    </xf>
    <xf numFmtId="185" fontId="1" fillId="0" borderId="0" xfId="3" applyNumberFormat="1" applyAlignment="1">
      <alignment horizontal="right" vertical="center"/>
    </xf>
    <xf numFmtId="185" fontId="1" fillId="0" borderId="0" xfId="4" applyNumberFormat="1">
      <alignment vertical="center"/>
    </xf>
    <xf numFmtId="185" fontId="5" fillId="0" borderId="0" xfId="5" applyNumberFormat="1" applyFont="1" applyAlignment="1">
      <alignment horizontal="left" vertical="top"/>
    </xf>
    <xf numFmtId="0" fontId="10" fillId="0" borderId="0" xfId="5" applyFont="1">
      <alignment vertical="center"/>
    </xf>
    <xf numFmtId="185" fontId="1" fillId="3" borderId="0" xfId="4" applyNumberFormat="1" applyFill="1">
      <alignment vertical="center"/>
    </xf>
    <xf numFmtId="185" fontId="1" fillId="2" borderId="0" xfId="4" applyNumberFormat="1" applyFill="1">
      <alignment vertical="center"/>
    </xf>
    <xf numFmtId="185" fontId="3" fillId="2" borderId="0" xfId="4" applyNumberFormat="1" applyFont="1" applyFill="1">
      <alignment vertical="center"/>
    </xf>
  </cellXfs>
  <cellStyles count="6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  <cellStyle name="常规 3" xfId="4" xr:uid="{00000000-0005-0000-0000-000034000000}"/>
    <cellStyle name="常规 4" xfId="5" xr:uid="{00000000-0005-0000-0000-000035000000}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  <alignment horizontal="right" vertical="center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8080"/>
      <rgbColor rgb="0081A6BE"/>
      <rgbColor rgb="00FFB2B2"/>
      <rgbColor rgb="00B4CAD8"/>
      <rgbColor rgb="00FF3333"/>
      <rgbColor rgb="00367198"/>
      <rgbColor rgb="00FF0000"/>
      <rgbColor rgb="00044E7E"/>
      <rgbColor rgb="00FF0000"/>
      <rgbColor rgb="00044E7E"/>
      <rgbColor rgb="00FF8080"/>
      <rgbColor rgb="0081A6BE"/>
      <rgbColor rgb="00FFB2B2"/>
      <rgbColor rgb="00B4CAD8"/>
      <rgbColor rgb="00FF3333"/>
      <rgbColor rgb="00367198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5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17128971958993E-2"/>
          <c:y val="5.2952895896256E-2"/>
          <c:w val="0.89899768265922697"/>
          <c:h val="0.66803262377098904"/>
        </c:manualLayout>
      </c:layout>
      <c:lineChart>
        <c:grouping val="standard"/>
        <c:varyColors val="0"/>
        <c:ser>
          <c:idx val="0"/>
          <c:order val="0"/>
          <c:tx>
            <c:strRef>
              <c:f>'涨停数量 '!$B$1</c:f>
              <c:strCache>
                <c:ptCount val="1"/>
                <c:pt idx="0">
                  <c:v>涨停个股数量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'!$A$202:$A$445</c:f>
              <c:numCache>
                <c:formatCode>m/d/yyyy</c:formatCode>
                <c:ptCount val="244"/>
                <c:pt idx="0">
                  <c:v>44970</c:v>
                </c:pt>
                <c:pt idx="1">
                  <c:v>44971</c:v>
                </c:pt>
                <c:pt idx="2">
                  <c:v>44972</c:v>
                </c:pt>
                <c:pt idx="3">
                  <c:v>44973</c:v>
                </c:pt>
                <c:pt idx="4">
                  <c:v>44974</c:v>
                </c:pt>
                <c:pt idx="5">
                  <c:v>44977</c:v>
                </c:pt>
                <c:pt idx="6">
                  <c:v>44978</c:v>
                </c:pt>
                <c:pt idx="7">
                  <c:v>44979</c:v>
                </c:pt>
                <c:pt idx="8">
                  <c:v>44980</c:v>
                </c:pt>
                <c:pt idx="9">
                  <c:v>44981</c:v>
                </c:pt>
                <c:pt idx="10">
                  <c:v>44984</c:v>
                </c:pt>
                <c:pt idx="11">
                  <c:v>44985</c:v>
                </c:pt>
                <c:pt idx="12">
                  <c:v>44986</c:v>
                </c:pt>
                <c:pt idx="13">
                  <c:v>44987</c:v>
                </c:pt>
                <c:pt idx="14">
                  <c:v>44988</c:v>
                </c:pt>
                <c:pt idx="15">
                  <c:v>44991</c:v>
                </c:pt>
                <c:pt idx="16">
                  <c:v>44992</c:v>
                </c:pt>
                <c:pt idx="17">
                  <c:v>44993</c:v>
                </c:pt>
                <c:pt idx="18">
                  <c:v>44994</c:v>
                </c:pt>
                <c:pt idx="19">
                  <c:v>44995</c:v>
                </c:pt>
                <c:pt idx="20">
                  <c:v>44998</c:v>
                </c:pt>
                <c:pt idx="21">
                  <c:v>44999</c:v>
                </c:pt>
                <c:pt idx="22">
                  <c:v>45000</c:v>
                </c:pt>
                <c:pt idx="23">
                  <c:v>45001</c:v>
                </c:pt>
                <c:pt idx="24">
                  <c:v>45002</c:v>
                </c:pt>
                <c:pt idx="25">
                  <c:v>45005</c:v>
                </c:pt>
                <c:pt idx="26">
                  <c:v>45006</c:v>
                </c:pt>
                <c:pt idx="27">
                  <c:v>45007</c:v>
                </c:pt>
                <c:pt idx="28">
                  <c:v>45008</c:v>
                </c:pt>
                <c:pt idx="29">
                  <c:v>45009</c:v>
                </c:pt>
                <c:pt idx="30">
                  <c:v>45012</c:v>
                </c:pt>
                <c:pt idx="31">
                  <c:v>45013</c:v>
                </c:pt>
                <c:pt idx="32">
                  <c:v>45014</c:v>
                </c:pt>
                <c:pt idx="33">
                  <c:v>45015</c:v>
                </c:pt>
                <c:pt idx="34">
                  <c:v>45016</c:v>
                </c:pt>
                <c:pt idx="35">
                  <c:v>45019</c:v>
                </c:pt>
                <c:pt idx="36">
                  <c:v>45020</c:v>
                </c:pt>
                <c:pt idx="37">
                  <c:v>45022</c:v>
                </c:pt>
                <c:pt idx="38">
                  <c:v>45023</c:v>
                </c:pt>
                <c:pt idx="39">
                  <c:v>45026</c:v>
                </c:pt>
                <c:pt idx="40">
                  <c:v>45027</c:v>
                </c:pt>
                <c:pt idx="41">
                  <c:v>45028</c:v>
                </c:pt>
                <c:pt idx="42">
                  <c:v>45029</c:v>
                </c:pt>
                <c:pt idx="43">
                  <c:v>45030</c:v>
                </c:pt>
                <c:pt idx="44">
                  <c:v>45033</c:v>
                </c:pt>
                <c:pt idx="45">
                  <c:v>45034</c:v>
                </c:pt>
                <c:pt idx="46">
                  <c:v>45035</c:v>
                </c:pt>
                <c:pt idx="47">
                  <c:v>45036</c:v>
                </c:pt>
                <c:pt idx="48">
                  <c:v>45037</c:v>
                </c:pt>
                <c:pt idx="49">
                  <c:v>45040</c:v>
                </c:pt>
                <c:pt idx="50">
                  <c:v>45041</c:v>
                </c:pt>
                <c:pt idx="51">
                  <c:v>45042</c:v>
                </c:pt>
                <c:pt idx="52">
                  <c:v>45043</c:v>
                </c:pt>
                <c:pt idx="53">
                  <c:v>45044</c:v>
                </c:pt>
                <c:pt idx="54">
                  <c:v>45050</c:v>
                </c:pt>
                <c:pt idx="55">
                  <c:v>45051</c:v>
                </c:pt>
                <c:pt idx="56">
                  <c:v>45054</c:v>
                </c:pt>
                <c:pt idx="57">
                  <c:v>45055</c:v>
                </c:pt>
                <c:pt idx="58">
                  <c:v>45056</c:v>
                </c:pt>
                <c:pt idx="59">
                  <c:v>45057</c:v>
                </c:pt>
                <c:pt idx="60">
                  <c:v>45058</c:v>
                </c:pt>
                <c:pt idx="61">
                  <c:v>45061</c:v>
                </c:pt>
                <c:pt idx="62">
                  <c:v>45062</c:v>
                </c:pt>
                <c:pt idx="63">
                  <c:v>45063</c:v>
                </c:pt>
                <c:pt idx="64">
                  <c:v>45064</c:v>
                </c:pt>
                <c:pt idx="65">
                  <c:v>45065</c:v>
                </c:pt>
                <c:pt idx="66">
                  <c:v>45068</c:v>
                </c:pt>
                <c:pt idx="67">
                  <c:v>45069</c:v>
                </c:pt>
                <c:pt idx="68">
                  <c:v>45070</c:v>
                </c:pt>
                <c:pt idx="69">
                  <c:v>45071</c:v>
                </c:pt>
                <c:pt idx="70">
                  <c:v>45072</c:v>
                </c:pt>
                <c:pt idx="71">
                  <c:v>45075</c:v>
                </c:pt>
                <c:pt idx="72">
                  <c:v>45076</c:v>
                </c:pt>
                <c:pt idx="73">
                  <c:v>45077</c:v>
                </c:pt>
                <c:pt idx="74">
                  <c:v>45078</c:v>
                </c:pt>
                <c:pt idx="75">
                  <c:v>45079</c:v>
                </c:pt>
                <c:pt idx="76">
                  <c:v>45082</c:v>
                </c:pt>
                <c:pt idx="77">
                  <c:v>45083</c:v>
                </c:pt>
                <c:pt idx="78">
                  <c:v>45084</c:v>
                </c:pt>
                <c:pt idx="79">
                  <c:v>45085</c:v>
                </c:pt>
                <c:pt idx="80">
                  <c:v>45086</c:v>
                </c:pt>
                <c:pt idx="81">
                  <c:v>45089</c:v>
                </c:pt>
                <c:pt idx="82">
                  <c:v>45090</c:v>
                </c:pt>
                <c:pt idx="83">
                  <c:v>45091</c:v>
                </c:pt>
                <c:pt idx="84">
                  <c:v>45092</c:v>
                </c:pt>
                <c:pt idx="85">
                  <c:v>45093</c:v>
                </c:pt>
                <c:pt idx="86">
                  <c:v>45096</c:v>
                </c:pt>
                <c:pt idx="87">
                  <c:v>45097</c:v>
                </c:pt>
                <c:pt idx="88">
                  <c:v>45098</c:v>
                </c:pt>
                <c:pt idx="89">
                  <c:v>45103</c:v>
                </c:pt>
                <c:pt idx="90">
                  <c:v>45104</c:v>
                </c:pt>
                <c:pt idx="91">
                  <c:v>45105</c:v>
                </c:pt>
                <c:pt idx="92">
                  <c:v>45106</c:v>
                </c:pt>
                <c:pt idx="93">
                  <c:v>45107</c:v>
                </c:pt>
                <c:pt idx="94">
                  <c:v>45110</c:v>
                </c:pt>
                <c:pt idx="95">
                  <c:v>45111</c:v>
                </c:pt>
                <c:pt idx="96">
                  <c:v>45112</c:v>
                </c:pt>
                <c:pt idx="97">
                  <c:v>45113</c:v>
                </c:pt>
                <c:pt idx="98">
                  <c:v>45114</c:v>
                </c:pt>
                <c:pt idx="99">
                  <c:v>45117</c:v>
                </c:pt>
                <c:pt idx="100">
                  <c:v>45118</c:v>
                </c:pt>
                <c:pt idx="101">
                  <c:v>45119</c:v>
                </c:pt>
                <c:pt idx="102">
                  <c:v>45120</c:v>
                </c:pt>
                <c:pt idx="103">
                  <c:v>45121</c:v>
                </c:pt>
                <c:pt idx="104">
                  <c:v>45124</c:v>
                </c:pt>
                <c:pt idx="105">
                  <c:v>45125</c:v>
                </c:pt>
                <c:pt idx="106">
                  <c:v>45126</c:v>
                </c:pt>
                <c:pt idx="107">
                  <c:v>45127</c:v>
                </c:pt>
                <c:pt idx="108">
                  <c:v>45128</c:v>
                </c:pt>
                <c:pt idx="109">
                  <c:v>45131</c:v>
                </c:pt>
                <c:pt idx="110">
                  <c:v>45132</c:v>
                </c:pt>
                <c:pt idx="111">
                  <c:v>45133</c:v>
                </c:pt>
                <c:pt idx="112">
                  <c:v>45134</c:v>
                </c:pt>
                <c:pt idx="113">
                  <c:v>45135</c:v>
                </c:pt>
                <c:pt idx="114">
                  <c:v>45138</c:v>
                </c:pt>
                <c:pt idx="115">
                  <c:v>45139</c:v>
                </c:pt>
                <c:pt idx="116">
                  <c:v>45140</c:v>
                </c:pt>
                <c:pt idx="117">
                  <c:v>45141</c:v>
                </c:pt>
                <c:pt idx="118">
                  <c:v>45142</c:v>
                </c:pt>
                <c:pt idx="119">
                  <c:v>45145</c:v>
                </c:pt>
                <c:pt idx="120">
                  <c:v>45146</c:v>
                </c:pt>
                <c:pt idx="121">
                  <c:v>45147</c:v>
                </c:pt>
                <c:pt idx="122">
                  <c:v>45148</c:v>
                </c:pt>
                <c:pt idx="123">
                  <c:v>45149</c:v>
                </c:pt>
                <c:pt idx="124">
                  <c:v>45152</c:v>
                </c:pt>
                <c:pt idx="125">
                  <c:v>45153</c:v>
                </c:pt>
                <c:pt idx="126">
                  <c:v>45154</c:v>
                </c:pt>
                <c:pt idx="127">
                  <c:v>45155</c:v>
                </c:pt>
                <c:pt idx="128">
                  <c:v>45156</c:v>
                </c:pt>
                <c:pt idx="129">
                  <c:v>45159</c:v>
                </c:pt>
                <c:pt idx="130">
                  <c:v>45160</c:v>
                </c:pt>
                <c:pt idx="131">
                  <c:v>45161</c:v>
                </c:pt>
                <c:pt idx="132">
                  <c:v>45162</c:v>
                </c:pt>
                <c:pt idx="133">
                  <c:v>45163</c:v>
                </c:pt>
                <c:pt idx="134">
                  <c:v>45166</c:v>
                </c:pt>
                <c:pt idx="135">
                  <c:v>45167</c:v>
                </c:pt>
                <c:pt idx="136">
                  <c:v>45168</c:v>
                </c:pt>
                <c:pt idx="137">
                  <c:v>45169</c:v>
                </c:pt>
                <c:pt idx="138">
                  <c:v>45170</c:v>
                </c:pt>
                <c:pt idx="139">
                  <c:v>45173</c:v>
                </c:pt>
                <c:pt idx="140">
                  <c:v>45174</c:v>
                </c:pt>
                <c:pt idx="141">
                  <c:v>45175</c:v>
                </c:pt>
                <c:pt idx="142">
                  <c:v>45176</c:v>
                </c:pt>
                <c:pt idx="143">
                  <c:v>45177</c:v>
                </c:pt>
                <c:pt idx="144">
                  <c:v>45180</c:v>
                </c:pt>
                <c:pt idx="145">
                  <c:v>45181</c:v>
                </c:pt>
                <c:pt idx="146">
                  <c:v>45182</c:v>
                </c:pt>
                <c:pt idx="147">
                  <c:v>45183</c:v>
                </c:pt>
                <c:pt idx="148">
                  <c:v>45184</c:v>
                </c:pt>
                <c:pt idx="149">
                  <c:v>45187</c:v>
                </c:pt>
                <c:pt idx="150">
                  <c:v>45188</c:v>
                </c:pt>
                <c:pt idx="151">
                  <c:v>45189</c:v>
                </c:pt>
                <c:pt idx="152">
                  <c:v>45190</c:v>
                </c:pt>
                <c:pt idx="153">
                  <c:v>45191</c:v>
                </c:pt>
                <c:pt idx="154">
                  <c:v>45194</c:v>
                </c:pt>
                <c:pt idx="155">
                  <c:v>45195</c:v>
                </c:pt>
                <c:pt idx="156">
                  <c:v>45196</c:v>
                </c:pt>
                <c:pt idx="157">
                  <c:v>45197</c:v>
                </c:pt>
                <c:pt idx="158">
                  <c:v>45208</c:v>
                </c:pt>
                <c:pt idx="159">
                  <c:v>45209</c:v>
                </c:pt>
                <c:pt idx="160">
                  <c:v>45210</c:v>
                </c:pt>
                <c:pt idx="161">
                  <c:v>45211</c:v>
                </c:pt>
                <c:pt idx="162">
                  <c:v>45212</c:v>
                </c:pt>
                <c:pt idx="163">
                  <c:v>45215</c:v>
                </c:pt>
                <c:pt idx="164">
                  <c:v>45216</c:v>
                </c:pt>
                <c:pt idx="165">
                  <c:v>45217</c:v>
                </c:pt>
                <c:pt idx="166">
                  <c:v>45218</c:v>
                </c:pt>
                <c:pt idx="167">
                  <c:v>45219</c:v>
                </c:pt>
                <c:pt idx="168">
                  <c:v>45222</c:v>
                </c:pt>
                <c:pt idx="169">
                  <c:v>45223</c:v>
                </c:pt>
                <c:pt idx="170">
                  <c:v>45224</c:v>
                </c:pt>
                <c:pt idx="171">
                  <c:v>45225</c:v>
                </c:pt>
                <c:pt idx="172">
                  <c:v>45226</c:v>
                </c:pt>
                <c:pt idx="173">
                  <c:v>45229</c:v>
                </c:pt>
                <c:pt idx="174">
                  <c:v>45230</c:v>
                </c:pt>
                <c:pt idx="175">
                  <c:v>45231</c:v>
                </c:pt>
                <c:pt idx="176">
                  <c:v>45232</c:v>
                </c:pt>
                <c:pt idx="177">
                  <c:v>45233</c:v>
                </c:pt>
                <c:pt idx="178">
                  <c:v>45236</c:v>
                </c:pt>
                <c:pt idx="179">
                  <c:v>45237</c:v>
                </c:pt>
                <c:pt idx="180">
                  <c:v>45238</c:v>
                </c:pt>
                <c:pt idx="181">
                  <c:v>45239</c:v>
                </c:pt>
                <c:pt idx="182">
                  <c:v>45240</c:v>
                </c:pt>
                <c:pt idx="183">
                  <c:v>45243</c:v>
                </c:pt>
                <c:pt idx="184">
                  <c:v>45244</c:v>
                </c:pt>
                <c:pt idx="185">
                  <c:v>45245</c:v>
                </c:pt>
                <c:pt idx="186">
                  <c:v>45246</c:v>
                </c:pt>
                <c:pt idx="187">
                  <c:v>45247</c:v>
                </c:pt>
                <c:pt idx="188">
                  <c:v>45250</c:v>
                </c:pt>
                <c:pt idx="189">
                  <c:v>45251</c:v>
                </c:pt>
                <c:pt idx="190">
                  <c:v>45252</c:v>
                </c:pt>
                <c:pt idx="191">
                  <c:v>45253</c:v>
                </c:pt>
                <c:pt idx="192">
                  <c:v>45254</c:v>
                </c:pt>
                <c:pt idx="193">
                  <c:v>45257</c:v>
                </c:pt>
                <c:pt idx="194">
                  <c:v>45258</c:v>
                </c:pt>
                <c:pt idx="195">
                  <c:v>45259</c:v>
                </c:pt>
                <c:pt idx="196">
                  <c:v>45260</c:v>
                </c:pt>
                <c:pt idx="197">
                  <c:v>45261</c:v>
                </c:pt>
                <c:pt idx="198">
                  <c:v>45264</c:v>
                </c:pt>
                <c:pt idx="199">
                  <c:v>45265</c:v>
                </c:pt>
                <c:pt idx="200">
                  <c:v>45266</c:v>
                </c:pt>
                <c:pt idx="201">
                  <c:v>45267</c:v>
                </c:pt>
                <c:pt idx="202">
                  <c:v>45268</c:v>
                </c:pt>
                <c:pt idx="203">
                  <c:v>45271</c:v>
                </c:pt>
                <c:pt idx="204">
                  <c:v>45272</c:v>
                </c:pt>
                <c:pt idx="205">
                  <c:v>45273</c:v>
                </c:pt>
                <c:pt idx="206">
                  <c:v>45274</c:v>
                </c:pt>
                <c:pt idx="207">
                  <c:v>45275</c:v>
                </c:pt>
                <c:pt idx="208">
                  <c:v>45278</c:v>
                </c:pt>
                <c:pt idx="209">
                  <c:v>45279</c:v>
                </c:pt>
                <c:pt idx="210">
                  <c:v>45280</c:v>
                </c:pt>
                <c:pt idx="211">
                  <c:v>45281</c:v>
                </c:pt>
                <c:pt idx="212">
                  <c:v>45282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45293</c:v>
                </c:pt>
                <c:pt idx="219">
                  <c:v>45294</c:v>
                </c:pt>
                <c:pt idx="220">
                  <c:v>45295</c:v>
                </c:pt>
                <c:pt idx="221">
                  <c:v>45296</c:v>
                </c:pt>
                <c:pt idx="222">
                  <c:v>45299</c:v>
                </c:pt>
                <c:pt idx="223">
                  <c:v>45300</c:v>
                </c:pt>
                <c:pt idx="224">
                  <c:v>45301</c:v>
                </c:pt>
                <c:pt idx="225">
                  <c:v>45302</c:v>
                </c:pt>
                <c:pt idx="226">
                  <c:v>45303</c:v>
                </c:pt>
                <c:pt idx="227">
                  <c:v>45306</c:v>
                </c:pt>
                <c:pt idx="228">
                  <c:v>45307</c:v>
                </c:pt>
                <c:pt idx="229">
                  <c:v>45308</c:v>
                </c:pt>
                <c:pt idx="230">
                  <c:v>45309</c:v>
                </c:pt>
                <c:pt idx="231">
                  <c:v>45310</c:v>
                </c:pt>
                <c:pt idx="232">
                  <c:v>45313</c:v>
                </c:pt>
                <c:pt idx="233">
                  <c:v>45314</c:v>
                </c:pt>
                <c:pt idx="234">
                  <c:v>45315</c:v>
                </c:pt>
                <c:pt idx="235">
                  <c:v>45316</c:v>
                </c:pt>
                <c:pt idx="236">
                  <c:v>45317</c:v>
                </c:pt>
                <c:pt idx="237">
                  <c:v>45320</c:v>
                </c:pt>
                <c:pt idx="238">
                  <c:v>45321</c:v>
                </c:pt>
                <c:pt idx="239">
                  <c:v>45322</c:v>
                </c:pt>
                <c:pt idx="240">
                  <c:v>45323</c:v>
                </c:pt>
                <c:pt idx="241">
                  <c:v>45324</c:v>
                </c:pt>
                <c:pt idx="242">
                  <c:v>45327</c:v>
                </c:pt>
                <c:pt idx="243">
                  <c:v>45328</c:v>
                </c:pt>
              </c:numCache>
            </c:numRef>
          </c:cat>
          <c:val>
            <c:numRef>
              <c:f>'涨停数量 '!$B$202:$B$445</c:f>
              <c:numCache>
                <c:formatCode>General</c:formatCode>
                <c:ptCount val="244"/>
                <c:pt idx="0">
                  <c:v>47</c:v>
                </c:pt>
                <c:pt idx="1">
                  <c:v>31</c:v>
                </c:pt>
                <c:pt idx="2">
                  <c:v>43</c:v>
                </c:pt>
                <c:pt idx="3">
                  <c:v>23</c:v>
                </c:pt>
                <c:pt idx="4">
                  <c:v>33</c:v>
                </c:pt>
                <c:pt idx="5">
                  <c:v>41</c:v>
                </c:pt>
                <c:pt idx="6">
                  <c:v>20</c:v>
                </c:pt>
                <c:pt idx="7">
                  <c:v>28</c:v>
                </c:pt>
                <c:pt idx="8">
                  <c:v>26</c:v>
                </c:pt>
                <c:pt idx="9">
                  <c:v>17</c:v>
                </c:pt>
                <c:pt idx="10">
                  <c:v>21</c:v>
                </c:pt>
                <c:pt idx="11">
                  <c:v>33</c:v>
                </c:pt>
                <c:pt idx="12">
                  <c:v>44</c:v>
                </c:pt>
                <c:pt idx="13">
                  <c:v>28</c:v>
                </c:pt>
                <c:pt idx="14">
                  <c:v>29</c:v>
                </c:pt>
                <c:pt idx="15">
                  <c:v>31</c:v>
                </c:pt>
                <c:pt idx="16">
                  <c:v>30</c:v>
                </c:pt>
                <c:pt idx="17">
                  <c:v>40</c:v>
                </c:pt>
                <c:pt idx="18">
                  <c:v>35</c:v>
                </c:pt>
                <c:pt idx="19">
                  <c:v>26</c:v>
                </c:pt>
                <c:pt idx="20">
                  <c:v>36</c:v>
                </c:pt>
                <c:pt idx="21">
                  <c:v>24</c:v>
                </c:pt>
                <c:pt idx="22">
                  <c:v>37</c:v>
                </c:pt>
                <c:pt idx="23">
                  <c:v>23</c:v>
                </c:pt>
                <c:pt idx="24">
                  <c:v>36</c:v>
                </c:pt>
                <c:pt idx="25">
                  <c:v>25</c:v>
                </c:pt>
                <c:pt idx="26">
                  <c:v>43</c:v>
                </c:pt>
                <c:pt idx="27">
                  <c:v>34</c:v>
                </c:pt>
                <c:pt idx="28">
                  <c:v>27</c:v>
                </c:pt>
                <c:pt idx="29">
                  <c:v>30</c:v>
                </c:pt>
                <c:pt idx="30">
                  <c:v>43</c:v>
                </c:pt>
                <c:pt idx="31">
                  <c:v>33</c:v>
                </c:pt>
                <c:pt idx="32">
                  <c:v>23</c:v>
                </c:pt>
                <c:pt idx="33">
                  <c:v>22</c:v>
                </c:pt>
                <c:pt idx="34">
                  <c:v>36</c:v>
                </c:pt>
                <c:pt idx="35">
                  <c:v>47</c:v>
                </c:pt>
                <c:pt idx="36">
                  <c:v>26</c:v>
                </c:pt>
                <c:pt idx="37">
                  <c:v>31</c:v>
                </c:pt>
                <c:pt idx="38">
                  <c:v>49</c:v>
                </c:pt>
                <c:pt idx="39">
                  <c:v>22</c:v>
                </c:pt>
                <c:pt idx="40">
                  <c:v>33</c:v>
                </c:pt>
                <c:pt idx="41">
                  <c:v>60</c:v>
                </c:pt>
                <c:pt idx="42">
                  <c:v>36</c:v>
                </c:pt>
                <c:pt idx="43">
                  <c:v>38</c:v>
                </c:pt>
                <c:pt idx="44">
                  <c:v>38</c:v>
                </c:pt>
                <c:pt idx="45">
                  <c:v>23</c:v>
                </c:pt>
                <c:pt idx="46">
                  <c:v>32</c:v>
                </c:pt>
                <c:pt idx="47">
                  <c:v>36</c:v>
                </c:pt>
                <c:pt idx="48">
                  <c:v>12</c:v>
                </c:pt>
                <c:pt idx="49">
                  <c:v>39</c:v>
                </c:pt>
                <c:pt idx="50">
                  <c:v>33</c:v>
                </c:pt>
                <c:pt idx="51">
                  <c:v>57</c:v>
                </c:pt>
                <c:pt idx="52">
                  <c:v>40</c:v>
                </c:pt>
                <c:pt idx="53">
                  <c:v>98</c:v>
                </c:pt>
                <c:pt idx="54">
                  <c:v>102</c:v>
                </c:pt>
                <c:pt idx="55">
                  <c:v>50</c:v>
                </c:pt>
                <c:pt idx="56">
                  <c:v>62</c:v>
                </c:pt>
                <c:pt idx="57">
                  <c:v>24</c:v>
                </c:pt>
                <c:pt idx="58">
                  <c:v>40</c:v>
                </c:pt>
                <c:pt idx="59">
                  <c:v>62</c:v>
                </c:pt>
                <c:pt idx="60">
                  <c:v>31</c:v>
                </c:pt>
                <c:pt idx="61">
                  <c:v>39</c:v>
                </c:pt>
                <c:pt idx="62">
                  <c:v>26</c:v>
                </c:pt>
                <c:pt idx="63">
                  <c:v>47</c:v>
                </c:pt>
                <c:pt idx="64">
                  <c:v>49</c:v>
                </c:pt>
                <c:pt idx="65">
                  <c:v>36</c:v>
                </c:pt>
                <c:pt idx="66">
                  <c:v>50</c:v>
                </c:pt>
                <c:pt idx="67">
                  <c:v>44</c:v>
                </c:pt>
                <c:pt idx="68">
                  <c:v>47</c:v>
                </c:pt>
                <c:pt idx="69">
                  <c:v>49</c:v>
                </c:pt>
                <c:pt idx="70">
                  <c:v>52</c:v>
                </c:pt>
                <c:pt idx="71">
                  <c:v>41</c:v>
                </c:pt>
                <c:pt idx="72">
                  <c:v>50</c:v>
                </c:pt>
                <c:pt idx="73">
                  <c:v>61</c:v>
                </c:pt>
                <c:pt idx="74">
                  <c:v>52</c:v>
                </c:pt>
                <c:pt idx="75">
                  <c:v>67</c:v>
                </c:pt>
                <c:pt idx="76">
                  <c:v>71</c:v>
                </c:pt>
                <c:pt idx="77">
                  <c:v>50</c:v>
                </c:pt>
                <c:pt idx="78">
                  <c:v>77</c:v>
                </c:pt>
                <c:pt idx="79">
                  <c:v>39</c:v>
                </c:pt>
                <c:pt idx="80">
                  <c:v>74</c:v>
                </c:pt>
                <c:pt idx="81">
                  <c:v>71</c:v>
                </c:pt>
                <c:pt idx="82">
                  <c:v>55</c:v>
                </c:pt>
                <c:pt idx="83">
                  <c:v>56</c:v>
                </c:pt>
                <c:pt idx="84">
                  <c:v>45</c:v>
                </c:pt>
                <c:pt idx="85">
                  <c:v>63</c:v>
                </c:pt>
                <c:pt idx="86">
                  <c:v>54</c:v>
                </c:pt>
                <c:pt idx="87">
                  <c:v>42</c:v>
                </c:pt>
                <c:pt idx="88">
                  <c:v>47</c:v>
                </c:pt>
                <c:pt idx="89">
                  <c:v>46</c:v>
                </c:pt>
                <c:pt idx="90">
                  <c:v>77</c:v>
                </c:pt>
                <c:pt idx="91">
                  <c:v>42</c:v>
                </c:pt>
                <c:pt idx="92">
                  <c:v>64</c:v>
                </c:pt>
                <c:pt idx="93">
                  <c:v>60</c:v>
                </c:pt>
                <c:pt idx="94">
                  <c:v>58</c:v>
                </c:pt>
                <c:pt idx="95">
                  <c:v>60</c:v>
                </c:pt>
                <c:pt idx="96">
                  <c:v>34</c:v>
                </c:pt>
                <c:pt idx="97">
                  <c:v>38</c:v>
                </c:pt>
                <c:pt idx="98">
                  <c:v>27</c:v>
                </c:pt>
                <c:pt idx="99">
                  <c:v>42</c:v>
                </c:pt>
                <c:pt idx="100">
                  <c:v>47</c:v>
                </c:pt>
                <c:pt idx="101">
                  <c:v>35</c:v>
                </c:pt>
                <c:pt idx="102">
                  <c:v>40</c:v>
                </c:pt>
                <c:pt idx="103">
                  <c:v>43</c:v>
                </c:pt>
                <c:pt idx="104">
                  <c:v>33</c:v>
                </c:pt>
                <c:pt idx="105">
                  <c:v>21</c:v>
                </c:pt>
                <c:pt idx="106">
                  <c:v>23</c:v>
                </c:pt>
                <c:pt idx="107">
                  <c:v>30</c:v>
                </c:pt>
                <c:pt idx="108">
                  <c:v>35</c:v>
                </c:pt>
                <c:pt idx="109">
                  <c:v>27</c:v>
                </c:pt>
                <c:pt idx="110">
                  <c:v>62</c:v>
                </c:pt>
                <c:pt idx="111">
                  <c:v>45</c:v>
                </c:pt>
                <c:pt idx="112">
                  <c:v>25</c:v>
                </c:pt>
                <c:pt idx="113">
                  <c:v>50</c:v>
                </c:pt>
                <c:pt idx="114">
                  <c:v>56</c:v>
                </c:pt>
                <c:pt idx="115">
                  <c:v>39</c:v>
                </c:pt>
                <c:pt idx="116">
                  <c:v>33</c:v>
                </c:pt>
                <c:pt idx="117">
                  <c:v>27</c:v>
                </c:pt>
                <c:pt idx="118">
                  <c:v>22</c:v>
                </c:pt>
                <c:pt idx="119">
                  <c:v>34</c:v>
                </c:pt>
                <c:pt idx="120">
                  <c:v>37</c:v>
                </c:pt>
                <c:pt idx="121">
                  <c:v>29</c:v>
                </c:pt>
                <c:pt idx="122">
                  <c:v>34</c:v>
                </c:pt>
                <c:pt idx="123">
                  <c:v>26</c:v>
                </c:pt>
                <c:pt idx="124">
                  <c:v>36</c:v>
                </c:pt>
                <c:pt idx="125">
                  <c:v>39</c:v>
                </c:pt>
                <c:pt idx="126">
                  <c:v>34</c:v>
                </c:pt>
                <c:pt idx="127">
                  <c:v>43</c:v>
                </c:pt>
                <c:pt idx="128">
                  <c:v>37</c:v>
                </c:pt>
                <c:pt idx="129">
                  <c:v>38</c:v>
                </c:pt>
                <c:pt idx="130">
                  <c:v>45</c:v>
                </c:pt>
                <c:pt idx="131">
                  <c:v>36</c:v>
                </c:pt>
                <c:pt idx="132">
                  <c:v>36</c:v>
                </c:pt>
                <c:pt idx="133">
                  <c:v>23</c:v>
                </c:pt>
                <c:pt idx="134">
                  <c:v>37</c:v>
                </c:pt>
                <c:pt idx="135">
                  <c:v>82</c:v>
                </c:pt>
                <c:pt idx="136">
                  <c:v>47</c:v>
                </c:pt>
                <c:pt idx="137">
                  <c:v>38</c:v>
                </c:pt>
                <c:pt idx="138">
                  <c:v>39</c:v>
                </c:pt>
                <c:pt idx="139">
                  <c:v>57</c:v>
                </c:pt>
                <c:pt idx="140">
                  <c:v>23</c:v>
                </c:pt>
                <c:pt idx="141">
                  <c:v>38</c:v>
                </c:pt>
                <c:pt idx="142">
                  <c:v>23</c:v>
                </c:pt>
                <c:pt idx="143">
                  <c:v>44</c:v>
                </c:pt>
                <c:pt idx="144">
                  <c:v>36</c:v>
                </c:pt>
                <c:pt idx="145">
                  <c:v>35</c:v>
                </c:pt>
                <c:pt idx="146">
                  <c:v>28</c:v>
                </c:pt>
                <c:pt idx="147">
                  <c:v>31</c:v>
                </c:pt>
                <c:pt idx="148">
                  <c:v>46</c:v>
                </c:pt>
                <c:pt idx="149">
                  <c:v>53</c:v>
                </c:pt>
                <c:pt idx="150">
                  <c:v>33</c:v>
                </c:pt>
                <c:pt idx="151">
                  <c:v>38</c:v>
                </c:pt>
                <c:pt idx="152">
                  <c:v>29</c:v>
                </c:pt>
                <c:pt idx="153">
                  <c:v>35</c:v>
                </c:pt>
                <c:pt idx="154">
                  <c:v>30</c:v>
                </c:pt>
                <c:pt idx="155">
                  <c:v>36</c:v>
                </c:pt>
                <c:pt idx="156">
                  <c:v>41</c:v>
                </c:pt>
                <c:pt idx="157">
                  <c:v>47</c:v>
                </c:pt>
                <c:pt idx="158">
                  <c:v>65</c:v>
                </c:pt>
                <c:pt idx="159">
                  <c:v>48</c:v>
                </c:pt>
                <c:pt idx="160">
                  <c:v>41</c:v>
                </c:pt>
                <c:pt idx="161">
                  <c:v>33</c:v>
                </c:pt>
                <c:pt idx="162">
                  <c:v>43</c:v>
                </c:pt>
                <c:pt idx="163">
                  <c:v>64</c:v>
                </c:pt>
                <c:pt idx="164">
                  <c:v>32</c:v>
                </c:pt>
                <c:pt idx="165">
                  <c:v>42</c:v>
                </c:pt>
                <c:pt idx="166">
                  <c:v>29</c:v>
                </c:pt>
                <c:pt idx="167">
                  <c:v>41</c:v>
                </c:pt>
                <c:pt idx="168">
                  <c:v>38</c:v>
                </c:pt>
                <c:pt idx="169">
                  <c:v>68</c:v>
                </c:pt>
                <c:pt idx="170">
                  <c:v>72</c:v>
                </c:pt>
                <c:pt idx="171">
                  <c:v>48</c:v>
                </c:pt>
                <c:pt idx="172">
                  <c:v>85</c:v>
                </c:pt>
                <c:pt idx="173">
                  <c:v>73</c:v>
                </c:pt>
                <c:pt idx="174">
                  <c:v>47</c:v>
                </c:pt>
                <c:pt idx="175">
                  <c:v>43</c:v>
                </c:pt>
                <c:pt idx="176">
                  <c:v>39</c:v>
                </c:pt>
                <c:pt idx="177">
                  <c:v>48</c:v>
                </c:pt>
                <c:pt idx="178">
                  <c:v>63</c:v>
                </c:pt>
                <c:pt idx="179">
                  <c:v>62</c:v>
                </c:pt>
                <c:pt idx="180">
                  <c:v>55</c:v>
                </c:pt>
                <c:pt idx="181">
                  <c:v>35</c:v>
                </c:pt>
                <c:pt idx="182">
                  <c:v>40</c:v>
                </c:pt>
                <c:pt idx="183">
                  <c:v>48</c:v>
                </c:pt>
                <c:pt idx="184">
                  <c:v>46</c:v>
                </c:pt>
                <c:pt idx="185">
                  <c:v>61</c:v>
                </c:pt>
                <c:pt idx="186">
                  <c:v>37</c:v>
                </c:pt>
                <c:pt idx="187">
                  <c:v>52</c:v>
                </c:pt>
                <c:pt idx="188">
                  <c:v>64</c:v>
                </c:pt>
                <c:pt idx="189">
                  <c:v>62</c:v>
                </c:pt>
                <c:pt idx="190">
                  <c:v>75</c:v>
                </c:pt>
                <c:pt idx="191">
                  <c:v>51</c:v>
                </c:pt>
                <c:pt idx="192">
                  <c:v>57</c:v>
                </c:pt>
                <c:pt idx="193">
                  <c:v>70</c:v>
                </c:pt>
                <c:pt idx="194">
                  <c:v>50</c:v>
                </c:pt>
                <c:pt idx="195">
                  <c:v>35</c:v>
                </c:pt>
                <c:pt idx="196">
                  <c:v>30</c:v>
                </c:pt>
                <c:pt idx="197">
                  <c:v>53</c:v>
                </c:pt>
                <c:pt idx="198">
                  <c:v>57</c:v>
                </c:pt>
                <c:pt idx="199">
                  <c:v>53</c:v>
                </c:pt>
                <c:pt idx="200">
                  <c:v>45</c:v>
                </c:pt>
                <c:pt idx="201">
                  <c:v>45</c:v>
                </c:pt>
                <c:pt idx="202">
                  <c:v>40</c:v>
                </c:pt>
                <c:pt idx="203">
                  <c:v>42</c:v>
                </c:pt>
                <c:pt idx="204">
                  <c:v>52</c:v>
                </c:pt>
                <c:pt idx="205">
                  <c:v>40</c:v>
                </c:pt>
                <c:pt idx="206">
                  <c:v>46</c:v>
                </c:pt>
                <c:pt idx="207">
                  <c:v>48</c:v>
                </c:pt>
                <c:pt idx="208">
                  <c:v>39</c:v>
                </c:pt>
                <c:pt idx="209">
                  <c:v>35</c:v>
                </c:pt>
                <c:pt idx="210">
                  <c:v>37</c:v>
                </c:pt>
                <c:pt idx="211">
                  <c:v>39</c:v>
                </c:pt>
                <c:pt idx="212">
                  <c:v>24</c:v>
                </c:pt>
                <c:pt idx="213">
                  <c:v>41</c:v>
                </c:pt>
                <c:pt idx="214">
                  <c:v>46</c:v>
                </c:pt>
                <c:pt idx="215">
                  <c:v>42</c:v>
                </c:pt>
                <c:pt idx="216">
                  <c:v>68</c:v>
                </c:pt>
                <c:pt idx="217">
                  <c:v>74</c:v>
                </c:pt>
                <c:pt idx="218">
                  <c:v>66</c:v>
                </c:pt>
                <c:pt idx="219">
                  <c:v>45</c:v>
                </c:pt>
                <c:pt idx="220">
                  <c:v>46</c:v>
                </c:pt>
                <c:pt idx="221">
                  <c:v>30</c:v>
                </c:pt>
                <c:pt idx="222">
                  <c:v>35</c:v>
                </c:pt>
                <c:pt idx="223">
                  <c:v>48</c:v>
                </c:pt>
                <c:pt idx="224">
                  <c:v>42</c:v>
                </c:pt>
                <c:pt idx="225">
                  <c:v>59</c:v>
                </c:pt>
                <c:pt idx="226">
                  <c:v>28</c:v>
                </c:pt>
                <c:pt idx="227">
                  <c:v>43</c:v>
                </c:pt>
                <c:pt idx="228">
                  <c:v>39</c:v>
                </c:pt>
                <c:pt idx="229">
                  <c:v>39</c:v>
                </c:pt>
                <c:pt idx="230">
                  <c:v>43</c:v>
                </c:pt>
                <c:pt idx="231">
                  <c:v>48</c:v>
                </c:pt>
                <c:pt idx="232">
                  <c:v>22</c:v>
                </c:pt>
                <c:pt idx="233">
                  <c:v>51</c:v>
                </c:pt>
                <c:pt idx="234">
                  <c:v>82</c:v>
                </c:pt>
                <c:pt idx="235">
                  <c:v>109</c:v>
                </c:pt>
                <c:pt idx="236">
                  <c:v>65</c:v>
                </c:pt>
                <c:pt idx="237">
                  <c:v>34</c:v>
                </c:pt>
                <c:pt idx="238">
                  <c:v>25</c:v>
                </c:pt>
                <c:pt idx="239">
                  <c:v>30</c:v>
                </c:pt>
                <c:pt idx="240">
                  <c:v>31</c:v>
                </c:pt>
                <c:pt idx="241">
                  <c:v>28</c:v>
                </c:pt>
                <c:pt idx="242">
                  <c:v>20</c:v>
                </c:pt>
                <c:pt idx="24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6-40F8-9C2F-5E5DE32196E2}"/>
            </c:ext>
          </c:extLst>
        </c:ser>
        <c:ser>
          <c:idx val="1"/>
          <c:order val="1"/>
          <c:tx>
            <c:strRef>
              <c:f>'涨停数量 '!$C$1</c:f>
              <c:strCache>
                <c:ptCount val="1"/>
                <c:pt idx="0">
                  <c:v>跌停个股数量</c:v>
                </c:pt>
              </c:strCache>
            </c:strRef>
          </c:tx>
          <c:spPr>
            <a:ln w="25400" cap="rnd" cmpd="sng" algn="ctr">
              <a:solidFill>
                <a:srgbClr val="044E7E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'!$A$202:$A$445</c:f>
              <c:numCache>
                <c:formatCode>m/d/yyyy</c:formatCode>
                <c:ptCount val="244"/>
                <c:pt idx="0">
                  <c:v>44970</c:v>
                </c:pt>
                <c:pt idx="1">
                  <c:v>44971</c:v>
                </c:pt>
                <c:pt idx="2">
                  <c:v>44972</c:v>
                </c:pt>
                <c:pt idx="3">
                  <c:v>44973</c:v>
                </c:pt>
                <c:pt idx="4">
                  <c:v>44974</c:v>
                </c:pt>
                <c:pt idx="5">
                  <c:v>44977</c:v>
                </c:pt>
                <c:pt idx="6">
                  <c:v>44978</c:v>
                </c:pt>
                <c:pt idx="7">
                  <c:v>44979</c:v>
                </c:pt>
                <c:pt idx="8">
                  <c:v>44980</c:v>
                </c:pt>
                <c:pt idx="9">
                  <c:v>44981</c:v>
                </c:pt>
                <c:pt idx="10">
                  <c:v>44984</c:v>
                </c:pt>
                <c:pt idx="11">
                  <c:v>44985</c:v>
                </c:pt>
                <c:pt idx="12">
                  <c:v>44986</c:v>
                </c:pt>
                <c:pt idx="13">
                  <c:v>44987</c:v>
                </c:pt>
                <c:pt idx="14">
                  <c:v>44988</c:v>
                </c:pt>
                <c:pt idx="15">
                  <c:v>44991</c:v>
                </c:pt>
                <c:pt idx="16">
                  <c:v>44992</c:v>
                </c:pt>
                <c:pt idx="17">
                  <c:v>44993</c:v>
                </c:pt>
                <c:pt idx="18">
                  <c:v>44994</c:v>
                </c:pt>
                <c:pt idx="19">
                  <c:v>44995</c:v>
                </c:pt>
                <c:pt idx="20">
                  <c:v>44998</c:v>
                </c:pt>
                <c:pt idx="21">
                  <c:v>44999</c:v>
                </c:pt>
                <c:pt idx="22">
                  <c:v>45000</c:v>
                </c:pt>
                <c:pt idx="23">
                  <c:v>45001</c:v>
                </c:pt>
                <c:pt idx="24">
                  <c:v>45002</c:v>
                </c:pt>
                <c:pt idx="25">
                  <c:v>45005</c:v>
                </c:pt>
                <c:pt idx="26">
                  <c:v>45006</c:v>
                </c:pt>
                <c:pt idx="27">
                  <c:v>45007</c:v>
                </c:pt>
                <c:pt idx="28">
                  <c:v>45008</c:v>
                </c:pt>
                <c:pt idx="29">
                  <c:v>45009</c:v>
                </c:pt>
                <c:pt idx="30">
                  <c:v>45012</c:v>
                </c:pt>
                <c:pt idx="31">
                  <c:v>45013</c:v>
                </c:pt>
                <c:pt idx="32">
                  <c:v>45014</c:v>
                </c:pt>
                <c:pt idx="33">
                  <c:v>45015</c:v>
                </c:pt>
                <c:pt idx="34">
                  <c:v>45016</c:v>
                </c:pt>
                <c:pt idx="35">
                  <c:v>45019</c:v>
                </c:pt>
                <c:pt idx="36">
                  <c:v>45020</c:v>
                </c:pt>
                <c:pt idx="37">
                  <c:v>45022</c:v>
                </c:pt>
                <c:pt idx="38">
                  <c:v>45023</c:v>
                </c:pt>
                <c:pt idx="39">
                  <c:v>45026</c:v>
                </c:pt>
                <c:pt idx="40">
                  <c:v>45027</c:v>
                </c:pt>
                <c:pt idx="41">
                  <c:v>45028</c:v>
                </c:pt>
                <c:pt idx="42">
                  <c:v>45029</c:v>
                </c:pt>
                <c:pt idx="43">
                  <c:v>45030</c:v>
                </c:pt>
                <c:pt idx="44">
                  <c:v>45033</c:v>
                </c:pt>
                <c:pt idx="45">
                  <c:v>45034</c:v>
                </c:pt>
                <c:pt idx="46">
                  <c:v>45035</c:v>
                </c:pt>
                <c:pt idx="47">
                  <c:v>45036</c:v>
                </c:pt>
                <c:pt idx="48">
                  <c:v>45037</c:v>
                </c:pt>
                <c:pt idx="49">
                  <c:v>45040</c:v>
                </c:pt>
                <c:pt idx="50">
                  <c:v>45041</c:v>
                </c:pt>
                <c:pt idx="51">
                  <c:v>45042</c:v>
                </c:pt>
                <c:pt idx="52">
                  <c:v>45043</c:v>
                </c:pt>
                <c:pt idx="53">
                  <c:v>45044</c:v>
                </c:pt>
                <c:pt idx="54">
                  <c:v>45050</c:v>
                </c:pt>
                <c:pt idx="55">
                  <c:v>45051</c:v>
                </c:pt>
                <c:pt idx="56">
                  <c:v>45054</c:v>
                </c:pt>
                <c:pt idx="57">
                  <c:v>45055</c:v>
                </c:pt>
                <c:pt idx="58">
                  <c:v>45056</c:v>
                </c:pt>
                <c:pt idx="59">
                  <c:v>45057</c:v>
                </c:pt>
                <c:pt idx="60">
                  <c:v>45058</c:v>
                </c:pt>
                <c:pt idx="61">
                  <c:v>45061</c:v>
                </c:pt>
                <c:pt idx="62">
                  <c:v>45062</c:v>
                </c:pt>
                <c:pt idx="63">
                  <c:v>45063</c:v>
                </c:pt>
                <c:pt idx="64">
                  <c:v>45064</c:v>
                </c:pt>
                <c:pt idx="65">
                  <c:v>45065</c:v>
                </c:pt>
                <c:pt idx="66">
                  <c:v>45068</c:v>
                </c:pt>
                <c:pt idx="67">
                  <c:v>45069</c:v>
                </c:pt>
                <c:pt idx="68">
                  <c:v>45070</c:v>
                </c:pt>
                <c:pt idx="69">
                  <c:v>45071</c:v>
                </c:pt>
                <c:pt idx="70">
                  <c:v>45072</c:v>
                </c:pt>
                <c:pt idx="71">
                  <c:v>45075</c:v>
                </c:pt>
                <c:pt idx="72">
                  <c:v>45076</c:v>
                </c:pt>
                <c:pt idx="73">
                  <c:v>45077</c:v>
                </c:pt>
                <c:pt idx="74">
                  <c:v>45078</c:v>
                </c:pt>
                <c:pt idx="75">
                  <c:v>45079</c:v>
                </c:pt>
                <c:pt idx="76">
                  <c:v>45082</c:v>
                </c:pt>
                <c:pt idx="77">
                  <c:v>45083</c:v>
                </c:pt>
                <c:pt idx="78">
                  <c:v>45084</c:v>
                </c:pt>
                <c:pt idx="79">
                  <c:v>45085</c:v>
                </c:pt>
                <c:pt idx="80">
                  <c:v>45086</c:v>
                </c:pt>
                <c:pt idx="81">
                  <c:v>45089</c:v>
                </c:pt>
                <c:pt idx="82">
                  <c:v>45090</c:v>
                </c:pt>
                <c:pt idx="83">
                  <c:v>45091</c:v>
                </c:pt>
                <c:pt idx="84">
                  <c:v>45092</c:v>
                </c:pt>
                <c:pt idx="85">
                  <c:v>45093</c:v>
                </c:pt>
                <c:pt idx="86">
                  <c:v>45096</c:v>
                </c:pt>
                <c:pt idx="87">
                  <c:v>45097</c:v>
                </c:pt>
                <c:pt idx="88">
                  <c:v>45098</c:v>
                </c:pt>
                <c:pt idx="89">
                  <c:v>45103</c:v>
                </c:pt>
                <c:pt idx="90">
                  <c:v>45104</c:v>
                </c:pt>
                <c:pt idx="91">
                  <c:v>45105</c:v>
                </c:pt>
                <c:pt idx="92">
                  <c:v>45106</c:v>
                </c:pt>
                <c:pt idx="93">
                  <c:v>45107</c:v>
                </c:pt>
                <c:pt idx="94">
                  <c:v>45110</c:v>
                </c:pt>
                <c:pt idx="95">
                  <c:v>45111</c:v>
                </c:pt>
                <c:pt idx="96">
                  <c:v>45112</c:v>
                </c:pt>
                <c:pt idx="97">
                  <c:v>45113</c:v>
                </c:pt>
                <c:pt idx="98">
                  <c:v>45114</c:v>
                </c:pt>
                <c:pt idx="99">
                  <c:v>45117</c:v>
                </c:pt>
                <c:pt idx="100">
                  <c:v>45118</c:v>
                </c:pt>
                <c:pt idx="101">
                  <c:v>45119</c:v>
                </c:pt>
                <c:pt idx="102">
                  <c:v>45120</c:v>
                </c:pt>
                <c:pt idx="103">
                  <c:v>45121</c:v>
                </c:pt>
                <c:pt idx="104">
                  <c:v>45124</c:v>
                </c:pt>
                <c:pt idx="105">
                  <c:v>45125</c:v>
                </c:pt>
                <c:pt idx="106">
                  <c:v>45126</c:v>
                </c:pt>
                <c:pt idx="107">
                  <c:v>45127</c:v>
                </c:pt>
                <c:pt idx="108">
                  <c:v>45128</c:v>
                </c:pt>
                <c:pt idx="109">
                  <c:v>45131</c:v>
                </c:pt>
                <c:pt idx="110">
                  <c:v>45132</c:v>
                </c:pt>
                <c:pt idx="111">
                  <c:v>45133</c:v>
                </c:pt>
                <c:pt idx="112">
                  <c:v>45134</c:v>
                </c:pt>
                <c:pt idx="113">
                  <c:v>45135</c:v>
                </c:pt>
                <c:pt idx="114">
                  <c:v>45138</c:v>
                </c:pt>
                <c:pt idx="115">
                  <c:v>45139</c:v>
                </c:pt>
                <c:pt idx="116">
                  <c:v>45140</c:v>
                </c:pt>
                <c:pt idx="117">
                  <c:v>45141</c:v>
                </c:pt>
                <c:pt idx="118">
                  <c:v>45142</c:v>
                </c:pt>
                <c:pt idx="119">
                  <c:v>45145</c:v>
                </c:pt>
                <c:pt idx="120">
                  <c:v>45146</c:v>
                </c:pt>
                <c:pt idx="121">
                  <c:v>45147</c:v>
                </c:pt>
                <c:pt idx="122">
                  <c:v>45148</c:v>
                </c:pt>
                <c:pt idx="123">
                  <c:v>45149</c:v>
                </c:pt>
                <c:pt idx="124">
                  <c:v>45152</c:v>
                </c:pt>
                <c:pt idx="125">
                  <c:v>45153</c:v>
                </c:pt>
                <c:pt idx="126">
                  <c:v>45154</c:v>
                </c:pt>
                <c:pt idx="127">
                  <c:v>45155</c:v>
                </c:pt>
                <c:pt idx="128">
                  <c:v>45156</c:v>
                </c:pt>
                <c:pt idx="129">
                  <c:v>45159</c:v>
                </c:pt>
                <c:pt idx="130">
                  <c:v>45160</c:v>
                </c:pt>
                <c:pt idx="131">
                  <c:v>45161</c:v>
                </c:pt>
                <c:pt idx="132">
                  <c:v>45162</c:v>
                </c:pt>
                <c:pt idx="133">
                  <c:v>45163</c:v>
                </c:pt>
                <c:pt idx="134">
                  <c:v>45166</c:v>
                </c:pt>
                <c:pt idx="135">
                  <c:v>45167</c:v>
                </c:pt>
                <c:pt idx="136">
                  <c:v>45168</c:v>
                </c:pt>
                <c:pt idx="137">
                  <c:v>45169</c:v>
                </c:pt>
                <c:pt idx="138">
                  <c:v>45170</c:v>
                </c:pt>
                <c:pt idx="139">
                  <c:v>45173</c:v>
                </c:pt>
                <c:pt idx="140">
                  <c:v>45174</c:v>
                </c:pt>
                <c:pt idx="141">
                  <c:v>45175</c:v>
                </c:pt>
                <c:pt idx="142">
                  <c:v>45176</c:v>
                </c:pt>
                <c:pt idx="143">
                  <c:v>45177</c:v>
                </c:pt>
                <c:pt idx="144">
                  <c:v>45180</c:v>
                </c:pt>
                <c:pt idx="145">
                  <c:v>45181</c:v>
                </c:pt>
                <c:pt idx="146">
                  <c:v>45182</c:v>
                </c:pt>
                <c:pt idx="147">
                  <c:v>45183</c:v>
                </c:pt>
                <c:pt idx="148">
                  <c:v>45184</c:v>
                </c:pt>
                <c:pt idx="149">
                  <c:v>45187</c:v>
                </c:pt>
                <c:pt idx="150">
                  <c:v>45188</c:v>
                </c:pt>
                <c:pt idx="151">
                  <c:v>45189</c:v>
                </c:pt>
                <c:pt idx="152">
                  <c:v>45190</c:v>
                </c:pt>
                <c:pt idx="153">
                  <c:v>45191</c:v>
                </c:pt>
                <c:pt idx="154">
                  <c:v>45194</c:v>
                </c:pt>
                <c:pt idx="155">
                  <c:v>45195</c:v>
                </c:pt>
                <c:pt idx="156">
                  <c:v>45196</c:v>
                </c:pt>
                <c:pt idx="157">
                  <c:v>45197</c:v>
                </c:pt>
                <c:pt idx="158">
                  <c:v>45208</c:v>
                </c:pt>
                <c:pt idx="159">
                  <c:v>45209</c:v>
                </c:pt>
                <c:pt idx="160">
                  <c:v>45210</c:v>
                </c:pt>
                <c:pt idx="161">
                  <c:v>45211</c:v>
                </c:pt>
                <c:pt idx="162">
                  <c:v>45212</c:v>
                </c:pt>
                <c:pt idx="163">
                  <c:v>45215</c:v>
                </c:pt>
                <c:pt idx="164">
                  <c:v>45216</c:v>
                </c:pt>
                <c:pt idx="165">
                  <c:v>45217</c:v>
                </c:pt>
                <c:pt idx="166">
                  <c:v>45218</c:v>
                </c:pt>
                <c:pt idx="167">
                  <c:v>45219</c:v>
                </c:pt>
                <c:pt idx="168">
                  <c:v>45222</c:v>
                </c:pt>
                <c:pt idx="169">
                  <c:v>45223</c:v>
                </c:pt>
                <c:pt idx="170">
                  <c:v>45224</c:v>
                </c:pt>
                <c:pt idx="171">
                  <c:v>45225</c:v>
                </c:pt>
                <c:pt idx="172">
                  <c:v>45226</c:v>
                </c:pt>
                <c:pt idx="173">
                  <c:v>45229</c:v>
                </c:pt>
                <c:pt idx="174">
                  <c:v>45230</c:v>
                </c:pt>
                <c:pt idx="175">
                  <c:v>45231</c:v>
                </c:pt>
                <c:pt idx="176">
                  <c:v>45232</c:v>
                </c:pt>
                <c:pt idx="177">
                  <c:v>45233</c:v>
                </c:pt>
                <c:pt idx="178">
                  <c:v>45236</c:v>
                </c:pt>
                <c:pt idx="179">
                  <c:v>45237</c:v>
                </c:pt>
                <c:pt idx="180">
                  <c:v>45238</c:v>
                </c:pt>
                <c:pt idx="181">
                  <c:v>45239</c:v>
                </c:pt>
                <c:pt idx="182">
                  <c:v>45240</c:v>
                </c:pt>
                <c:pt idx="183">
                  <c:v>45243</c:v>
                </c:pt>
                <c:pt idx="184">
                  <c:v>45244</c:v>
                </c:pt>
                <c:pt idx="185">
                  <c:v>45245</c:v>
                </c:pt>
                <c:pt idx="186">
                  <c:v>45246</c:v>
                </c:pt>
                <c:pt idx="187">
                  <c:v>45247</c:v>
                </c:pt>
                <c:pt idx="188">
                  <c:v>45250</c:v>
                </c:pt>
                <c:pt idx="189">
                  <c:v>45251</c:v>
                </c:pt>
                <c:pt idx="190">
                  <c:v>45252</c:v>
                </c:pt>
                <c:pt idx="191">
                  <c:v>45253</c:v>
                </c:pt>
                <c:pt idx="192">
                  <c:v>45254</c:v>
                </c:pt>
                <c:pt idx="193">
                  <c:v>45257</c:v>
                </c:pt>
                <c:pt idx="194">
                  <c:v>45258</c:v>
                </c:pt>
                <c:pt idx="195">
                  <c:v>45259</c:v>
                </c:pt>
                <c:pt idx="196">
                  <c:v>45260</c:v>
                </c:pt>
                <c:pt idx="197">
                  <c:v>45261</c:v>
                </c:pt>
                <c:pt idx="198">
                  <c:v>45264</c:v>
                </c:pt>
                <c:pt idx="199">
                  <c:v>45265</c:v>
                </c:pt>
                <c:pt idx="200">
                  <c:v>45266</c:v>
                </c:pt>
                <c:pt idx="201">
                  <c:v>45267</c:v>
                </c:pt>
                <c:pt idx="202">
                  <c:v>45268</c:v>
                </c:pt>
                <c:pt idx="203">
                  <c:v>45271</c:v>
                </c:pt>
                <c:pt idx="204">
                  <c:v>45272</c:v>
                </c:pt>
                <c:pt idx="205">
                  <c:v>45273</c:v>
                </c:pt>
                <c:pt idx="206">
                  <c:v>45274</c:v>
                </c:pt>
                <c:pt idx="207">
                  <c:v>45275</c:v>
                </c:pt>
                <c:pt idx="208">
                  <c:v>45278</c:v>
                </c:pt>
                <c:pt idx="209">
                  <c:v>45279</c:v>
                </c:pt>
                <c:pt idx="210">
                  <c:v>45280</c:v>
                </c:pt>
                <c:pt idx="211">
                  <c:v>45281</c:v>
                </c:pt>
                <c:pt idx="212">
                  <c:v>45282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45293</c:v>
                </c:pt>
                <c:pt idx="219">
                  <c:v>45294</c:v>
                </c:pt>
                <c:pt idx="220">
                  <c:v>45295</c:v>
                </c:pt>
                <c:pt idx="221">
                  <c:v>45296</c:v>
                </c:pt>
                <c:pt idx="222">
                  <c:v>45299</c:v>
                </c:pt>
                <c:pt idx="223">
                  <c:v>45300</c:v>
                </c:pt>
                <c:pt idx="224">
                  <c:v>45301</c:v>
                </c:pt>
                <c:pt idx="225">
                  <c:v>45302</c:v>
                </c:pt>
                <c:pt idx="226">
                  <c:v>45303</c:v>
                </c:pt>
                <c:pt idx="227">
                  <c:v>45306</c:v>
                </c:pt>
                <c:pt idx="228">
                  <c:v>45307</c:v>
                </c:pt>
                <c:pt idx="229">
                  <c:v>45308</c:v>
                </c:pt>
                <c:pt idx="230">
                  <c:v>45309</c:v>
                </c:pt>
                <c:pt idx="231">
                  <c:v>45310</c:v>
                </c:pt>
                <c:pt idx="232">
                  <c:v>45313</c:v>
                </c:pt>
                <c:pt idx="233">
                  <c:v>45314</c:v>
                </c:pt>
                <c:pt idx="234">
                  <c:v>45315</c:v>
                </c:pt>
                <c:pt idx="235">
                  <c:v>45316</c:v>
                </c:pt>
                <c:pt idx="236">
                  <c:v>45317</c:v>
                </c:pt>
                <c:pt idx="237">
                  <c:v>45320</c:v>
                </c:pt>
                <c:pt idx="238">
                  <c:v>45321</c:v>
                </c:pt>
                <c:pt idx="239">
                  <c:v>45322</c:v>
                </c:pt>
                <c:pt idx="240">
                  <c:v>45323</c:v>
                </c:pt>
                <c:pt idx="241">
                  <c:v>45324</c:v>
                </c:pt>
                <c:pt idx="242">
                  <c:v>45327</c:v>
                </c:pt>
                <c:pt idx="243">
                  <c:v>45328</c:v>
                </c:pt>
              </c:numCache>
            </c:numRef>
          </c:cat>
          <c:val>
            <c:numRef>
              <c:f>'涨停数量 '!$C$202:$C$445</c:f>
              <c:numCache>
                <c:formatCode>General</c:formatCode>
                <c:ptCount val="24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16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2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8</c:v>
                </c:pt>
                <c:pt idx="21">
                  <c:v>12</c:v>
                </c:pt>
                <c:pt idx="22">
                  <c:v>1</c:v>
                </c:pt>
                <c:pt idx="23">
                  <c:v>13</c:v>
                </c:pt>
                <c:pt idx="24">
                  <c:v>3</c:v>
                </c:pt>
                <c:pt idx="25">
                  <c:v>15</c:v>
                </c:pt>
                <c:pt idx="26">
                  <c:v>10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9</c:v>
                </c:pt>
                <c:pt idx="31">
                  <c:v>10</c:v>
                </c:pt>
                <c:pt idx="32">
                  <c:v>5</c:v>
                </c:pt>
                <c:pt idx="33">
                  <c:v>6</c:v>
                </c:pt>
                <c:pt idx="34">
                  <c:v>2</c:v>
                </c:pt>
                <c:pt idx="35">
                  <c:v>6</c:v>
                </c:pt>
                <c:pt idx="36">
                  <c:v>8</c:v>
                </c:pt>
                <c:pt idx="37">
                  <c:v>15</c:v>
                </c:pt>
                <c:pt idx="38">
                  <c:v>5</c:v>
                </c:pt>
                <c:pt idx="39">
                  <c:v>25</c:v>
                </c:pt>
                <c:pt idx="40">
                  <c:v>9</c:v>
                </c:pt>
                <c:pt idx="41">
                  <c:v>7</c:v>
                </c:pt>
                <c:pt idx="42">
                  <c:v>9</c:v>
                </c:pt>
                <c:pt idx="43">
                  <c:v>4</c:v>
                </c:pt>
                <c:pt idx="44">
                  <c:v>20</c:v>
                </c:pt>
                <c:pt idx="45">
                  <c:v>15</c:v>
                </c:pt>
                <c:pt idx="46">
                  <c:v>18</c:v>
                </c:pt>
                <c:pt idx="47">
                  <c:v>25</c:v>
                </c:pt>
                <c:pt idx="48">
                  <c:v>44</c:v>
                </c:pt>
                <c:pt idx="49">
                  <c:v>47</c:v>
                </c:pt>
                <c:pt idx="50">
                  <c:v>73</c:v>
                </c:pt>
                <c:pt idx="51">
                  <c:v>52</c:v>
                </c:pt>
                <c:pt idx="52">
                  <c:v>56</c:v>
                </c:pt>
                <c:pt idx="53">
                  <c:v>28</c:v>
                </c:pt>
                <c:pt idx="54">
                  <c:v>30</c:v>
                </c:pt>
                <c:pt idx="55">
                  <c:v>50</c:v>
                </c:pt>
                <c:pt idx="56">
                  <c:v>51</c:v>
                </c:pt>
                <c:pt idx="57">
                  <c:v>72</c:v>
                </c:pt>
                <c:pt idx="58">
                  <c:v>49</c:v>
                </c:pt>
                <c:pt idx="59">
                  <c:v>37</c:v>
                </c:pt>
                <c:pt idx="60">
                  <c:v>37</c:v>
                </c:pt>
                <c:pt idx="61">
                  <c:v>38</c:v>
                </c:pt>
                <c:pt idx="62">
                  <c:v>65</c:v>
                </c:pt>
                <c:pt idx="63">
                  <c:v>35</c:v>
                </c:pt>
                <c:pt idx="64">
                  <c:v>21</c:v>
                </c:pt>
                <c:pt idx="65">
                  <c:v>22</c:v>
                </c:pt>
                <c:pt idx="66">
                  <c:v>23</c:v>
                </c:pt>
                <c:pt idx="67">
                  <c:v>12</c:v>
                </c:pt>
                <c:pt idx="68">
                  <c:v>24</c:v>
                </c:pt>
                <c:pt idx="69">
                  <c:v>36</c:v>
                </c:pt>
                <c:pt idx="70">
                  <c:v>25</c:v>
                </c:pt>
                <c:pt idx="71">
                  <c:v>43</c:v>
                </c:pt>
                <c:pt idx="72">
                  <c:v>25</c:v>
                </c:pt>
                <c:pt idx="73">
                  <c:v>20</c:v>
                </c:pt>
                <c:pt idx="74">
                  <c:v>25</c:v>
                </c:pt>
                <c:pt idx="75">
                  <c:v>13</c:v>
                </c:pt>
                <c:pt idx="76">
                  <c:v>11</c:v>
                </c:pt>
                <c:pt idx="77">
                  <c:v>19</c:v>
                </c:pt>
                <c:pt idx="78">
                  <c:v>7</c:v>
                </c:pt>
                <c:pt idx="79">
                  <c:v>18</c:v>
                </c:pt>
                <c:pt idx="80">
                  <c:v>11</c:v>
                </c:pt>
                <c:pt idx="81">
                  <c:v>13</c:v>
                </c:pt>
                <c:pt idx="82">
                  <c:v>4</c:v>
                </c:pt>
                <c:pt idx="83">
                  <c:v>3</c:v>
                </c:pt>
                <c:pt idx="84">
                  <c:v>7</c:v>
                </c:pt>
                <c:pt idx="85">
                  <c:v>3</c:v>
                </c:pt>
                <c:pt idx="86">
                  <c:v>6</c:v>
                </c:pt>
                <c:pt idx="87">
                  <c:v>11</c:v>
                </c:pt>
                <c:pt idx="88">
                  <c:v>20</c:v>
                </c:pt>
                <c:pt idx="89">
                  <c:v>31</c:v>
                </c:pt>
                <c:pt idx="90">
                  <c:v>4</c:v>
                </c:pt>
                <c:pt idx="91">
                  <c:v>11</c:v>
                </c:pt>
                <c:pt idx="92">
                  <c:v>2</c:v>
                </c:pt>
                <c:pt idx="93">
                  <c:v>2</c:v>
                </c:pt>
                <c:pt idx="94">
                  <c:v>11</c:v>
                </c:pt>
                <c:pt idx="95">
                  <c:v>5</c:v>
                </c:pt>
                <c:pt idx="96">
                  <c:v>8</c:v>
                </c:pt>
                <c:pt idx="97">
                  <c:v>6</c:v>
                </c:pt>
                <c:pt idx="98">
                  <c:v>9</c:v>
                </c:pt>
                <c:pt idx="99">
                  <c:v>11</c:v>
                </c:pt>
                <c:pt idx="100">
                  <c:v>3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18</c:v>
                </c:pt>
                <c:pt idx="105">
                  <c:v>2</c:v>
                </c:pt>
                <c:pt idx="106">
                  <c:v>2</c:v>
                </c:pt>
                <c:pt idx="107">
                  <c:v>4</c:v>
                </c:pt>
                <c:pt idx="108">
                  <c:v>16</c:v>
                </c:pt>
                <c:pt idx="109">
                  <c:v>11</c:v>
                </c:pt>
                <c:pt idx="110">
                  <c:v>0</c:v>
                </c:pt>
                <c:pt idx="111">
                  <c:v>3</c:v>
                </c:pt>
                <c:pt idx="112">
                  <c:v>5</c:v>
                </c:pt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0</c:v>
                </c:pt>
                <c:pt idx="117">
                  <c:v>6</c:v>
                </c:pt>
                <c:pt idx="118">
                  <c:v>1</c:v>
                </c:pt>
                <c:pt idx="119">
                  <c:v>10</c:v>
                </c:pt>
                <c:pt idx="120">
                  <c:v>7</c:v>
                </c:pt>
                <c:pt idx="121">
                  <c:v>2</c:v>
                </c:pt>
                <c:pt idx="122">
                  <c:v>2</c:v>
                </c:pt>
                <c:pt idx="123">
                  <c:v>4</c:v>
                </c:pt>
                <c:pt idx="124">
                  <c:v>7</c:v>
                </c:pt>
                <c:pt idx="125">
                  <c:v>3</c:v>
                </c:pt>
                <c:pt idx="126">
                  <c:v>5</c:v>
                </c:pt>
                <c:pt idx="127">
                  <c:v>1</c:v>
                </c:pt>
                <c:pt idx="128">
                  <c:v>9</c:v>
                </c:pt>
                <c:pt idx="129">
                  <c:v>6</c:v>
                </c:pt>
                <c:pt idx="130">
                  <c:v>14</c:v>
                </c:pt>
                <c:pt idx="131">
                  <c:v>19</c:v>
                </c:pt>
                <c:pt idx="132">
                  <c:v>13</c:v>
                </c:pt>
                <c:pt idx="133">
                  <c:v>39</c:v>
                </c:pt>
                <c:pt idx="134">
                  <c:v>11</c:v>
                </c:pt>
                <c:pt idx="135">
                  <c:v>1</c:v>
                </c:pt>
                <c:pt idx="136">
                  <c:v>3</c:v>
                </c:pt>
                <c:pt idx="137">
                  <c:v>9</c:v>
                </c:pt>
                <c:pt idx="138">
                  <c:v>0</c:v>
                </c:pt>
                <c:pt idx="139">
                  <c:v>2</c:v>
                </c:pt>
                <c:pt idx="140">
                  <c:v>5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6</c:v>
                </c:pt>
                <c:pt idx="145">
                  <c:v>2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14</c:v>
                </c:pt>
                <c:pt idx="150">
                  <c:v>9</c:v>
                </c:pt>
                <c:pt idx="151">
                  <c:v>13</c:v>
                </c:pt>
                <c:pt idx="152">
                  <c:v>0</c:v>
                </c:pt>
                <c:pt idx="153">
                  <c:v>13</c:v>
                </c:pt>
                <c:pt idx="154">
                  <c:v>29</c:v>
                </c:pt>
                <c:pt idx="155">
                  <c:v>16</c:v>
                </c:pt>
                <c:pt idx="156">
                  <c:v>10</c:v>
                </c:pt>
                <c:pt idx="157">
                  <c:v>8</c:v>
                </c:pt>
                <c:pt idx="158">
                  <c:v>20</c:v>
                </c:pt>
                <c:pt idx="159">
                  <c:v>15</c:v>
                </c:pt>
                <c:pt idx="160">
                  <c:v>9</c:v>
                </c:pt>
                <c:pt idx="161">
                  <c:v>9</c:v>
                </c:pt>
                <c:pt idx="162">
                  <c:v>5</c:v>
                </c:pt>
                <c:pt idx="163">
                  <c:v>14</c:v>
                </c:pt>
                <c:pt idx="164">
                  <c:v>16</c:v>
                </c:pt>
                <c:pt idx="165">
                  <c:v>25</c:v>
                </c:pt>
                <c:pt idx="166">
                  <c:v>31</c:v>
                </c:pt>
                <c:pt idx="167">
                  <c:v>29</c:v>
                </c:pt>
                <c:pt idx="168">
                  <c:v>39</c:v>
                </c:pt>
                <c:pt idx="169">
                  <c:v>7</c:v>
                </c:pt>
                <c:pt idx="170">
                  <c:v>3</c:v>
                </c:pt>
                <c:pt idx="171">
                  <c:v>5</c:v>
                </c:pt>
                <c:pt idx="172">
                  <c:v>4</c:v>
                </c:pt>
                <c:pt idx="173">
                  <c:v>11</c:v>
                </c:pt>
                <c:pt idx="174">
                  <c:v>16</c:v>
                </c:pt>
                <c:pt idx="175">
                  <c:v>10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0</c:v>
                </c:pt>
                <c:pt idx="180">
                  <c:v>6</c:v>
                </c:pt>
                <c:pt idx="181">
                  <c:v>26</c:v>
                </c:pt>
                <c:pt idx="182">
                  <c:v>17</c:v>
                </c:pt>
                <c:pt idx="183">
                  <c:v>9</c:v>
                </c:pt>
                <c:pt idx="184">
                  <c:v>5</c:v>
                </c:pt>
                <c:pt idx="185">
                  <c:v>4</c:v>
                </c:pt>
                <c:pt idx="186">
                  <c:v>8</c:v>
                </c:pt>
                <c:pt idx="187">
                  <c:v>10</c:v>
                </c:pt>
                <c:pt idx="188">
                  <c:v>7</c:v>
                </c:pt>
                <c:pt idx="189">
                  <c:v>5</c:v>
                </c:pt>
                <c:pt idx="190">
                  <c:v>11</c:v>
                </c:pt>
                <c:pt idx="191">
                  <c:v>16</c:v>
                </c:pt>
                <c:pt idx="192">
                  <c:v>13</c:v>
                </c:pt>
                <c:pt idx="193">
                  <c:v>25</c:v>
                </c:pt>
                <c:pt idx="194">
                  <c:v>13</c:v>
                </c:pt>
                <c:pt idx="195">
                  <c:v>13</c:v>
                </c:pt>
                <c:pt idx="196">
                  <c:v>9</c:v>
                </c:pt>
                <c:pt idx="197">
                  <c:v>3</c:v>
                </c:pt>
                <c:pt idx="198">
                  <c:v>8</c:v>
                </c:pt>
                <c:pt idx="199">
                  <c:v>12</c:v>
                </c:pt>
                <c:pt idx="200">
                  <c:v>11</c:v>
                </c:pt>
                <c:pt idx="201">
                  <c:v>21</c:v>
                </c:pt>
                <c:pt idx="202">
                  <c:v>17</c:v>
                </c:pt>
                <c:pt idx="203">
                  <c:v>9</c:v>
                </c:pt>
                <c:pt idx="204">
                  <c:v>7</c:v>
                </c:pt>
                <c:pt idx="205">
                  <c:v>9</c:v>
                </c:pt>
                <c:pt idx="206">
                  <c:v>19</c:v>
                </c:pt>
                <c:pt idx="207">
                  <c:v>14</c:v>
                </c:pt>
                <c:pt idx="208">
                  <c:v>39</c:v>
                </c:pt>
                <c:pt idx="209">
                  <c:v>20</c:v>
                </c:pt>
                <c:pt idx="210">
                  <c:v>17</c:v>
                </c:pt>
                <c:pt idx="211">
                  <c:v>15</c:v>
                </c:pt>
                <c:pt idx="212">
                  <c:v>61</c:v>
                </c:pt>
                <c:pt idx="213">
                  <c:v>35</c:v>
                </c:pt>
                <c:pt idx="214">
                  <c:v>16</c:v>
                </c:pt>
                <c:pt idx="215">
                  <c:v>22</c:v>
                </c:pt>
                <c:pt idx="216">
                  <c:v>11</c:v>
                </c:pt>
                <c:pt idx="217">
                  <c:v>4</c:v>
                </c:pt>
                <c:pt idx="218">
                  <c:v>8</c:v>
                </c:pt>
                <c:pt idx="219">
                  <c:v>11</c:v>
                </c:pt>
                <c:pt idx="220">
                  <c:v>11</c:v>
                </c:pt>
                <c:pt idx="221">
                  <c:v>17</c:v>
                </c:pt>
                <c:pt idx="222">
                  <c:v>22</c:v>
                </c:pt>
                <c:pt idx="223">
                  <c:v>10</c:v>
                </c:pt>
                <c:pt idx="224">
                  <c:v>16</c:v>
                </c:pt>
                <c:pt idx="225">
                  <c:v>6</c:v>
                </c:pt>
                <c:pt idx="226">
                  <c:v>9</c:v>
                </c:pt>
                <c:pt idx="227">
                  <c:v>8</c:v>
                </c:pt>
                <c:pt idx="228">
                  <c:v>9</c:v>
                </c:pt>
                <c:pt idx="229">
                  <c:v>18</c:v>
                </c:pt>
                <c:pt idx="230">
                  <c:v>13</c:v>
                </c:pt>
                <c:pt idx="231">
                  <c:v>26</c:v>
                </c:pt>
                <c:pt idx="232">
                  <c:v>105</c:v>
                </c:pt>
                <c:pt idx="233">
                  <c:v>30</c:v>
                </c:pt>
                <c:pt idx="234">
                  <c:v>4</c:v>
                </c:pt>
                <c:pt idx="235">
                  <c:v>5</c:v>
                </c:pt>
                <c:pt idx="236">
                  <c:v>11</c:v>
                </c:pt>
                <c:pt idx="237">
                  <c:v>83</c:v>
                </c:pt>
                <c:pt idx="238">
                  <c:v>87</c:v>
                </c:pt>
                <c:pt idx="239">
                  <c:v>184</c:v>
                </c:pt>
                <c:pt idx="240">
                  <c:v>99</c:v>
                </c:pt>
                <c:pt idx="241">
                  <c:v>108</c:v>
                </c:pt>
                <c:pt idx="242">
                  <c:v>1368</c:v>
                </c:pt>
                <c:pt idx="243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6-40F8-9C2F-5E5DE3219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35664"/>
        <c:axId val="1"/>
      </c:lineChart>
      <c:catAx>
        <c:axId val="581935664"/>
        <c:scaling>
          <c:orientation val="minMax"/>
        </c:scaling>
        <c:delete val="0"/>
        <c:axPos val="b"/>
        <c:numFmt formatCode="yy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2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5819356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8697274909602"/>
          <c:y val="2.0231974679635601E-2"/>
          <c:w val="0.396733813445733"/>
          <c:h val="3.17928825073336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625306277802906E-2"/>
          <c:y val="7.6504426583982696E-2"/>
          <c:w val="0.89899768265922697"/>
          <c:h val="0.66803262377098904"/>
        </c:manualLayout>
      </c:layout>
      <c:lineChart>
        <c:grouping val="standard"/>
        <c:varyColors val="0"/>
        <c:ser>
          <c:idx val="0"/>
          <c:order val="0"/>
          <c:tx>
            <c:strRef>
              <c:f>'涨停数量 '!$B$1</c:f>
              <c:strCache>
                <c:ptCount val="1"/>
                <c:pt idx="0">
                  <c:v>涨停个股数量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'!$A$202:$A$470</c:f>
              <c:numCache>
                <c:formatCode>m/d/yyyy</c:formatCode>
                <c:ptCount val="269"/>
                <c:pt idx="0">
                  <c:v>44970</c:v>
                </c:pt>
                <c:pt idx="1">
                  <c:v>44971</c:v>
                </c:pt>
                <c:pt idx="2">
                  <c:v>44972</c:v>
                </c:pt>
                <c:pt idx="3">
                  <c:v>44973</c:v>
                </c:pt>
                <c:pt idx="4">
                  <c:v>44974</c:v>
                </c:pt>
                <c:pt idx="5">
                  <c:v>44977</c:v>
                </c:pt>
                <c:pt idx="6">
                  <c:v>44978</c:v>
                </c:pt>
                <c:pt idx="7">
                  <c:v>44979</c:v>
                </c:pt>
                <c:pt idx="8">
                  <c:v>44980</c:v>
                </c:pt>
                <c:pt idx="9">
                  <c:v>44981</c:v>
                </c:pt>
                <c:pt idx="10">
                  <c:v>44984</c:v>
                </c:pt>
                <c:pt idx="11">
                  <c:v>44985</c:v>
                </c:pt>
                <c:pt idx="12">
                  <c:v>44986</c:v>
                </c:pt>
                <c:pt idx="13">
                  <c:v>44987</c:v>
                </c:pt>
                <c:pt idx="14">
                  <c:v>44988</c:v>
                </c:pt>
                <c:pt idx="15">
                  <c:v>44991</c:v>
                </c:pt>
                <c:pt idx="16">
                  <c:v>44992</c:v>
                </c:pt>
                <c:pt idx="17">
                  <c:v>44993</c:v>
                </c:pt>
                <c:pt idx="18">
                  <c:v>44994</c:v>
                </c:pt>
                <c:pt idx="19">
                  <c:v>44995</c:v>
                </c:pt>
                <c:pt idx="20">
                  <c:v>44998</c:v>
                </c:pt>
                <c:pt idx="21">
                  <c:v>44999</c:v>
                </c:pt>
                <c:pt idx="22">
                  <c:v>45000</c:v>
                </c:pt>
                <c:pt idx="23">
                  <c:v>45001</c:v>
                </c:pt>
                <c:pt idx="24">
                  <c:v>45002</c:v>
                </c:pt>
                <c:pt idx="25">
                  <c:v>45005</c:v>
                </c:pt>
                <c:pt idx="26">
                  <c:v>45006</c:v>
                </c:pt>
                <c:pt idx="27">
                  <c:v>45007</c:v>
                </c:pt>
                <c:pt idx="28">
                  <c:v>45008</c:v>
                </c:pt>
                <c:pt idx="29">
                  <c:v>45009</c:v>
                </c:pt>
                <c:pt idx="30">
                  <c:v>45012</c:v>
                </c:pt>
                <c:pt idx="31">
                  <c:v>45013</c:v>
                </c:pt>
                <c:pt idx="32">
                  <c:v>45014</c:v>
                </c:pt>
                <c:pt idx="33">
                  <c:v>45015</c:v>
                </c:pt>
                <c:pt idx="34">
                  <c:v>45016</c:v>
                </c:pt>
                <c:pt idx="35">
                  <c:v>45019</c:v>
                </c:pt>
                <c:pt idx="36">
                  <c:v>45020</c:v>
                </c:pt>
                <c:pt idx="37">
                  <c:v>45022</c:v>
                </c:pt>
                <c:pt idx="38">
                  <c:v>45023</c:v>
                </c:pt>
                <c:pt idx="39">
                  <c:v>45026</c:v>
                </c:pt>
                <c:pt idx="40">
                  <c:v>45027</c:v>
                </c:pt>
                <c:pt idx="41">
                  <c:v>45028</c:v>
                </c:pt>
                <c:pt idx="42">
                  <c:v>45029</c:v>
                </c:pt>
                <c:pt idx="43">
                  <c:v>45030</c:v>
                </c:pt>
                <c:pt idx="44">
                  <c:v>45033</c:v>
                </c:pt>
                <c:pt idx="45">
                  <c:v>45034</c:v>
                </c:pt>
                <c:pt idx="46">
                  <c:v>45035</c:v>
                </c:pt>
                <c:pt idx="47">
                  <c:v>45036</c:v>
                </c:pt>
                <c:pt idx="48">
                  <c:v>45037</c:v>
                </c:pt>
                <c:pt idx="49">
                  <c:v>45040</c:v>
                </c:pt>
                <c:pt idx="50">
                  <c:v>45041</c:v>
                </c:pt>
                <c:pt idx="51">
                  <c:v>45042</c:v>
                </c:pt>
                <c:pt idx="52">
                  <c:v>45043</c:v>
                </c:pt>
                <c:pt idx="53">
                  <c:v>45044</c:v>
                </c:pt>
                <c:pt idx="54">
                  <c:v>45050</c:v>
                </c:pt>
                <c:pt idx="55">
                  <c:v>45051</c:v>
                </c:pt>
                <c:pt idx="56">
                  <c:v>45054</c:v>
                </c:pt>
                <c:pt idx="57">
                  <c:v>45055</c:v>
                </c:pt>
                <c:pt idx="58">
                  <c:v>45056</c:v>
                </c:pt>
                <c:pt idx="59">
                  <c:v>45057</c:v>
                </c:pt>
                <c:pt idx="60">
                  <c:v>45058</c:v>
                </c:pt>
                <c:pt idx="61">
                  <c:v>45061</c:v>
                </c:pt>
                <c:pt idx="62">
                  <c:v>45062</c:v>
                </c:pt>
                <c:pt idx="63">
                  <c:v>45063</c:v>
                </c:pt>
                <c:pt idx="64">
                  <c:v>45064</c:v>
                </c:pt>
                <c:pt idx="65">
                  <c:v>45065</c:v>
                </c:pt>
                <c:pt idx="66">
                  <c:v>45068</c:v>
                </c:pt>
                <c:pt idx="67">
                  <c:v>45069</c:v>
                </c:pt>
                <c:pt idx="68">
                  <c:v>45070</c:v>
                </c:pt>
                <c:pt idx="69">
                  <c:v>45071</c:v>
                </c:pt>
                <c:pt idx="70">
                  <c:v>45072</c:v>
                </c:pt>
                <c:pt idx="71">
                  <c:v>45075</c:v>
                </c:pt>
                <c:pt idx="72">
                  <c:v>45076</c:v>
                </c:pt>
                <c:pt idx="73">
                  <c:v>45077</c:v>
                </c:pt>
                <c:pt idx="74">
                  <c:v>45078</c:v>
                </c:pt>
                <c:pt idx="75">
                  <c:v>45079</c:v>
                </c:pt>
                <c:pt idx="76">
                  <c:v>45082</c:v>
                </c:pt>
                <c:pt idx="77">
                  <c:v>45083</c:v>
                </c:pt>
                <c:pt idx="78">
                  <c:v>45084</c:v>
                </c:pt>
                <c:pt idx="79">
                  <c:v>45085</c:v>
                </c:pt>
                <c:pt idx="80">
                  <c:v>45086</c:v>
                </c:pt>
                <c:pt idx="81">
                  <c:v>45089</c:v>
                </c:pt>
                <c:pt idx="82">
                  <c:v>45090</c:v>
                </c:pt>
                <c:pt idx="83">
                  <c:v>45091</c:v>
                </c:pt>
                <c:pt idx="84">
                  <c:v>45092</c:v>
                </c:pt>
                <c:pt idx="85">
                  <c:v>45093</c:v>
                </c:pt>
                <c:pt idx="86">
                  <c:v>45096</c:v>
                </c:pt>
                <c:pt idx="87">
                  <c:v>45097</c:v>
                </c:pt>
                <c:pt idx="88">
                  <c:v>45098</c:v>
                </c:pt>
                <c:pt idx="89">
                  <c:v>45103</c:v>
                </c:pt>
                <c:pt idx="90">
                  <c:v>45104</c:v>
                </c:pt>
                <c:pt idx="91">
                  <c:v>45105</c:v>
                </c:pt>
                <c:pt idx="92">
                  <c:v>45106</c:v>
                </c:pt>
                <c:pt idx="93">
                  <c:v>45107</c:v>
                </c:pt>
                <c:pt idx="94">
                  <c:v>45110</c:v>
                </c:pt>
                <c:pt idx="95">
                  <c:v>45111</c:v>
                </c:pt>
                <c:pt idx="96">
                  <c:v>45112</c:v>
                </c:pt>
                <c:pt idx="97">
                  <c:v>45113</c:v>
                </c:pt>
                <c:pt idx="98">
                  <c:v>45114</c:v>
                </c:pt>
                <c:pt idx="99">
                  <c:v>45117</c:v>
                </c:pt>
                <c:pt idx="100">
                  <c:v>45118</c:v>
                </c:pt>
                <c:pt idx="101">
                  <c:v>45119</c:v>
                </c:pt>
                <c:pt idx="102">
                  <c:v>45120</c:v>
                </c:pt>
                <c:pt idx="103">
                  <c:v>45121</c:v>
                </c:pt>
                <c:pt idx="104">
                  <c:v>45124</c:v>
                </c:pt>
                <c:pt idx="105">
                  <c:v>45125</c:v>
                </c:pt>
                <c:pt idx="106">
                  <c:v>45126</c:v>
                </c:pt>
                <c:pt idx="107">
                  <c:v>45127</c:v>
                </c:pt>
                <c:pt idx="108">
                  <c:v>45128</c:v>
                </c:pt>
                <c:pt idx="109">
                  <c:v>45131</c:v>
                </c:pt>
                <c:pt idx="110">
                  <c:v>45132</c:v>
                </c:pt>
                <c:pt idx="111">
                  <c:v>45133</c:v>
                </c:pt>
                <c:pt idx="112">
                  <c:v>45134</c:v>
                </c:pt>
                <c:pt idx="113">
                  <c:v>45135</c:v>
                </c:pt>
                <c:pt idx="114">
                  <c:v>45138</c:v>
                </c:pt>
                <c:pt idx="115">
                  <c:v>45139</c:v>
                </c:pt>
                <c:pt idx="116">
                  <c:v>45140</c:v>
                </c:pt>
                <c:pt idx="117">
                  <c:v>45141</c:v>
                </c:pt>
                <c:pt idx="118">
                  <c:v>45142</c:v>
                </c:pt>
                <c:pt idx="119">
                  <c:v>45145</c:v>
                </c:pt>
                <c:pt idx="120">
                  <c:v>45146</c:v>
                </c:pt>
                <c:pt idx="121">
                  <c:v>45147</c:v>
                </c:pt>
                <c:pt idx="122">
                  <c:v>45148</c:v>
                </c:pt>
                <c:pt idx="123">
                  <c:v>45149</c:v>
                </c:pt>
                <c:pt idx="124">
                  <c:v>45152</c:v>
                </c:pt>
                <c:pt idx="125">
                  <c:v>45153</c:v>
                </c:pt>
                <c:pt idx="126">
                  <c:v>45154</c:v>
                </c:pt>
                <c:pt idx="127">
                  <c:v>45155</c:v>
                </c:pt>
                <c:pt idx="128">
                  <c:v>45156</c:v>
                </c:pt>
                <c:pt idx="129">
                  <c:v>45159</c:v>
                </c:pt>
                <c:pt idx="130">
                  <c:v>45160</c:v>
                </c:pt>
                <c:pt idx="131">
                  <c:v>45161</c:v>
                </c:pt>
                <c:pt idx="132">
                  <c:v>45162</c:v>
                </c:pt>
                <c:pt idx="133">
                  <c:v>45163</c:v>
                </c:pt>
                <c:pt idx="134">
                  <c:v>45166</c:v>
                </c:pt>
                <c:pt idx="135">
                  <c:v>45167</c:v>
                </c:pt>
                <c:pt idx="136">
                  <c:v>45168</c:v>
                </c:pt>
                <c:pt idx="137">
                  <c:v>45169</c:v>
                </c:pt>
                <c:pt idx="138">
                  <c:v>45170</c:v>
                </c:pt>
                <c:pt idx="139">
                  <c:v>45173</c:v>
                </c:pt>
                <c:pt idx="140">
                  <c:v>45174</c:v>
                </c:pt>
                <c:pt idx="141">
                  <c:v>45175</c:v>
                </c:pt>
                <c:pt idx="142">
                  <c:v>45176</c:v>
                </c:pt>
                <c:pt idx="143">
                  <c:v>45177</c:v>
                </c:pt>
                <c:pt idx="144">
                  <c:v>45180</c:v>
                </c:pt>
                <c:pt idx="145">
                  <c:v>45181</c:v>
                </c:pt>
                <c:pt idx="146">
                  <c:v>45182</c:v>
                </c:pt>
                <c:pt idx="147">
                  <c:v>45183</c:v>
                </c:pt>
                <c:pt idx="148">
                  <c:v>45184</c:v>
                </c:pt>
                <c:pt idx="149">
                  <c:v>45187</c:v>
                </c:pt>
                <c:pt idx="150">
                  <c:v>45188</c:v>
                </c:pt>
                <c:pt idx="151">
                  <c:v>45189</c:v>
                </c:pt>
                <c:pt idx="152">
                  <c:v>45190</c:v>
                </c:pt>
                <c:pt idx="153">
                  <c:v>45191</c:v>
                </c:pt>
                <c:pt idx="154">
                  <c:v>45194</c:v>
                </c:pt>
                <c:pt idx="155">
                  <c:v>45195</c:v>
                </c:pt>
                <c:pt idx="156">
                  <c:v>45196</c:v>
                </c:pt>
                <c:pt idx="157">
                  <c:v>45197</c:v>
                </c:pt>
                <c:pt idx="158">
                  <c:v>45208</c:v>
                </c:pt>
                <c:pt idx="159">
                  <c:v>45209</c:v>
                </c:pt>
                <c:pt idx="160">
                  <c:v>45210</c:v>
                </c:pt>
                <c:pt idx="161">
                  <c:v>45211</c:v>
                </c:pt>
                <c:pt idx="162">
                  <c:v>45212</c:v>
                </c:pt>
                <c:pt idx="163">
                  <c:v>45215</c:v>
                </c:pt>
                <c:pt idx="164">
                  <c:v>45216</c:v>
                </c:pt>
                <c:pt idx="165">
                  <c:v>45217</c:v>
                </c:pt>
                <c:pt idx="166">
                  <c:v>45218</c:v>
                </c:pt>
                <c:pt idx="167">
                  <c:v>45219</c:v>
                </c:pt>
                <c:pt idx="168">
                  <c:v>45222</c:v>
                </c:pt>
                <c:pt idx="169">
                  <c:v>45223</c:v>
                </c:pt>
                <c:pt idx="170">
                  <c:v>45224</c:v>
                </c:pt>
                <c:pt idx="171">
                  <c:v>45225</c:v>
                </c:pt>
                <c:pt idx="172">
                  <c:v>45226</c:v>
                </c:pt>
                <c:pt idx="173">
                  <c:v>45229</c:v>
                </c:pt>
                <c:pt idx="174">
                  <c:v>45230</c:v>
                </c:pt>
                <c:pt idx="175">
                  <c:v>45231</c:v>
                </c:pt>
                <c:pt idx="176">
                  <c:v>45232</c:v>
                </c:pt>
                <c:pt idx="177">
                  <c:v>45233</c:v>
                </c:pt>
                <c:pt idx="178">
                  <c:v>45236</c:v>
                </c:pt>
                <c:pt idx="179">
                  <c:v>45237</c:v>
                </c:pt>
                <c:pt idx="180">
                  <c:v>45238</c:v>
                </c:pt>
                <c:pt idx="181">
                  <c:v>45239</c:v>
                </c:pt>
                <c:pt idx="182">
                  <c:v>45240</c:v>
                </c:pt>
                <c:pt idx="183">
                  <c:v>45243</c:v>
                </c:pt>
                <c:pt idx="184">
                  <c:v>45244</c:v>
                </c:pt>
                <c:pt idx="185">
                  <c:v>45245</c:v>
                </c:pt>
                <c:pt idx="186">
                  <c:v>45246</c:v>
                </c:pt>
                <c:pt idx="187">
                  <c:v>45247</c:v>
                </c:pt>
                <c:pt idx="188">
                  <c:v>45250</c:v>
                </c:pt>
                <c:pt idx="189">
                  <c:v>45251</c:v>
                </c:pt>
                <c:pt idx="190">
                  <c:v>45252</c:v>
                </c:pt>
                <c:pt idx="191">
                  <c:v>45253</c:v>
                </c:pt>
                <c:pt idx="192">
                  <c:v>45254</c:v>
                </c:pt>
                <c:pt idx="193">
                  <c:v>45257</c:v>
                </c:pt>
                <c:pt idx="194">
                  <c:v>45258</c:v>
                </c:pt>
                <c:pt idx="195">
                  <c:v>45259</c:v>
                </c:pt>
                <c:pt idx="196">
                  <c:v>45260</c:v>
                </c:pt>
                <c:pt idx="197">
                  <c:v>45261</c:v>
                </c:pt>
                <c:pt idx="198">
                  <c:v>45264</c:v>
                </c:pt>
                <c:pt idx="199">
                  <c:v>45265</c:v>
                </c:pt>
                <c:pt idx="200">
                  <c:v>45266</c:v>
                </c:pt>
                <c:pt idx="201">
                  <c:v>45267</c:v>
                </c:pt>
                <c:pt idx="202">
                  <c:v>45268</c:v>
                </c:pt>
                <c:pt idx="203">
                  <c:v>45271</c:v>
                </c:pt>
                <c:pt idx="204">
                  <c:v>45272</c:v>
                </c:pt>
                <c:pt idx="205">
                  <c:v>45273</c:v>
                </c:pt>
                <c:pt idx="206">
                  <c:v>45274</c:v>
                </c:pt>
                <c:pt idx="207">
                  <c:v>45275</c:v>
                </c:pt>
                <c:pt idx="208">
                  <c:v>45278</c:v>
                </c:pt>
                <c:pt idx="209">
                  <c:v>45279</c:v>
                </c:pt>
                <c:pt idx="210">
                  <c:v>45280</c:v>
                </c:pt>
                <c:pt idx="211">
                  <c:v>45281</c:v>
                </c:pt>
                <c:pt idx="212">
                  <c:v>45282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45293</c:v>
                </c:pt>
                <c:pt idx="219">
                  <c:v>45294</c:v>
                </c:pt>
                <c:pt idx="220">
                  <c:v>45295</c:v>
                </c:pt>
                <c:pt idx="221">
                  <c:v>45296</c:v>
                </c:pt>
                <c:pt idx="222">
                  <c:v>45299</c:v>
                </c:pt>
                <c:pt idx="223">
                  <c:v>45300</c:v>
                </c:pt>
                <c:pt idx="224">
                  <c:v>45301</c:v>
                </c:pt>
                <c:pt idx="225">
                  <c:v>45302</c:v>
                </c:pt>
                <c:pt idx="226">
                  <c:v>45303</c:v>
                </c:pt>
                <c:pt idx="227">
                  <c:v>45306</c:v>
                </c:pt>
                <c:pt idx="228">
                  <c:v>45307</c:v>
                </c:pt>
                <c:pt idx="229">
                  <c:v>45308</c:v>
                </c:pt>
                <c:pt idx="230">
                  <c:v>45309</c:v>
                </c:pt>
                <c:pt idx="231">
                  <c:v>45310</c:v>
                </c:pt>
                <c:pt idx="232">
                  <c:v>45313</c:v>
                </c:pt>
                <c:pt idx="233">
                  <c:v>45314</c:v>
                </c:pt>
                <c:pt idx="234">
                  <c:v>45315</c:v>
                </c:pt>
                <c:pt idx="235">
                  <c:v>45316</c:v>
                </c:pt>
                <c:pt idx="236">
                  <c:v>45317</c:v>
                </c:pt>
                <c:pt idx="237">
                  <c:v>45320</c:v>
                </c:pt>
                <c:pt idx="238">
                  <c:v>45321</c:v>
                </c:pt>
                <c:pt idx="239">
                  <c:v>45322</c:v>
                </c:pt>
                <c:pt idx="240">
                  <c:v>45323</c:v>
                </c:pt>
                <c:pt idx="241">
                  <c:v>45324</c:v>
                </c:pt>
                <c:pt idx="242">
                  <c:v>45327</c:v>
                </c:pt>
                <c:pt idx="243">
                  <c:v>45328</c:v>
                </c:pt>
                <c:pt idx="244">
                  <c:v>45329</c:v>
                </c:pt>
                <c:pt idx="245">
                  <c:v>45330</c:v>
                </c:pt>
                <c:pt idx="246">
                  <c:v>45341</c:v>
                </c:pt>
                <c:pt idx="247">
                  <c:v>45342</c:v>
                </c:pt>
                <c:pt idx="248">
                  <c:v>45343</c:v>
                </c:pt>
                <c:pt idx="249">
                  <c:v>45344</c:v>
                </c:pt>
                <c:pt idx="250">
                  <c:v>45345</c:v>
                </c:pt>
                <c:pt idx="251">
                  <c:v>45348</c:v>
                </c:pt>
                <c:pt idx="252">
                  <c:v>45349</c:v>
                </c:pt>
                <c:pt idx="253">
                  <c:v>45350</c:v>
                </c:pt>
                <c:pt idx="254">
                  <c:v>45351</c:v>
                </c:pt>
                <c:pt idx="255">
                  <c:v>45352</c:v>
                </c:pt>
                <c:pt idx="256">
                  <c:v>45355</c:v>
                </c:pt>
                <c:pt idx="257">
                  <c:v>45356</c:v>
                </c:pt>
                <c:pt idx="258">
                  <c:v>45357</c:v>
                </c:pt>
                <c:pt idx="259">
                  <c:v>45358</c:v>
                </c:pt>
                <c:pt idx="260">
                  <c:v>45359</c:v>
                </c:pt>
                <c:pt idx="261">
                  <c:v>45362</c:v>
                </c:pt>
                <c:pt idx="262">
                  <c:v>45363</c:v>
                </c:pt>
                <c:pt idx="263">
                  <c:v>45364</c:v>
                </c:pt>
                <c:pt idx="264">
                  <c:v>45365</c:v>
                </c:pt>
                <c:pt idx="265">
                  <c:v>45366</c:v>
                </c:pt>
                <c:pt idx="266">
                  <c:v>45369</c:v>
                </c:pt>
                <c:pt idx="267">
                  <c:v>45370</c:v>
                </c:pt>
                <c:pt idx="268">
                  <c:v>45371</c:v>
                </c:pt>
              </c:numCache>
            </c:numRef>
          </c:cat>
          <c:val>
            <c:numRef>
              <c:f>'涨停数量 '!$B$202:$B$470</c:f>
              <c:numCache>
                <c:formatCode>General</c:formatCode>
                <c:ptCount val="269"/>
                <c:pt idx="0">
                  <c:v>47</c:v>
                </c:pt>
                <c:pt idx="1">
                  <c:v>31</c:v>
                </c:pt>
                <c:pt idx="2">
                  <c:v>43</c:v>
                </c:pt>
                <c:pt idx="3">
                  <c:v>23</c:v>
                </c:pt>
                <c:pt idx="4">
                  <c:v>33</c:v>
                </c:pt>
                <c:pt idx="5">
                  <c:v>41</c:v>
                </c:pt>
                <c:pt idx="6">
                  <c:v>20</c:v>
                </c:pt>
                <c:pt idx="7">
                  <c:v>28</c:v>
                </c:pt>
                <c:pt idx="8">
                  <c:v>26</c:v>
                </c:pt>
                <c:pt idx="9">
                  <c:v>17</c:v>
                </c:pt>
                <c:pt idx="10">
                  <c:v>21</c:v>
                </c:pt>
                <c:pt idx="11">
                  <c:v>33</c:v>
                </c:pt>
                <c:pt idx="12">
                  <c:v>44</c:v>
                </c:pt>
                <c:pt idx="13">
                  <c:v>28</c:v>
                </c:pt>
                <c:pt idx="14">
                  <c:v>29</c:v>
                </c:pt>
                <c:pt idx="15">
                  <c:v>31</c:v>
                </c:pt>
                <c:pt idx="16">
                  <c:v>30</c:v>
                </c:pt>
                <c:pt idx="17">
                  <c:v>40</c:v>
                </c:pt>
                <c:pt idx="18">
                  <c:v>35</c:v>
                </c:pt>
                <c:pt idx="19">
                  <c:v>26</c:v>
                </c:pt>
                <c:pt idx="20">
                  <c:v>36</c:v>
                </c:pt>
                <c:pt idx="21">
                  <c:v>24</c:v>
                </c:pt>
                <c:pt idx="22">
                  <c:v>37</c:v>
                </c:pt>
                <c:pt idx="23">
                  <c:v>23</c:v>
                </c:pt>
                <c:pt idx="24">
                  <c:v>36</c:v>
                </c:pt>
                <c:pt idx="25">
                  <c:v>25</c:v>
                </c:pt>
                <c:pt idx="26">
                  <c:v>43</c:v>
                </c:pt>
                <c:pt idx="27">
                  <c:v>34</c:v>
                </c:pt>
                <c:pt idx="28">
                  <c:v>27</c:v>
                </c:pt>
                <c:pt idx="29">
                  <c:v>30</c:v>
                </c:pt>
                <c:pt idx="30">
                  <c:v>43</c:v>
                </c:pt>
                <c:pt idx="31">
                  <c:v>33</c:v>
                </c:pt>
                <c:pt idx="32">
                  <c:v>23</c:v>
                </c:pt>
                <c:pt idx="33">
                  <c:v>22</c:v>
                </c:pt>
                <c:pt idx="34">
                  <c:v>36</c:v>
                </c:pt>
                <c:pt idx="35">
                  <c:v>47</c:v>
                </c:pt>
                <c:pt idx="36">
                  <c:v>26</c:v>
                </c:pt>
                <c:pt idx="37">
                  <c:v>31</c:v>
                </c:pt>
                <c:pt idx="38">
                  <c:v>49</c:v>
                </c:pt>
                <c:pt idx="39">
                  <c:v>22</c:v>
                </c:pt>
                <c:pt idx="40">
                  <c:v>33</c:v>
                </c:pt>
                <c:pt idx="41">
                  <c:v>60</c:v>
                </c:pt>
                <c:pt idx="42">
                  <c:v>36</c:v>
                </c:pt>
                <c:pt idx="43">
                  <c:v>38</c:v>
                </c:pt>
                <c:pt idx="44">
                  <c:v>38</c:v>
                </c:pt>
                <c:pt idx="45">
                  <c:v>23</c:v>
                </c:pt>
                <c:pt idx="46">
                  <c:v>32</c:v>
                </c:pt>
                <c:pt idx="47">
                  <c:v>36</c:v>
                </c:pt>
                <c:pt idx="48">
                  <c:v>12</c:v>
                </c:pt>
                <c:pt idx="49">
                  <c:v>39</c:v>
                </c:pt>
                <c:pt idx="50">
                  <c:v>33</c:v>
                </c:pt>
                <c:pt idx="51">
                  <c:v>57</c:v>
                </c:pt>
                <c:pt idx="52">
                  <c:v>40</c:v>
                </c:pt>
                <c:pt idx="53">
                  <c:v>98</c:v>
                </c:pt>
                <c:pt idx="54">
                  <c:v>102</c:v>
                </c:pt>
                <c:pt idx="55">
                  <c:v>50</c:v>
                </c:pt>
                <c:pt idx="56">
                  <c:v>62</c:v>
                </c:pt>
                <c:pt idx="57">
                  <c:v>24</c:v>
                </c:pt>
                <c:pt idx="58">
                  <c:v>40</c:v>
                </c:pt>
                <c:pt idx="59">
                  <c:v>62</c:v>
                </c:pt>
                <c:pt idx="60">
                  <c:v>31</c:v>
                </c:pt>
                <c:pt idx="61">
                  <c:v>39</c:v>
                </c:pt>
                <c:pt idx="62">
                  <c:v>26</c:v>
                </c:pt>
                <c:pt idx="63">
                  <c:v>47</c:v>
                </c:pt>
                <c:pt idx="64">
                  <c:v>49</c:v>
                </c:pt>
                <c:pt idx="65">
                  <c:v>36</c:v>
                </c:pt>
                <c:pt idx="66">
                  <c:v>50</c:v>
                </c:pt>
                <c:pt idx="67">
                  <c:v>44</c:v>
                </c:pt>
                <c:pt idx="68">
                  <c:v>47</c:v>
                </c:pt>
                <c:pt idx="69">
                  <c:v>49</c:v>
                </c:pt>
                <c:pt idx="70">
                  <c:v>52</c:v>
                </c:pt>
                <c:pt idx="71">
                  <c:v>41</c:v>
                </c:pt>
                <c:pt idx="72">
                  <c:v>50</c:v>
                </c:pt>
                <c:pt idx="73">
                  <c:v>61</c:v>
                </c:pt>
                <c:pt idx="74">
                  <c:v>52</c:v>
                </c:pt>
                <c:pt idx="75">
                  <c:v>67</c:v>
                </c:pt>
                <c:pt idx="76">
                  <c:v>71</c:v>
                </c:pt>
                <c:pt idx="77">
                  <c:v>50</c:v>
                </c:pt>
                <c:pt idx="78">
                  <c:v>77</c:v>
                </c:pt>
                <c:pt idx="79">
                  <c:v>39</c:v>
                </c:pt>
                <c:pt idx="80">
                  <c:v>74</c:v>
                </c:pt>
                <c:pt idx="81">
                  <c:v>71</c:v>
                </c:pt>
                <c:pt idx="82">
                  <c:v>55</c:v>
                </c:pt>
                <c:pt idx="83">
                  <c:v>56</c:v>
                </c:pt>
                <c:pt idx="84">
                  <c:v>45</c:v>
                </c:pt>
                <c:pt idx="85">
                  <c:v>63</c:v>
                </c:pt>
                <c:pt idx="86">
                  <c:v>54</c:v>
                </c:pt>
                <c:pt idx="87">
                  <c:v>42</c:v>
                </c:pt>
                <c:pt idx="88">
                  <c:v>47</c:v>
                </c:pt>
                <c:pt idx="89">
                  <c:v>46</c:v>
                </c:pt>
                <c:pt idx="90">
                  <c:v>77</c:v>
                </c:pt>
                <c:pt idx="91">
                  <c:v>42</c:v>
                </c:pt>
                <c:pt idx="92">
                  <c:v>64</c:v>
                </c:pt>
                <c:pt idx="93">
                  <c:v>60</c:v>
                </c:pt>
                <c:pt idx="94">
                  <c:v>58</c:v>
                </c:pt>
                <c:pt idx="95">
                  <c:v>60</c:v>
                </c:pt>
                <c:pt idx="96">
                  <c:v>34</c:v>
                </c:pt>
                <c:pt idx="97">
                  <c:v>38</c:v>
                </c:pt>
                <c:pt idx="98">
                  <c:v>27</c:v>
                </c:pt>
                <c:pt idx="99">
                  <c:v>42</c:v>
                </c:pt>
                <c:pt idx="100">
                  <c:v>47</c:v>
                </c:pt>
                <c:pt idx="101">
                  <c:v>35</c:v>
                </c:pt>
                <c:pt idx="102">
                  <c:v>40</c:v>
                </c:pt>
                <c:pt idx="103">
                  <c:v>43</c:v>
                </c:pt>
                <c:pt idx="104">
                  <c:v>33</c:v>
                </c:pt>
                <c:pt idx="105">
                  <c:v>21</c:v>
                </c:pt>
                <c:pt idx="106">
                  <c:v>23</c:v>
                </c:pt>
                <c:pt idx="107">
                  <c:v>30</c:v>
                </c:pt>
                <c:pt idx="108">
                  <c:v>35</c:v>
                </c:pt>
                <c:pt idx="109">
                  <c:v>27</c:v>
                </c:pt>
                <c:pt idx="110">
                  <c:v>62</c:v>
                </c:pt>
                <c:pt idx="111">
                  <c:v>45</c:v>
                </c:pt>
                <c:pt idx="112">
                  <c:v>25</c:v>
                </c:pt>
                <c:pt idx="113">
                  <c:v>50</c:v>
                </c:pt>
                <c:pt idx="114">
                  <c:v>56</c:v>
                </c:pt>
                <c:pt idx="115">
                  <c:v>39</c:v>
                </c:pt>
                <c:pt idx="116">
                  <c:v>33</c:v>
                </c:pt>
                <c:pt idx="117">
                  <c:v>27</c:v>
                </c:pt>
                <c:pt idx="118">
                  <c:v>22</c:v>
                </c:pt>
                <c:pt idx="119">
                  <c:v>34</c:v>
                </c:pt>
                <c:pt idx="120">
                  <c:v>37</c:v>
                </c:pt>
                <c:pt idx="121">
                  <c:v>29</c:v>
                </c:pt>
                <c:pt idx="122">
                  <c:v>34</c:v>
                </c:pt>
                <c:pt idx="123">
                  <c:v>26</c:v>
                </c:pt>
                <c:pt idx="124">
                  <c:v>36</c:v>
                </c:pt>
                <c:pt idx="125">
                  <c:v>39</c:v>
                </c:pt>
                <c:pt idx="126">
                  <c:v>34</c:v>
                </c:pt>
                <c:pt idx="127">
                  <c:v>43</c:v>
                </c:pt>
                <c:pt idx="128">
                  <c:v>37</c:v>
                </c:pt>
                <c:pt idx="129">
                  <c:v>38</c:v>
                </c:pt>
                <c:pt idx="130">
                  <c:v>45</c:v>
                </c:pt>
                <c:pt idx="131">
                  <c:v>36</c:v>
                </c:pt>
                <c:pt idx="132">
                  <c:v>36</c:v>
                </c:pt>
                <c:pt idx="133">
                  <c:v>23</c:v>
                </c:pt>
                <c:pt idx="134">
                  <c:v>37</c:v>
                </c:pt>
                <c:pt idx="135">
                  <c:v>82</c:v>
                </c:pt>
                <c:pt idx="136">
                  <c:v>47</c:v>
                </c:pt>
                <c:pt idx="137">
                  <c:v>38</c:v>
                </c:pt>
                <c:pt idx="138">
                  <c:v>39</c:v>
                </c:pt>
                <c:pt idx="139">
                  <c:v>57</c:v>
                </c:pt>
                <c:pt idx="140">
                  <c:v>23</c:v>
                </c:pt>
                <c:pt idx="141">
                  <c:v>38</c:v>
                </c:pt>
                <c:pt idx="142">
                  <c:v>23</c:v>
                </c:pt>
                <c:pt idx="143">
                  <c:v>44</c:v>
                </c:pt>
                <c:pt idx="144">
                  <c:v>36</c:v>
                </c:pt>
                <c:pt idx="145">
                  <c:v>35</c:v>
                </c:pt>
                <c:pt idx="146">
                  <c:v>28</c:v>
                </c:pt>
                <c:pt idx="147">
                  <c:v>31</c:v>
                </c:pt>
                <c:pt idx="148">
                  <c:v>46</c:v>
                </c:pt>
                <c:pt idx="149">
                  <c:v>53</c:v>
                </c:pt>
                <c:pt idx="150">
                  <c:v>33</c:v>
                </c:pt>
                <c:pt idx="151">
                  <c:v>38</c:v>
                </c:pt>
                <c:pt idx="152">
                  <c:v>29</c:v>
                </c:pt>
                <c:pt idx="153">
                  <c:v>35</c:v>
                </c:pt>
                <c:pt idx="154">
                  <c:v>30</c:v>
                </c:pt>
                <c:pt idx="155">
                  <c:v>36</c:v>
                </c:pt>
                <c:pt idx="156">
                  <c:v>41</c:v>
                </c:pt>
                <c:pt idx="157">
                  <c:v>47</c:v>
                </c:pt>
                <c:pt idx="158">
                  <c:v>65</c:v>
                </c:pt>
                <c:pt idx="159">
                  <c:v>48</c:v>
                </c:pt>
                <c:pt idx="160">
                  <c:v>41</c:v>
                </c:pt>
                <c:pt idx="161">
                  <c:v>33</c:v>
                </c:pt>
                <c:pt idx="162">
                  <c:v>43</c:v>
                </c:pt>
                <c:pt idx="163">
                  <c:v>64</c:v>
                </c:pt>
                <c:pt idx="164">
                  <c:v>32</c:v>
                </c:pt>
                <c:pt idx="165">
                  <c:v>42</c:v>
                </c:pt>
                <c:pt idx="166">
                  <c:v>29</c:v>
                </c:pt>
                <c:pt idx="167">
                  <c:v>41</c:v>
                </c:pt>
                <c:pt idx="168">
                  <c:v>38</c:v>
                </c:pt>
                <c:pt idx="169">
                  <c:v>68</c:v>
                </c:pt>
                <c:pt idx="170">
                  <c:v>72</c:v>
                </c:pt>
                <c:pt idx="171">
                  <c:v>48</c:v>
                </c:pt>
                <c:pt idx="172">
                  <c:v>85</c:v>
                </c:pt>
                <c:pt idx="173">
                  <c:v>73</c:v>
                </c:pt>
                <c:pt idx="174">
                  <c:v>47</c:v>
                </c:pt>
                <c:pt idx="175">
                  <c:v>43</c:v>
                </c:pt>
                <c:pt idx="176">
                  <c:v>39</c:v>
                </c:pt>
                <c:pt idx="177">
                  <c:v>48</c:v>
                </c:pt>
                <c:pt idx="178">
                  <c:v>63</c:v>
                </c:pt>
                <c:pt idx="179">
                  <c:v>62</c:v>
                </c:pt>
                <c:pt idx="180">
                  <c:v>55</c:v>
                </c:pt>
                <c:pt idx="181">
                  <c:v>35</c:v>
                </c:pt>
                <c:pt idx="182">
                  <c:v>40</c:v>
                </c:pt>
                <c:pt idx="183">
                  <c:v>48</c:v>
                </c:pt>
                <c:pt idx="184">
                  <c:v>46</c:v>
                </c:pt>
                <c:pt idx="185">
                  <c:v>61</c:v>
                </c:pt>
                <c:pt idx="186">
                  <c:v>37</c:v>
                </c:pt>
                <c:pt idx="187">
                  <c:v>52</c:v>
                </c:pt>
                <c:pt idx="188">
                  <c:v>64</c:v>
                </c:pt>
                <c:pt idx="189">
                  <c:v>62</c:v>
                </c:pt>
                <c:pt idx="190">
                  <c:v>75</c:v>
                </c:pt>
                <c:pt idx="191">
                  <c:v>51</c:v>
                </c:pt>
                <c:pt idx="192">
                  <c:v>57</c:v>
                </c:pt>
                <c:pt idx="193">
                  <c:v>70</c:v>
                </c:pt>
                <c:pt idx="194">
                  <c:v>50</c:v>
                </c:pt>
                <c:pt idx="195">
                  <c:v>35</c:v>
                </c:pt>
                <c:pt idx="196">
                  <c:v>30</c:v>
                </c:pt>
                <c:pt idx="197">
                  <c:v>53</c:v>
                </c:pt>
                <c:pt idx="198">
                  <c:v>57</c:v>
                </c:pt>
                <c:pt idx="199">
                  <c:v>53</c:v>
                </c:pt>
                <c:pt idx="200">
                  <c:v>45</c:v>
                </c:pt>
                <c:pt idx="201">
                  <c:v>45</c:v>
                </c:pt>
                <c:pt idx="202">
                  <c:v>40</c:v>
                </c:pt>
                <c:pt idx="203">
                  <c:v>42</c:v>
                </c:pt>
                <c:pt idx="204">
                  <c:v>52</c:v>
                </c:pt>
                <c:pt idx="205">
                  <c:v>40</c:v>
                </c:pt>
                <c:pt idx="206">
                  <c:v>46</c:v>
                </c:pt>
                <c:pt idx="207">
                  <c:v>48</c:v>
                </c:pt>
                <c:pt idx="208">
                  <c:v>39</c:v>
                </c:pt>
                <c:pt idx="209">
                  <c:v>35</c:v>
                </c:pt>
                <c:pt idx="210">
                  <c:v>37</c:v>
                </c:pt>
                <c:pt idx="211">
                  <c:v>39</c:v>
                </c:pt>
                <c:pt idx="212">
                  <c:v>24</c:v>
                </c:pt>
                <c:pt idx="213">
                  <c:v>41</c:v>
                </c:pt>
                <c:pt idx="214">
                  <c:v>46</c:v>
                </c:pt>
                <c:pt idx="215">
                  <c:v>42</c:v>
                </c:pt>
                <c:pt idx="216">
                  <c:v>68</c:v>
                </c:pt>
                <c:pt idx="217">
                  <c:v>74</c:v>
                </c:pt>
                <c:pt idx="218">
                  <c:v>66</c:v>
                </c:pt>
                <c:pt idx="219">
                  <c:v>45</c:v>
                </c:pt>
                <c:pt idx="220">
                  <c:v>46</c:v>
                </c:pt>
                <c:pt idx="221">
                  <c:v>30</c:v>
                </c:pt>
                <c:pt idx="222">
                  <c:v>35</c:v>
                </c:pt>
                <c:pt idx="223">
                  <c:v>48</c:v>
                </c:pt>
                <c:pt idx="224">
                  <c:v>42</c:v>
                </c:pt>
                <c:pt idx="225">
                  <c:v>59</c:v>
                </c:pt>
                <c:pt idx="226">
                  <c:v>28</c:v>
                </c:pt>
                <c:pt idx="227">
                  <c:v>43</c:v>
                </c:pt>
                <c:pt idx="228">
                  <c:v>39</c:v>
                </c:pt>
                <c:pt idx="229">
                  <c:v>39</c:v>
                </c:pt>
                <c:pt idx="230">
                  <c:v>43</c:v>
                </c:pt>
                <c:pt idx="231">
                  <c:v>48</c:v>
                </c:pt>
                <c:pt idx="232">
                  <c:v>22</c:v>
                </c:pt>
                <c:pt idx="233">
                  <c:v>51</c:v>
                </c:pt>
                <c:pt idx="234">
                  <c:v>82</c:v>
                </c:pt>
                <c:pt idx="235">
                  <c:v>109</c:v>
                </c:pt>
                <c:pt idx="236">
                  <c:v>65</c:v>
                </c:pt>
                <c:pt idx="237">
                  <c:v>34</c:v>
                </c:pt>
                <c:pt idx="238">
                  <c:v>25</c:v>
                </c:pt>
                <c:pt idx="239">
                  <c:v>30</c:v>
                </c:pt>
                <c:pt idx="240">
                  <c:v>31</c:v>
                </c:pt>
                <c:pt idx="241">
                  <c:v>28</c:v>
                </c:pt>
                <c:pt idx="242">
                  <c:v>20</c:v>
                </c:pt>
                <c:pt idx="243">
                  <c:v>145</c:v>
                </c:pt>
                <c:pt idx="244">
                  <c:v>100</c:v>
                </c:pt>
                <c:pt idx="245">
                  <c:v>480</c:v>
                </c:pt>
                <c:pt idx="246">
                  <c:v>272</c:v>
                </c:pt>
                <c:pt idx="247">
                  <c:v>155</c:v>
                </c:pt>
                <c:pt idx="248">
                  <c:v>155</c:v>
                </c:pt>
                <c:pt idx="249">
                  <c:v>96</c:v>
                </c:pt>
                <c:pt idx="250">
                  <c:v>141</c:v>
                </c:pt>
                <c:pt idx="251">
                  <c:v>124</c:v>
                </c:pt>
                <c:pt idx="252">
                  <c:v>115</c:v>
                </c:pt>
                <c:pt idx="253">
                  <c:v>34</c:v>
                </c:pt>
                <c:pt idx="254">
                  <c:v>115</c:v>
                </c:pt>
                <c:pt idx="255">
                  <c:v>80</c:v>
                </c:pt>
                <c:pt idx="256">
                  <c:v>87</c:v>
                </c:pt>
                <c:pt idx="257">
                  <c:v>59</c:v>
                </c:pt>
                <c:pt idx="258">
                  <c:v>105</c:v>
                </c:pt>
                <c:pt idx="259">
                  <c:v>69</c:v>
                </c:pt>
                <c:pt idx="260">
                  <c:v>75</c:v>
                </c:pt>
                <c:pt idx="261">
                  <c:v>99</c:v>
                </c:pt>
                <c:pt idx="262">
                  <c:v>79</c:v>
                </c:pt>
                <c:pt idx="263">
                  <c:v>61</c:v>
                </c:pt>
                <c:pt idx="264">
                  <c:v>51</c:v>
                </c:pt>
                <c:pt idx="265">
                  <c:v>87</c:v>
                </c:pt>
                <c:pt idx="266">
                  <c:v>93</c:v>
                </c:pt>
                <c:pt idx="267">
                  <c:v>69</c:v>
                </c:pt>
                <c:pt idx="26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3-40F7-8CEC-11B8E57B754D}"/>
            </c:ext>
          </c:extLst>
        </c:ser>
        <c:ser>
          <c:idx val="1"/>
          <c:order val="1"/>
          <c:tx>
            <c:strRef>
              <c:f>'涨停数量 '!$C$1</c:f>
              <c:strCache>
                <c:ptCount val="1"/>
                <c:pt idx="0">
                  <c:v>跌停个股数量</c:v>
                </c:pt>
              </c:strCache>
            </c:strRef>
          </c:tx>
          <c:spPr>
            <a:ln w="25400" cap="rnd" cmpd="sng" algn="ctr">
              <a:solidFill>
                <a:srgbClr val="044E7E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'!$A$202:$A$470</c:f>
              <c:numCache>
                <c:formatCode>m/d/yyyy</c:formatCode>
                <c:ptCount val="269"/>
                <c:pt idx="0">
                  <c:v>44970</c:v>
                </c:pt>
                <c:pt idx="1">
                  <c:v>44971</c:v>
                </c:pt>
                <c:pt idx="2">
                  <c:v>44972</c:v>
                </c:pt>
                <c:pt idx="3">
                  <c:v>44973</c:v>
                </c:pt>
                <c:pt idx="4">
                  <c:v>44974</c:v>
                </c:pt>
                <c:pt idx="5">
                  <c:v>44977</c:v>
                </c:pt>
                <c:pt idx="6">
                  <c:v>44978</c:v>
                </c:pt>
                <c:pt idx="7">
                  <c:v>44979</c:v>
                </c:pt>
                <c:pt idx="8">
                  <c:v>44980</c:v>
                </c:pt>
                <c:pt idx="9">
                  <c:v>44981</c:v>
                </c:pt>
                <c:pt idx="10">
                  <c:v>44984</c:v>
                </c:pt>
                <c:pt idx="11">
                  <c:v>44985</c:v>
                </c:pt>
                <c:pt idx="12">
                  <c:v>44986</c:v>
                </c:pt>
                <c:pt idx="13">
                  <c:v>44987</c:v>
                </c:pt>
                <c:pt idx="14">
                  <c:v>44988</c:v>
                </c:pt>
                <c:pt idx="15">
                  <c:v>44991</c:v>
                </c:pt>
                <c:pt idx="16">
                  <c:v>44992</c:v>
                </c:pt>
                <c:pt idx="17">
                  <c:v>44993</c:v>
                </c:pt>
                <c:pt idx="18">
                  <c:v>44994</c:v>
                </c:pt>
                <c:pt idx="19">
                  <c:v>44995</c:v>
                </c:pt>
                <c:pt idx="20">
                  <c:v>44998</c:v>
                </c:pt>
                <c:pt idx="21">
                  <c:v>44999</c:v>
                </c:pt>
                <c:pt idx="22">
                  <c:v>45000</c:v>
                </c:pt>
                <c:pt idx="23">
                  <c:v>45001</c:v>
                </c:pt>
                <c:pt idx="24">
                  <c:v>45002</c:v>
                </c:pt>
                <c:pt idx="25">
                  <c:v>45005</c:v>
                </c:pt>
                <c:pt idx="26">
                  <c:v>45006</c:v>
                </c:pt>
                <c:pt idx="27">
                  <c:v>45007</c:v>
                </c:pt>
                <c:pt idx="28">
                  <c:v>45008</c:v>
                </c:pt>
                <c:pt idx="29">
                  <c:v>45009</c:v>
                </c:pt>
                <c:pt idx="30">
                  <c:v>45012</c:v>
                </c:pt>
                <c:pt idx="31">
                  <c:v>45013</c:v>
                </c:pt>
                <c:pt idx="32">
                  <c:v>45014</c:v>
                </c:pt>
                <c:pt idx="33">
                  <c:v>45015</c:v>
                </c:pt>
                <c:pt idx="34">
                  <c:v>45016</c:v>
                </c:pt>
                <c:pt idx="35">
                  <c:v>45019</c:v>
                </c:pt>
                <c:pt idx="36">
                  <c:v>45020</c:v>
                </c:pt>
                <c:pt idx="37">
                  <c:v>45022</c:v>
                </c:pt>
                <c:pt idx="38">
                  <c:v>45023</c:v>
                </c:pt>
                <c:pt idx="39">
                  <c:v>45026</c:v>
                </c:pt>
                <c:pt idx="40">
                  <c:v>45027</c:v>
                </c:pt>
                <c:pt idx="41">
                  <c:v>45028</c:v>
                </c:pt>
                <c:pt idx="42">
                  <c:v>45029</c:v>
                </c:pt>
                <c:pt idx="43">
                  <c:v>45030</c:v>
                </c:pt>
                <c:pt idx="44">
                  <c:v>45033</c:v>
                </c:pt>
                <c:pt idx="45">
                  <c:v>45034</c:v>
                </c:pt>
                <c:pt idx="46">
                  <c:v>45035</c:v>
                </c:pt>
                <c:pt idx="47">
                  <c:v>45036</c:v>
                </c:pt>
                <c:pt idx="48">
                  <c:v>45037</c:v>
                </c:pt>
                <c:pt idx="49">
                  <c:v>45040</c:v>
                </c:pt>
                <c:pt idx="50">
                  <c:v>45041</c:v>
                </c:pt>
                <c:pt idx="51">
                  <c:v>45042</c:v>
                </c:pt>
                <c:pt idx="52">
                  <c:v>45043</c:v>
                </c:pt>
                <c:pt idx="53">
                  <c:v>45044</c:v>
                </c:pt>
                <c:pt idx="54">
                  <c:v>45050</c:v>
                </c:pt>
                <c:pt idx="55">
                  <c:v>45051</c:v>
                </c:pt>
                <c:pt idx="56">
                  <c:v>45054</c:v>
                </c:pt>
                <c:pt idx="57">
                  <c:v>45055</c:v>
                </c:pt>
                <c:pt idx="58">
                  <c:v>45056</c:v>
                </c:pt>
                <c:pt idx="59">
                  <c:v>45057</c:v>
                </c:pt>
                <c:pt idx="60">
                  <c:v>45058</c:v>
                </c:pt>
                <c:pt idx="61">
                  <c:v>45061</c:v>
                </c:pt>
                <c:pt idx="62">
                  <c:v>45062</c:v>
                </c:pt>
                <c:pt idx="63">
                  <c:v>45063</c:v>
                </c:pt>
                <c:pt idx="64">
                  <c:v>45064</c:v>
                </c:pt>
                <c:pt idx="65">
                  <c:v>45065</c:v>
                </c:pt>
                <c:pt idx="66">
                  <c:v>45068</c:v>
                </c:pt>
                <c:pt idx="67">
                  <c:v>45069</c:v>
                </c:pt>
                <c:pt idx="68">
                  <c:v>45070</c:v>
                </c:pt>
                <c:pt idx="69">
                  <c:v>45071</c:v>
                </c:pt>
                <c:pt idx="70">
                  <c:v>45072</c:v>
                </c:pt>
                <c:pt idx="71">
                  <c:v>45075</c:v>
                </c:pt>
                <c:pt idx="72">
                  <c:v>45076</c:v>
                </c:pt>
                <c:pt idx="73">
                  <c:v>45077</c:v>
                </c:pt>
                <c:pt idx="74">
                  <c:v>45078</c:v>
                </c:pt>
                <c:pt idx="75">
                  <c:v>45079</c:v>
                </c:pt>
                <c:pt idx="76">
                  <c:v>45082</c:v>
                </c:pt>
                <c:pt idx="77">
                  <c:v>45083</c:v>
                </c:pt>
                <c:pt idx="78">
                  <c:v>45084</c:v>
                </c:pt>
                <c:pt idx="79">
                  <c:v>45085</c:v>
                </c:pt>
                <c:pt idx="80">
                  <c:v>45086</c:v>
                </c:pt>
                <c:pt idx="81">
                  <c:v>45089</c:v>
                </c:pt>
                <c:pt idx="82">
                  <c:v>45090</c:v>
                </c:pt>
                <c:pt idx="83">
                  <c:v>45091</c:v>
                </c:pt>
                <c:pt idx="84">
                  <c:v>45092</c:v>
                </c:pt>
                <c:pt idx="85">
                  <c:v>45093</c:v>
                </c:pt>
                <c:pt idx="86">
                  <c:v>45096</c:v>
                </c:pt>
                <c:pt idx="87">
                  <c:v>45097</c:v>
                </c:pt>
                <c:pt idx="88">
                  <c:v>45098</c:v>
                </c:pt>
                <c:pt idx="89">
                  <c:v>45103</c:v>
                </c:pt>
                <c:pt idx="90">
                  <c:v>45104</c:v>
                </c:pt>
                <c:pt idx="91">
                  <c:v>45105</c:v>
                </c:pt>
                <c:pt idx="92">
                  <c:v>45106</c:v>
                </c:pt>
                <c:pt idx="93">
                  <c:v>45107</c:v>
                </c:pt>
                <c:pt idx="94">
                  <c:v>45110</c:v>
                </c:pt>
                <c:pt idx="95">
                  <c:v>45111</c:v>
                </c:pt>
                <c:pt idx="96">
                  <c:v>45112</c:v>
                </c:pt>
                <c:pt idx="97">
                  <c:v>45113</c:v>
                </c:pt>
                <c:pt idx="98">
                  <c:v>45114</c:v>
                </c:pt>
                <c:pt idx="99">
                  <c:v>45117</c:v>
                </c:pt>
                <c:pt idx="100">
                  <c:v>45118</c:v>
                </c:pt>
                <c:pt idx="101">
                  <c:v>45119</c:v>
                </c:pt>
                <c:pt idx="102">
                  <c:v>45120</c:v>
                </c:pt>
                <c:pt idx="103">
                  <c:v>45121</c:v>
                </c:pt>
                <c:pt idx="104">
                  <c:v>45124</c:v>
                </c:pt>
                <c:pt idx="105">
                  <c:v>45125</c:v>
                </c:pt>
                <c:pt idx="106">
                  <c:v>45126</c:v>
                </c:pt>
                <c:pt idx="107">
                  <c:v>45127</c:v>
                </c:pt>
                <c:pt idx="108">
                  <c:v>45128</c:v>
                </c:pt>
                <c:pt idx="109">
                  <c:v>45131</c:v>
                </c:pt>
                <c:pt idx="110">
                  <c:v>45132</c:v>
                </c:pt>
                <c:pt idx="111">
                  <c:v>45133</c:v>
                </c:pt>
                <c:pt idx="112">
                  <c:v>45134</c:v>
                </c:pt>
                <c:pt idx="113">
                  <c:v>45135</c:v>
                </c:pt>
                <c:pt idx="114">
                  <c:v>45138</c:v>
                </c:pt>
                <c:pt idx="115">
                  <c:v>45139</c:v>
                </c:pt>
                <c:pt idx="116">
                  <c:v>45140</c:v>
                </c:pt>
                <c:pt idx="117">
                  <c:v>45141</c:v>
                </c:pt>
                <c:pt idx="118">
                  <c:v>45142</c:v>
                </c:pt>
                <c:pt idx="119">
                  <c:v>45145</c:v>
                </c:pt>
                <c:pt idx="120">
                  <c:v>45146</c:v>
                </c:pt>
                <c:pt idx="121">
                  <c:v>45147</c:v>
                </c:pt>
                <c:pt idx="122">
                  <c:v>45148</c:v>
                </c:pt>
                <c:pt idx="123">
                  <c:v>45149</c:v>
                </c:pt>
                <c:pt idx="124">
                  <c:v>45152</c:v>
                </c:pt>
                <c:pt idx="125">
                  <c:v>45153</c:v>
                </c:pt>
                <c:pt idx="126">
                  <c:v>45154</c:v>
                </c:pt>
                <c:pt idx="127">
                  <c:v>45155</c:v>
                </c:pt>
                <c:pt idx="128">
                  <c:v>45156</c:v>
                </c:pt>
                <c:pt idx="129">
                  <c:v>45159</c:v>
                </c:pt>
                <c:pt idx="130">
                  <c:v>45160</c:v>
                </c:pt>
                <c:pt idx="131">
                  <c:v>45161</c:v>
                </c:pt>
                <c:pt idx="132">
                  <c:v>45162</c:v>
                </c:pt>
                <c:pt idx="133">
                  <c:v>45163</c:v>
                </c:pt>
                <c:pt idx="134">
                  <c:v>45166</c:v>
                </c:pt>
                <c:pt idx="135">
                  <c:v>45167</c:v>
                </c:pt>
                <c:pt idx="136">
                  <c:v>45168</c:v>
                </c:pt>
                <c:pt idx="137">
                  <c:v>45169</c:v>
                </c:pt>
                <c:pt idx="138">
                  <c:v>45170</c:v>
                </c:pt>
                <c:pt idx="139">
                  <c:v>45173</c:v>
                </c:pt>
                <c:pt idx="140">
                  <c:v>45174</c:v>
                </c:pt>
                <c:pt idx="141">
                  <c:v>45175</c:v>
                </c:pt>
                <c:pt idx="142">
                  <c:v>45176</c:v>
                </c:pt>
                <c:pt idx="143">
                  <c:v>45177</c:v>
                </c:pt>
                <c:pt idx="144">
                  <c:v>45180</c:v>
                </c:pt>
                <c:pt idx="145">
                  <c:v>45181</c:v>
                </c:pt>
                <c:pt idx="146">
                  <c:v>45182</c:v>
                </c:pt>
                <c:pt idx="147">
                  <c:v>45183</c:v>
                </c:pt>
                <c:pt idx="148">
                  <c:v>45184</c:v>
                </c:pt>
                <c:pt idx="149">
                  <c:v>45187</c:v>
                </c:pt>
                <c:pt idx="150">
                  <c:v>45188</c:v>
                </c:pt>
                <c:pt idx="151">
                  <c:v>45189</c:v>
                </c:pt>
                <c:pt idx="152">
                  <c:v>45190</c:v>
                </c:pt>
                <c:pt idx="153">
                  <c:v>45191</c:v>
                </c:pt>
                <c:pt idx="154">
                  <c:v>45194</c:v>
                </c:pt>
                <c:pt idx="155">
                  <c:v>45195</c:v>
                </c:pt>
                <c:pt idx="156">
                  <c:v>45196</c:v>
                </c:pt>
                <c:pt idx="157">
                  <c:v>45197</c:v>
                </c:pt>
                <c:pt idx="158">
                  <c:v>45208</c:v>
                </c:pt>
                <c:pt idx="159">
                  <c:v>45209</c:v>
                </c:pt>
                <c:pt idx="160">
                  <c:v>45210</c:v>
                </c:pt>
                <c:pt idx="161">
                  <c:v>45211</c:v>
                </c:pt>
                <c:pt idx="162">
                  <c:v>45212</c:v>
                </c:pt>
                <c:pt idx="163">
                  <c:v>45215</c:v>
                </c:pt>
                <c:pt idx="164">
                  <c:v>45216</c:v>
                </c:pt>
                <c:pt idx="165">
                  <c:v>45217</c:v>
                </c:pt>
                <c:pt idx="166">
                  <c:v>45218</c:v>
                </c:pt>
                <c:pt idx="167">
                  <c:v>45219</c:v>
                </c:pt>
                <c:pt idx="168">
                  <c:v>45222</c:v>
                </c:pt>
                <c:pt idx="169">
                  <c:v>45223</c:v>
                </c:pt>
                <c:pt idx="170">
                  <c:v>45224</c:v>
                </c:pt>
                <c:pt idx="171">
                  <c:v>45225</c:v>
                </c:pt>
                <c:pt idx="172">
                  <c:v>45226</c:v>
                </c:pt>
                <c:pt idx="173">
                  <c:v>45229</c:v>
                </c:pt>
                <c:pt idx="174">
                  <c:v>45230</c:v>
                </c:pt>
                <c:pt idx="175">
                  <c:v>45231</c:v>
                </c:pt>
                <c:pt idx="176">
                  <c:v>45232</c:v>
                </c:pt>
                <c:pt idx="177">
                  <c:v>45233</c:v>
                </c:pt>
                <c:pt idx="178">
                  <c:v>45236</c:v>
                </c:pt>
                <c:pt idx="179">
                  <c:v>45237</c:v>
                </c:pt>
                <c:pt idx="180">
                  <c:v>45238</c:v>
                </c:pt>
                <c:pt idx="181">
                  <c:v>45239</c:v>
                </c:pt>
                <c:pt idx="182">
                  <c:v>45240</c:v>
                </c:pt>
                <c:pt idx="183">
                  <c:v>45243</c:v>
                </c:pt>
                <c:pt idx="184">
                  <c:v>45244</c:v>
                </c:pt>
                <c:pt idx="185">
                  <c:v>45245</c:v>
                </c:pt>
                <c:pt idx="186">
                  <c:v>45246</c:v>
                </c:pt>
                <c:pt idx="187">
                  <c:v>45247</c:v>
                </c:pt>
                <c:pt idx="188">
                  <c:v>45250</c:v>
                </c:pt>
                <c:pt idx="189">
                  <c:v>45251</c:v>
                </c:pt>
                <c:pt idx="190">
                  <c:v>45252</c:v>
                </c:pt>
                <c:pt idx="191">
                  <c:v>45253</c:v>
                </c:pt>
                <c:pt idx="192">
                  <c:v>45254</c:v>
                </c:pt>
                <c:pt idx="193">
                  <c:v>45257</c:v>
                </c:pt>
                <c:pt idx="194">
                  <c:v>45258</c:v>
                </c:pt>
                <c:pt idx="195">
                  <c:v>45259</c:v>
                </c:pt>
                <c:pt idx="196">
                  <c:v>45260</c:v>
                </c:pt>
                <c:pt idx="197">
                  <c:v>45261</c:v>
                </c:pt>
                <c:pt idx="198">
                  <c:v>45264</c:v>
                </c:pt>
                <c:pt idx="199">
                  <c:v>45265</c:v>
                </c:pt>
                <c:pt idx="200">
                  <c:v>45266</c:v>
                </c:pt>
                <c:pt idx="201">
                  <c:v>45267</c:v>
                </c:pt>
                <c:pt idx="202">
                  <c:v>45268</c:v>
                </c:pt>
                <c:pt idx="203">
                  <c:v>45271</c:v>
                </c:pt>
                <c:pt idx="204">
                  <c:v>45272</c:v>
                </c:pt>
                <c:pt idx="205">
                  <c:v>45273</c:v>
                </c:pt>
                <c:pt idx="206">
                  <c:v>45274</c:v>
                </c:pt>
                <c:pt idx="207">
                  <c:v>45275</c:v>
                </c:pt>
                <c:pt idx="208">
                  <c:v>45278</c:v>
                </c:pt>
                <c:pt idx="209">
                  <c:v>45279</c:v>
                </c:pt>
                <c:pt idx="210">
                  <c:v>45280</c:v>
                </c:pt>
                <c:pt idx="211">
                  <c:v>45281</c:v>
                </c:pt>
                <c:pt idx="212">
                  <c:v>45282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45293</c:v>
                </c:pt>
                <c:pt idx="219">
                  <c:v>45294</c:v>
                </c:pt>
                <c:pt idx="220">
                  <c:v>45295</c:v>
                </c:pt>
                <c:pt idx="221">
                  <c:v>45296</c:v>
                </c:pt>
                <c:pt idx="222">
                  <c:v>45299</c:v>
                </c:pt>
                <c:pt idx="223">
                  <c:v>45300</c:v>
                </c:pt>
                <c:pt idx="224">
                  <c:v>45301</c:v>
                </c:pt>
                <c:pt idx="225">
                  <c:v>45302</c:v>
                </c:pt>
                <c:pt idx="226">
                  <c:v>45303</c:v>
                </c:pt>
                <c:pt idx="227">
                  <c:v>45306</c:v>
                </c:pt>
                <c:pt idx="228">
                  <c:v>45307</c:v>
                </c:pt>
                <c:pt idx="229">
                  <c:v>45308</c:v>
                </c:pt>
                <c:pt idx="230">
                  <c:v>45309</c:v>
                </c:pt>
                <c:pt idx="231">
                  <c:v>45310</c:v>
                </c:pt>
                <c:pt idx="232">
                  <c:v>45313</c:v>
                </c:pt>
                <c:pt idx="233">
                  <c:v>45314</c:v>
                </c:pt>
                <c:pt idx="234">
                  <c:v>45315</c:v>
                </c:pt>
                <c:pt idx="235">
                  <c:v>45316</c:v>
                </c:pt>
                <c:pt idx="236">
                  <c:v>45317</c:v>
                </c:pt>
                <c:pt idx="237">
                  <c:v>45320</c:v>
                </c:pt>
                <c:pt idx="238">
                  <c:v>45321</c:v>
                </c:pt>
                <c:pt idx="239">
                  <c:v>45322</c:v>
                </c:pt>
                <c:pt idx="240">
                  <c:v>45323</c:v>
                </c:pt>
                <c:pt idx="241">
                  <c:v>45324</c:v>
                </c:pt>
                <c:pt idx="242">
                  <c:v>45327</c:v>
                </c:pt>
                <c:pt idx="243">
                  <c:v>45328</c:v>
                </c:pt>
                <c:pt idx="244">
                  <c:v>45329</c:v>
                </c:pt>
                <c:pt idx="245">
                  <c:v>45330</c:v>
                </c:pt>
                <c:pt idx="246">
                  <c:v>45341</c:v>
                </c:pt>
                <c:pt idx="247">
                  <c:v>45342</c:v>
                </c:pt>
                <c:pt idx="248">
                  <c:v>45343</c:v>
                </c:pt>
                <c:pt idx="249">
                  <c:v>45344</c:v>
                </c:pt>
                <c:pt idx="250">
                  <c:v>45345</c:v>
                </c:pt>
                <c:pt idx="251">
                  <c:v>45348</c:v>
                </c:pt>
                <c:pt idx="252">
                  <c:v>45349</c:v>
                </c:pt>
                <c:pt idx="253">
                  <c:v>45350</c:v>
                </c:pt>
                <c:pt idx="254">
                  <c:v>45351</c:v>
                </c:pt>
                <c:pt idx="255">
                  <c:v>45352</c:v>
                </c:pt>
                <c:pt idx="256">
                  <c:v>45355</c:v>
                </c:pt>
                <c:pt idx="257">
                  <c:v>45356</c:v>
                </c:pt>
                <c:pt idx="258">
                  <c:v>45357</c:v>
                </c:pt>
                <c:pt idx="259">
                  <c:v>45358</c:v>
                </c:pt>
                <c:pt idx="260">
                  <c:v>45359</c:v>
                </c:pt>
                <c:pt idx="261">
                  <c:v>45362</c:v>
                </c:pt>
                <c:pt idx="262">
                  <c:v>45363</c:v>
                </c:pt>
                <c:pt idx="263">
                  <c:v>45364</c:v>
                </c:pt>
                <c:pt idx="264">
                  <c:v>45365</c:v>
                </c:pt>
                <c:pt idx="265">
                  <c:v>45366</c:v>
                </c:pt>
                <c:pt idx="266">
                  <c:v>45369</c:v>
                </c:pt>
                <c:pt idx="267">
                  <c:v>45370</c:v>
                </c:pt>
                <c:pt idx="268">
                  <c:v>45371</c:v>
                </c:pt>
              </c:numCache>
            </c:numRef>
          </c:cat>
          <c:val>
            <c:numRef>
              <c:f>'涨停数量 '!$C$202:$C$470</c:f>
              <c:numCache>
                <c:formatCode>General</c:formatCode>
                <c:ptCount val="269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16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2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8</c:v>
                </c:pt>
                <c:pt idx="21">
                  <c:v>12</c:v>
                </c:pt>
                <c:pt idx="22">
                  <c:v>1</c:v>
                </c:pt>
                <c:pt idx="23">
                  <c:v>13</c:v>
                </c:pt>
                <c:pt idx="24">
                  <c:v>3</c:v>
                </c:pt>
                <c:pt idx="25">
                  <c:v>15</c:v>
                </c:pt>
                <c:pt idx="26">
                  <c:v>10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9</c:v>
                </c:pt>
                <c:pt idx="31">
                  <c:v>10</c:v>
                </c:pt>
                <c:pt idx="32">
                  <c:v>5</c:v>
                </c:pt>
                <c:pt idx="33">
                  <c:v>6</c:v>
                </c:pt>
                <c:pt idx="34">
                  <c:v>2</c:v>
                </c:pt>
                <c:pt idx="35">
                  <c:v>6</c:v>
                </c:pt>
                <c:pt idx="36">
                  <c:v>8</c:v>
                </c:pt>
                <c:pt idx="37">
                  <c:v>15</c:v>
                </c:pt>
                <c:pt idx="38">
                  <c:v>5</c:v>
                </c:pt>
                <c:pt idx="39">
                  <c:v>25</c:v>
                </c:pt>
                <c:pt idx="40">
                  <c:v>9</c:v>
                </c:pt>
                <c:pt idx="41">
                  <c:v>7</c:v>
                </c:pt>
                <c:pt idx="42">
                  <c:v>9</c:v>
                </c:pt>
                <c:pt idx="43">
                  <c:v>4</c:v>
                </c:pt>
                <c:pt idx="44">
                  <c:v>20</c:v>
                </c:pt>
                <c:pt idx="45">
                  <c:v>15</c:v>
                </c:pt>
                <c:pt idx="46">
                  <c:v>18</c:v>
                </c:pt>
                <c:pt idx="47">
                  <c:v>25</c:v>
                </c:pt>
                <c:pt idx="48">
                  <c:v>44</c:v>
                </c:pt>
                <c:pt idx="49">
                  <c:v>47</c:v>
                </c:pt>
                <c:pt idx="50">
                  <c:v>73</c:v>
                </c:pt>
                <c:pt idx="51">
                  <c:v>52</c:v>
                </c:pt>
                <c:pt idx="52">
                  <c:v>56</c:v>
                </c:pt>
                <c:pt idx="53">
                  <c:v>28</c:v>
                </c:pt>
                <c:pt idx="54">
                  <c:v>30</c:v>
                </c:pt>
                <c:pt idx="55">
                  <c:v>50</c:v>
                </c:pt>
                <c:pt idx="56">
                  <c:v>51</c:v>
                </c:pt>
                <c:pt idx="57">
                  <c:v>72</c:v>
                </c:pt>
                <c:pt idx="58">
                  <c:v>49</c:v>
                </c:pt>
                <c:pt idx="59">
                  <c:v>37</c:v>
                </c:pt>
                <c:pt idx="60">
                  <c:v>37</c:v>
                </c:pt>
                <c:pt idx="61">
                  <c:v>38</c:v>
                </c:pt>
                <c:pt idx="62">
                  <c:v>65</c:v>
                </c:pt>
                <c:pt idx="63">
                  <c:v>35</c:v>
                </c:pt>
                <c:pt idx="64">
                  <c:v>21</c:v>
                </c:pt>
                <c:pt idx="65">
                  <c:v>22</c:v>
                </c:pt>
                <c:pt idx="66">
                  <c:v>23</c:v>
                </c:pt>
                <c:pt idx="67">
                  <c:v>12</c:v>
                </c:pt>
                <c:pt idx="68">
                  <c:v>24</c:v>
                </c:pt>
                <c:pt idx="69">
                  <c:v>36</c:v>
                </c:pt>
                <c:pt idx="70">
                  <c:v>25</c:v>
                </c:pt>
                <c:pt idx="71">
                  <c:v>43</c:v>
                </c:pt>
                <c:pt idx="72">
                  <c:v>25</c:v>
                </c:pt>
                <c:pt idx="73">
                  <c:v>20</c:v>
                </c:pt>
                <c:pt idx="74">
                  <c:v>25</c:v>
                </c:pt>
                <c:pt idx="75">
                  <c:v>13</c:v>
                </c:pt>
                <c:pt idx="76">
                  <c:v>11</c:v>
                </c:pt>
                <c:pt idx="77">
                  <c:v>19</c:v>
                </c:pt>
                <c:pt idx="78">
                  <c:v>7</c:v>
                </c:pt>
                <c:pt idx="79">
                  <c:v>18</c:v>
                </c:pt>
                <c:pt idx="80">
                  <c:v>11</c:v>
                </c:pt>
                <c:pt idx="81">
                  <c:v>13</c:v>
                </c:pt>
                <c:pt idx="82">
                  <c:v>4</c:v>
                </c:pt>
                <c:pt idx="83">
                  <c:v>3</c:v>
                </c:pt>
                <c:pt idx="84">
                  <c:v>7</c:v>
                </c:pt>
                <c:pt idx="85">
                  <c:v>3</c:v>
                </c:pt>
                <c:pt idx="86">
                  <c:v>6</c:v>
                </c:pt>
                <c:pt idx="87">
                  <c:v>11</c:v>
                </c:pt>
                <c:pt idx="88">
                  <c:v>20</c:v>
                </c:pt>
                <c:pt idx="89">
                  <c:v>31</c:v>
                </c:pt>
                <c:pt idx="90">
                  <c:v>4</c:v>
                </c:pt>
                <c:pt idx="91">
                  <c:v>11</c:v>
                </c:pt>
                <c:pt idx="92">
                  <c:v>2</c:v>
                </c:pt>
                <c:pt idx="93">
                  <c:v>2</c:v>
                </c:pt>
                <c:pt idx="94">
                  <c:v>11</c:v>
                </c:pt>
                <c:pt idx="95">
                  <c:v>5</c:v>
                </c:pt>
                <c:pt idx="96">
                  <c:v>8</c:v>
                </c:pt>
                <c:pt idx="97">
                  <c:v>6</c:v>
                </c:pt>
                <c:pt idx="98">
                  <c:v>9</c:v>
                </c:pt>
                <c:pt idx="99">
                  <c:v>11</c:v>
                </c:pt>
                <c:pt idx="100">
                  <c:v>3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18</c:v>
                </c:pt>
                <c:pt idx="105">
                  <c:v>2</c:v>
                </c:pt>
                <c:pt idx="106">
                  <c:v>2</c:v>
                </c:pt>
                <c:pt idx="107">
                  <c:v>4</c:v>
                </c:pt>
                <c:pt idx="108">
                  <c:v>16</c:v>
                </c:pt>
                <c:pt idx="109">
                  <c:v>11</c:v>
                </c:pt>
                <c:pt idx="110">
                  <c:v>0</c:v>
                </c:pt>
                <c:pt idx="111">
                  <c:v>3</c:v>
                </c:pt>
                <c:pt idx="112">
                  <c:v>5</c:v>
                </c:pt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0</c:v>
                </c:pt>
                <c:pt idx="117">
                  <c:v>6</c:v>
                </c:pt>
                <c:pt idx="118">
                  <c:v>1</c:v>
                </c:pt>
                <c:pt idx="119">
                  <c:v>10</c:v>
                </c:pt>
                <c:pt idx="120">
                  <c:v>7</c:v>
                </c:pt>
                <c:pt idx="121">
                  <c:v>2</c:v>
                </c:pt>
                <c:pt idx="122">
                  <c:v>2</c:v>
                </c:pt>
                <c:pt idx="123">
                  <c:v>4</c:v>
                </c:pt>
                <c:pt idx="124">
                  <c:v>7</c:v>
                </c:pt>
                <c:pt idx="125">
                  <c:v>3</c:v>
                </c:pt>
                <c:pt idx="126">
                  <c:v>5</c:v>
                </c:pt>
                <c:pt idx="127">
                  <c:v>1</c:v>
                </c:pt>
                <c:pt idx="128">
                  <c:v>9</c:v>
                </c:pt>
                <c:pt idx="129">
                  <c:v>6</c:v>
                </c:pt>
                <c:pt idx="130">
                  <c:v>14</c:v>
                </c:pt>
                <c:pt idx="131">
                  <c:v>19</c:v>
                </c:pt>
                <c:pt idx="132">
                  <c:v>13</c:v>
                </c:pt>
                <c:pt idx="133">
                  <c:v>39</c:v>
                </c:pt>
                <c:pt idx="134">
                  <c:v>11</c:v>
                </c:pt>
                <c:pt idx="135">
                  <c:v>1</c:v>
                </c:pt>
                <c:pt idx="136">
                  <c:v>3</c:v>
                </c:pt>
                <c:pt idx="137">
                  <c:v>9</c:v>
                </c:pt>
                <c:pt idx="138">
                  <c:v>0</c:v>
                </c:pt>
                <c:pt idx="139">
                  <c:v>2</c:v>
                </c:pt>
                <c:pt idx="140">
                  <c:v>5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6</c:v>
                </c:pt>
                <c:pt idx="145">
                  <c:v>2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14</c:v>
                </c:pt>
                <c:pt idx="150">
                  <c:v>9</c:v>
                </c:pt>
                <c:pt idx="151">
                  <c:v>13</c:v>
                </c:pt>
                <c:pt idx="152">
                  <c:v>0</c:v>
                </c:pt>
                <c:pt idx="153">
                  <c:v>13</c:v>
                </c:pt>
                <c:pt idx="154">
                  <c:v>29</c:v>
                </c:pt>
                <c:pt idx="155">
                  <c:v>16</c:v>
                </c:pt>
                <c:pt idx="156">
                  <c:v>10</c:v>
                </c:pt>
                <c:pt idx="157">
                  <c:v>8</c:v>
                </c:pt>
                <c:pt idx="158">
                  <c:v>20</c:v>
                </c:pt>
                <c:pt idx="159">
                  <c:v>15</c:v>
                </c:pt>
                <c:pt idx="160">
                  <c:v>9</c:v>
                </c:pt>
                <c:pt idx="161">
                  <c:v>9</c:v>
                </c:pt>
                <c:pt idx="162">
                  <c:v>5</c:v>
                </c:pt>
                <c:pt idx="163">
                  <c:v>14</c:v>
                </c:pt>
                <c:pt idx="164">
                  <c:v>16</c:v>
                </c:pt>
                <c:pt idx="165">
                  <c:v>25</c:v>
                </c:pt>
                <c:pt idx="166">
                  <c:v>31</c:v>
                </c:pt>
                <c:pt idx="167">
                  <c:v>29</c:v>
                </c:pt>
                <c:pt idx="168">
                  <c:v>39</c:v>
                </c:pt>
                <c:pt idx="169">
                  <c:v>7</c:v>
                </c:pt>
                <c:pt idx="170">
                  <c:v>3</c:v>
                </c:pt>
                <c:pt idx="171">
                  <c:v>5</c:v>
                </c:pt>
                <c:pt idx="172">
                  <c:v>4</c:v>
                </c:pt>
                <c:pt idx="173">
                  <c:v>11</c:v>
                </c:pt>
                <c:pt idx="174">
                  <c:v>16</c:v>
                </c:pt>
                <c:pt idx="175">
                  <c:v>10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0</c:v>
                </c:pt>
                <c:pt idx="180">
                  <c:v>6</c:v>
                </c:pt>
                <c:pt idx="181">
                  <c:v>26</c:v>
                </c:pt>
                <c:pt idx="182">
                  <c:v>17</c:v>
                </c:pt>
                <c:pt idx="183">
                  <c:v>9</c:v>
                </c:pt>
                <c:pt idx="184">
                  <c:v>5</c:v>
                </c:pt>
                <c:pt idx="185">
                  <c:v>4</c:v>
                </c:pt>
                <c:pt idx="186">
                  <c:v>8</c:v>
                </c:pt>
                <c:pt idx="187">
                  <c:v>10</c:v>
                </c:pt>
                <c:pt idx="188">
                  <c:v>7</c:v>
                </c:pt>
                <c:pt idx="189">
                  <c:v>5</c:v>
                </c:pt>
                <c:pt idx="190">
                  <c:v>11</c:v>
                </c:pt>
                <c:pt idx="191">
                  <c:v>16</c:v>
                </c:pt>
                <c:pt idx="192">
                  <c:v>13</c:v>
                </c:pt>
                <c:pt idx="193">
                  <c:v>25</c:v>
                </c:pt>
                <c:pt idx="194">
                  <c:v>13</c:v>
                </c:pt>
                <c:pt idx="195">
                  <c:v>13</c:v>
                </c:pt>
                <c:pt idx="196">
                  <c:v>9</c:v>
                </c:pt>
                <c:pt idx="197">
                  <c:v>3</c:v>
                </c:pt>
                <c:pt idx="198">
                  <c:v>8</c:v>
                </c:pt>
                <c:pt idx="199">
                  <c:v>12</c:v>
                </c:pt>
                <c:pt idx="200">
                  <c:v>11</c:v>
                </c:pt>
                <c:pt idx="201">
                  <c:v>21</c:v>
                </c:pt>
                <c:pt idx="202">
                  <c:v>17</c:v>
                </c:pt>
                <c:pt idx="203">
                  <c:v>9</c:v>
                </c:pt>
                <c:pt idx="204">
                  <c:v>7</c:v>
                </c:pt>
                <c:pt idx="205">
                  <c:v>9</c:v>
                </c:pt>
                <c:pt idx="206">
                  <c:v>19</c:v>
                </c:pt>
                <c:pt idx="207">
                  <c:v>14</c:v>
                </c:pt>
                <c:pt idx="208">
                  <c:v>39</c:v>
                </c:pt>
                <c:pt idx="209">
                  <c:v>20</c:v>
                </c:pt>
                <c:pt idx="210">
                  <c:v>17</c:v>
                </c:pt>
                <c:pt idx="211">
                  <c:v>15</c:v>
                </c:pt>
                <c:pt idx="212">
                  <c:v>61</c:v>
                </c:pt>
                <c:pt idx="213">
                  <c:v>35</c:v>
                </c:pt>
                <c:pt idx="214">
                  <c:v>16</c:v>
                </c:pt>
                <c:pt idx="215">
                  <c:v>22</c:v>
                </c:pt>
                <c:pt idx="216">
                  <c:v>11</c:v>
                </c:pt>
                <c:pt idx="217">
                  <c:v>4</c:v>
                </c:pt>
                <c:pt idx="218">
                  <c:v>8</c:v>
                </c:pt>
                <c:pt idx="219">
                  <c:v>11</c:v>
                </c:pt>
                <c:pt idx="220">
                  <c:v>11</c:v>
                </c:pt>
                <c:pt idx="221">
                  <c:v>17</c:v>
                </c:pt>
                <c:pt idx="222">
                  <c:v>22</c:v>
                </c:pt>
                <c:pt idx="223">
                  <c:v>10</c:v>
                </c:pt>
                <c:pt idx="224">
                  <c:v>16</c:v>
                </c:pt>
                <c:pt idx="225">
                  <c:v>6</c:v>
                </c:pt>
                <c:pt idx="226">
                  <c:v>9</c:v>
                </c:pt>
                <c:pt idx="227">
                  <c:v>8</c:v>
                </c:pt>
                <c:pt idx="228">
                  <c:v>9</c:v>
                </c:pt>
                <c:pt idx="229">
                  <c:v>18</c:v>
                </c:pt>
                <c:pt idx="230">
                  <c:v>13</c:v>
                </c:pt>
                <c:pt idx="231">
                  <c:v>26</c:v>
                </c:pt>
                <c:pt idx="232">
                  <c:v>105</c:v>
                </c:pt>
                <c:pt idx="233">
                  <c:v>30</c:v>
                </c:pt>
                <c:pt idx="234">
                  <c:v>4</c:v>
                </c:pt>
                <c:pt idx="235">
                  <c:v>5</c:v>
                </c:pt>
                <c:pt idx="236">
                  <c:v>11</c:v>
                </c:pt>
                <c:pt idx="237">
                  <c:v>83</c:v>
                </c:pt>
                <c:pt idx="238">
                  <c:v>87</c:v>
                </c:pt>
                <c:pt idx="239">
                  <c:v>184</c:v>
                </c:pt>
                <c:pt idx="240">
                  <c:v>99</c:v>
                </c:pt>
                <c:pt idx="241">
                  <c:v>108</c:v>
                </c:pt>
                <c:pt idx="242">
                  <c:v>1368</c:v>
                </c:pt>
                <c:pt idx="243">
                  <c:v>135</c:v>
                </c:pt>
                <c:pt idx="244">
                  <c:v>282</c:v>
                </c:pt>
                <c:pt idx="245">
                  <c:v>2</c:v>
                </c:pt>
                <c:pt idx="246">
                  <c:v>3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2</c:v>
                </c:pt>
                <c:pt idx="253">
                  <c:v>326</c:v>
                </c:pt>
                <c:pt idx="254">
                  <c:v>6</c:v>
                </c:pt>
                <c:pt idx="255">
                  <c:v>9</c:v>
                </c:pt>
                <c:pt idx="256">
                  <c:v>15</c:v>
                </c:pt>
                <c:pt idx="257">
                  <c:v>20</c:v>
                </c:pt>
                <c:pt idx="258">
                  <c:v>3</c:v>
                </c:pt>
                <c:pt idx="259">
                  <c:v>8</c:v>
                </c:pt>
                <c:pt idx="260">
                  <c:v>4</c:v>
                </c:pt>
                <c:pt idx="261">
                  <c:v>0</c:v>
                </c:pt>
                <c:pt idx="262">
                  <c:v>2</c:v>
                </c:pt>
                <c:pt idx="263">
                  <c:v>4</c:v>
                </c:pt>
                <c:pt idx="264">
                  <c:v>2</c:v>
                </c:pt>
                <c:pt idx="265">
                  <c:v>1</c:v>
                </c:pt>
                <c:pt idx="266">
                  <c:v>3</c:v>
                </c:pt>
                <c:pt idx="267">
                  <c:v>8</c:v>
                </c:pt>
                <c:pt idx="26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3-40F7-8CEC-11B8E57B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35664"/>
        <c:axId val="1"/>
      </c:lineChart>
      <c:catAx>
        <c:axId val="581935664"/>
        <c:scaling>
          <c:orientation val="minMax"/>
        </c:scaling>
        <c:delete val="0"/>
        <c:axPos val="b"/>
        <c:numFmt formatCode="yy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2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5819356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8697274909602"/>
          <c:y val="2.0231974679635601E-2"/>
          <c:w val="0.396733813445733"/>
          <c:h val="3.17928825073336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02634428328138E-2"/>
          <c:y val="7.6504303635360787E-2"/>
          <c:w val="0.89899768265922697"/>
          <c:h val="0.66803262377098904"/>
        </c:manualLayout>
      </c:layout>
      <c:lineChart>
        <c:grouping val="standard"/>
        <c:varyColors val="0"/>
        <c:ser>
          <c:idx val="0"/>
          <c:order val="0"/>
          <c:tx>
            <c:strRef>
              <c:f>'涨停数量 '!$B$1</c:f>
              <c:strCache>
                <c:ptCount val="1"/>
                <c:pt idx="0">
                  <c:v>涨停个股数量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'!$A$233:$A$969</c:f>
              <c:numCache>
                <c:formatCode>m/d/yyyy</c:formatCode>
                <c:ptCount val="737"/>
                <c:pt idx="0">
                  <c:v>45013</c:v>
                </c:pt>
                <c:pt idx="1">
                  <c:v>45014</c:v>
                </c:pt>
                <c:pt idx="2">
                  <c:v>45015</c:v>
                </c:pt>
                <c:pt idx="3">
                  <c:v>45016</c:v>
                </c:pt>
                <c:pt idx="4">
                  <c:v>45019</c:v>
                </c:pt>
                <c:pt idx="5">
                  <c:v>45020</c:v>
                </c:pt>
                <c:pt idx="6">
                  <c:v>45022</c:v>
                </c:pt>
                <c:pt idx="7">
                  <c:v>45023</c:v>
                </c:pt>
                <c:pt idx="8">
                  <c:v>45026</c:v>
                </c:pt>
                <c:pt idx="9">
                  <c:v>45027</c:v>
                </c:pt>
                <c:pt idx="10">
                  <c:v>45028</c:v>
                </c:pt>
                <c:pt idx="11">
                  <c:v>45029</c:v>
                </c:pt>
                <c:pt idx="12">
                  <c:v>45030</c:v>
                </c:pt>
                <c:pt idx="13">
                  <c:v>45033</c:v>
                </c:pt>
                <c:pt idx="14">
                  <c:v>45034</c:v>
                </c:pt>
                <c:pt idx="15">
                  <c:v>45035</c:v>
                </c:pt>
                <c:pt idx="16">
                  <c:v>45036</c:v>
                </c:pt>
                <c:pt idx="17">
                  <c:v>45037</c:v>
                </c:pt>
                <c:pt idx="18">
                  <c:v>45040</c:v>
                </c:pt>
                <c:pt idx="19">
                  <c:v>45041</c:v>
                </c:pt>
                <c:pt idx="20">
                  <c:v>45042</c:v>
                </c:pt>
                <c:pt idx="21">
                  <c:v>45043</c:v>
                </c:pt>
                <c:pt idx="22">
                  <c:v>45044</c:v>
                </c:pt>
                <c:pt idx="23">
                  <c:v>45050</c:v>
                </c:pt>
                <c:pt idx="24">
                  <c:v>45051</c:v>
                </c:pt>
                <c:pt idx="25">
                  <c:v>45054</c:v>
                </c:pt>
                <c:pt idx="26">
                  <c:v>45055</c:v>
                </c:pt>
                <c:pt idx="27">
                  <c:v>45056</c:v>
                </c:pt>
                <c:pt idx="28">
                  <c:v>45057</c:v>
                </c:pt>
                <c:pt idx="29">
                  <c:v>45058</c:v>
                </c:pt>
                <c:pt idx="30">
                  <c:v>45061</c:v>
                </c:pt>
                <c:pt idx="31">
                  <c:v>45062</c:v>
                </c:pt>
                <c:pt idx="32">
                  <c:v>45063</c:v>
                </c:pt>
                <c:pt idx="33">
                  <c:v>45064</c:v>
                </c:pt>
                <c:pt idx="34">
                  <c:v>45065</c:v>
                </c:pt>
                <c:pt idx="35">
                  <c:v>45068</c:v>
                </c:pt>
                <c:pt idx="36">
                  <c:v>45069</c:v>
                </c:pt>
                <c:pt idx="37">
                  <c:v>45070</c:v>
                </c:pt>
                <c:pt idx="38">
                  <c:v>45071</c:v>
                </c:pt>
                <c:pt idx="39">
                  <c:v>45072</c:v>
                </c:pt>
                <c:pt idx="40">
                  <c:v>45075</c:v>
                </c:pt>
                <c:pt idx="41">
                  <c:v>45076</c:v>
                </c:pt>
                <c:pt idx="42">
                  <c:v>45077</c:v>
                </c:pt>
                <c:pt idx="43">
                  <c:v>45078</c:v>
                </c:pt>
                <c:pt idx="44">
                  <c:v>45079</c:v>
                </c:pt>
                <c:pt idx="45">
                  <c:v>45082</c:v>
                </c:pt>
                <c:pt idx="46">
                  <c:v>45083</c:v>
                </c:pt>
                <c:pt idx="47">
                  <c:v>45084</c:v>
                </c:pt>
                <c:pt idx="48">
                  <c:v>45085</c:v>
                </c:pt>
                <c:pt idx="49">
                  <c:v>45086</c:v>
                </c:pt>
                <c:pt idx="50">
                  <c:v>45089</c:v>
                </c:pt>
                <c:pt idx="51">
                  <c:v>45090</c:v>
                </c:pt>
                <c:pt idx="52">
                  <c:v>45091</c:v>
                </c:pt>
                <c:pt idx="53">
                  <c:v>45092</c:v>
                </c:pt>
                <c:pt idx="54">
                  <c:v>45093</c:v>
                </c:pt>
                <c:pt idx="55">
                  <c:v>45096</c:v>
                </c:pt>
                <c:pt idx="56">
                  <c:v>45097</c:v>
                </c:pt>
                <c:pt idx="57">
                  <c:v>45098</c:v>
                </c:pt>
                <c:pt idx="58">
                  <c:v>45103</c:v>
                </c:pt>
                <c:pt idx="59">
                  <c:v>45104</c:v>
                </c:pt>
                <c:pt idx="60">
                  <c:v>45105</c:v>
                </c:pt>
                <c:pt idx="61">
                  <c:v>45106</c:v>
                </c:pt>
                <c:pt idx="62">
                  <c:v>45107</c:v>
                </c:pt>
                <c:pt idx="63">
                  <c:v>45110</c:v>
                </c:pt>
                <c:pt idx="64">
                  <c:v>45111</c:v>
                </c:pt>
                <c:pt idx="65">
                  <c:v>45112</c:v>
                </c:pt>
                <c:pt idx="66">
                  <c:v>45113</c:v>
                </c:pt>
                <c:pt idx="67">
                  <c:v>45114</c:v>
                </c:pt>
                <c:pt idx="68">
                  <c:v>45117</c:v>
                </c:pt>
                <c:pt idx="69">
                  <c:v>45118</c:v>
                </c:pt>
                <c:pt idx="70">
                  <c:v>45119</c:v>
                </c:pt>
                <c:pt idx="71">
                  <c:v>45120</c:v>
                </c:pt>
                <c:pt idx="72">
                  <c:v>45121</c:v>
                </c:pt>
                <c:pt idx="73">
                  <c:v>45124</c:v>
                </c:pt>
                <c:pt idx="74">
                  <c:v>45125</c:v>
                </c:pt>
                <c:pt idx="75">
                  <c:v>45126</c:v>
                </c:pt>
                <c:pt idx="76">
                  <c:v>45127</c:v>
                </c:pt>
                <c:pt idx="77">
                  <c:v>45128</c:v>
                </c:pt>
                <c:pt idx="78">
                  <c:v>45131</c:v>
                </c:pt>
                <c:pt idx="79">
                  <c:v>45132</c:v>
                </c:pt>
                <c:pt idx="80">
                  <c:v>45133</c:v>
                </c:pt>
                <c:pt idx="81">
                  <c:v>45134</c:v>
                </c:pt>
                <c:pt idx="82">
                  <c:v>45135</c:v>
                </c:pt>
                <c:pt idx="83">
                  <c:v>45138</c:v>
                </c:pt>
                <c:pt idx="84">
                  <c:v>45139</c:v>
                </c:pt>
                <c:pt idx="85">
                  <c:v>45140</c:v>
                </c:pt>
                <c:pt idx="86">
                  <c:v>45141</c:v>
                </c:pt>
                <c:pt idx="87">
                  <c:v>45142</c:v>
                </c:pt>
                <c:pt idx="88">
                  <c:v>45145</c:v>
                </c:pt>
                <c:pt idx="89">
                  <c:v>45146</c:v>
                </c:pt>
                <c:pt idx="90">
                  <c:v>45147</c:v>
                </c:pt>
                <c:pt idx="91">
                  <c:v>45148</c:v>
                </c:pt>
                <c:pt idx="92">
                  <c:v>45149</c:v>
                </c:pt>
                <c:pt idx="93">
                  <c:v>45152</c:v>
                </c:pt>
                <c:pt idx="94">
                  <c:v>45153</c:v>
                </c:pt>
                <c:pt idx="95">
                  <c:v>45154</c:v>
                </c:pt>
                <c:pt idx="96">
                  <c:v>45155</c:v>
                </c:pt>
                <c:pt idx="97">
                  <c:v>45156</c:v>
                </c:pt>
                <c:pt idx="98">
                  <c:v>45159</c:v>
                </c:pt>
                <c:pt idx="99">
                  <c:v>45160</c:v>
                </c:pt>
                <c:pt idx="100">
                  <c:v>45161</c:v>
                </c:pt>
                <c:pt idx="101">
                  <c:v>45162</c:v>
                </c:pt>
                <c:pt idx="102">
                  <c:v>45163</c:v>
                </c:pt>
                <c:pt idx="103">
                  <c:v>45166</c:v>
                </c:pt>
                <c:pt idx="104">
                  <c:v>45167</c:v>
                </c:pt>
                <c:pt idx="105">
                  <c:v>45168</c:v>
                </c:pt>
                <c:pt idx="106">
                  <c:v>45169</c:v>
                </c:pt>
                <c:pt idx="107">
                  <c:v>45170</c:v>
                </c:pt>
                <c:pt idx="108">
                  <c:v>45173</c:v>
                </c:pt>
                <c:pt idx="109">
                  <c:v>45174</c:v>
                </c:pt>
                <c:pt idx="110">
                  <c:v>45175</c:v>
                </c:pt>
                <c:pt idx="111">
                  <c:v>45176</c:v>
                </c:pt>
                <c:pt idx="112">
                  <c:v>45177</c:v>
                </c:pt>
                <c:pt idx="113">
                  <c:v>45180</c:v>
                </c:pt>
                <c:pt idx="114">
                  <c:v>45181</c:v>
                </c:pt>
                <c:pt idx="115">
                  <c:v>45182</c:v>
                </c:pt>
                <c:pt idx="116">
                  <c:v>45183</c:v>
                </c:pt>
                <c:pt idx="117">
                  <c:v>45184</c:v>
                </c:pt>
                <c:pt idx="118">
                  <c:v>45187</c:v>
                </c:pt>
                <c:pt idx="119">
                  <c:v>45188</c:v>
                </c:pt>
                <c:pt idx="120">
                  <c:v>45189</c:v>
                </c:pt>
                <c:pt idx="121">
                  <c:v>45190</c:v>
                </c:pt>
                <c:pt idx="122">
                  <c:v>45191</c:v>
                </c:pt>
                <c:pt idx="123">
                  <c:v>45194</c:v>
                </c:pt>
                <c:pt idx="124">
                  <c:v>45195</c:v>
                </c:pt>
                <c:pt idx="125">
                  <c:v>45196</c:v>
                </c:pt>
                <c:pt idx="126">
                  <c:v>45197</c:v>
                </c:pt>
                <c:pt idx="127">
                  <c:v>45208</c:v>
                </c:pt>
                <c:pt idx="128">
                  <c:v>45209</c:v>
                </c:pt>
                <c:pt idx="129">
                  <c:v>45210</c:v>
                </c:pt>
                <c:pt idx="130">
                  <c:v>45211</c:v>
                </c:pt>
                <c:pt idx="131">
                  <c:v>45212</c:v>
                </c:pt>
                <c:pt idx="132">
                  <c:v>45215</c:v>
                </c:pt>
                <c:pt idx="133">
                  <c:v>45216</c:v>
                </c:pt>
                <c:pt idx="134">
                  <c:v>45217</c:v>
                </c:pt>
                <c:pt idx="135">
                  <c:v>45218</c:v>
                </c:pt>
                <c:pt idx="136">
                  <c:v>45219</c:v>
                </c:pt>
                <c:pt idx="137">
                  <c:v>45222</c:v>
                </c:pt>
                <c:pt idx="138">
                  <c:v>45223</c:v>
                </c:pt>
                <c:pt idx="139">
                  <c:v>45224</c:v>
                </c:pt>
                <c:pt idx="140">
                  <c:v>45225</c:v>
                </c:pt>
                <c:pt idx="141">
                  <c:v>45226</c:v>
                </c:pt>
                <c:pt idx="142">
                  <c:v>45229</c:v>
                </c:pt>
                <c:pt idx="143">
                  <c:v>45230</c:v>
                </c:pt>
                <c:pt idx="144">
                  <c:v>45231</c:v>
                </c:pt>
                <c:pt idx="145">
                  <c:v>45232</c:v>
                </c:pt>
                <c:pt idx="146">
                  <c:v>45233</c:v>
                </c:pt>
                <c:pt idx="147">
                  <c:v>45236</c:v>
                </c:pt>
                <c:pt idx="148">
                  <c:v>45237</c:v>
                </c:pt>
                <c:pt idx="149">
                  <c:v>45238</c:v>
                </c:pt>
                <c:pt idx="150">
                  <c:v>45239</c:v>
                </c:pt>
                <c:pt idx="151">
                  <c:v>45240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45250</c:v>
                </c:pt>
                <c:pt idx="158">
                  <c:v>45251</c:v>
                </c:pt>
                <c:pt idx="159">
                  <c:v>45252</c:v>
                </c:pt>
                <c:pt idx="160">
                  <c:v>45253</c:v>
                </c:pt>
                <c:pt idx="161">
                  <c:v>45254</c:v>
                </c:pt>
                <c:pt idx="162">
                  <c:v>45257</c:v>
                </c:pt>
                <c:pt idx="163">
                  <c:v>45258</c:v>
                </c:pt>
                <c:pt idx="164">
                  <c:v>45259</c:v>
                </c:pt>
                <c:pt idx="165">
                  <c:v>45260</c:v>
                </c:pt>
                <c:pt idx="166">
                  <c:v>45261</c:v>
                </c:pt>
                <c:pt idx="167">
                  <c:v>45264</c:v>
                </c:pt>
                <c:pt idx="168">
                  <c:v>45265</c:v>
                </c:pt>
                <c:pt idx="169">
                  <c:v>45266</c:v>
                </c:pt>
                <c:pt idx="170">
                  <c:v>45267</c:v>
                </c:pt>
                <c:pt idx="171">
                  <c:v>45268</c:v>
                </c:pt>
                <c:pt idx="172">
                  <c:v>45271</c:v>
                </c:pt>
                <c:pt idx="173">
                  <c:v>45272</c:v>
                </c:pt>
                <c:pt idx="174">
                  <c:v>45273</c:v>
                </c:pt>
                <c:pt idx="175">
                  <c:v>45274</c:v>
                </c:pt>
                <c:pt idx="176">
                  <c:v>45275</c:v>
                </c:pt>
                <c:pt idx="177">
                  <c:v>45278</c:v>
                </c:pt>
                <c:pt idx="178">
                  <c:v>45279</c:v>
                </c:pt>
                <c:pt idx="179">
                  <c:v>45280</c:v>
                </c:pt>
                <c:pt idx="180">
                  <c:v>45281</c:v>
                </c:pt>
                <c:pt idx="181">
                  <c:v>45282</c:v>
                </c:pt>
                <c:pt idx="182">
                  <c:v>45285</c:v>
                </c:pt>
                <c:pt idx="183">
                  <c:v>45286</c:v>
                </c:pt>
                <c:pt idx="184">
                  <c:v>45287</c:v>
                </c:pt>
                <c:pt idx="185">
                  <c:v>45288</c:v>
                </c:pt>
                <c:pt idx="186">
                  <c:v>45289</c:v>
                </c:pt>
                <c:pt idx="187">
                  <c:v>45293</c:v>
                </c:pt>
                <c:pt idx="188">
                  <c:v>45294</c:v>
                </c:pt>
                <c:pt idx="189">
                  <c:v>45295</c:v>
                </c:pt>
                <c:pt idx="190">
                  <c:v>45296</c:v>
                </c:pt>
                <c:pt idx="191">
                  <c:v>45299</c:v>
                </c:pt>
                <c:pt idx="192">
                  <c:v>45300</c:v>
                </c:pt>
                <c:pt idx="193">
                  <c:v>45301</c:v>
                </c:pt>
                <c:pt idx="194">
                  <c:v>45302</c:v>
                </c:pt>
                <c:pt idx="195">
                  <c:v>45303</c:v>
                </c:pt>
                <c:pt idx="196">
                  <c:v>45306</c:v>
                </c:pt>
                <c:pt idx="197">
                  <c:v>45307</c:v>
                </c:pt>
                <c:pt idx="198">
                  <c:v>45308</c:v>
                </c:pt>
                <c:pt idx="199">
                  <c:v>45309</c:v>
                </c:pt>
                <c:pt idx="200">
                  <c:v>45310</c:v>
                </c:pt>
                <c:pt idx="201">
                  <c:v>45313</c:v>
                </c:pt>
                <c:pt idx="202">
                  <c:v>45314</c:v>
                </c:pt>
                <c:pt idx="203">
                  <c:v>45315</c:v>
                </c:pt>
                <c:pt idx="204">
                  <c:v>45316</c:v>
                </c:pt>
                <c:pt idx="205">
                  <c:v>45317</c:v>
                </c:pt>
                <c:pt idx="206">
                  <c:v>45320</c:v>
                </c:pt>
                <c:pt idx="207">
                  <c:v>45321</c:v>
                </c:pt>
                <c:pt idx="208">
                  <c:v>45322</c:v>
                </c:pt>
                <c:pt idx="209">
                  <c:v>45323</c:v>
                </c:pt>
                <c:pt idx="210">
                  <c:v>45324</c:v>
                </c:pt>
                <c:pt idx="211">
                  <c:v>45327</c:v>
                </c:pt>
                <c:pt idx="212">
                  <c:v>45328</c:v>
                </c:pt>
                <c:pt idx="213">
                  <c:v>45329</c:v>
                </c:pt>
                <c:pt idx="214">
                  <c:v>45330</c:v>
                </c:pt>
                <c:pt idx="215">
                  <c:v>45341</c:v>
                </c:pt>
                <c:pt idx="216">
                  <c:v>45342</c:v>
                </c:pt>
                <c:pt idx="217">
                  <c:v>45343</c:v>
                </c:pt>
                <c:pt idx="218">
                  <c:v>45344</c:v>
                </c:pt>
                <c:pt idx="219">
                  <c:v>45345</c:v>
                </c:pt>
                <c:pt idx="220">
                  <c:v>45348</c:v>
                </c:pt>
                <c:pt idx="221">
                  <c:v>45349</c:v>
                </c:pt>
                <c:pt idx="222">
                  <c:v>45350</c:v>
                </c:pt>
                <c:pt idx="223">
                  <c:v>45351</c:v>
                </c:pt>
                <c:pt idx="224">
                  <c:v>45352</c:v>
                </c:pt>
                <c:pt idx="225">
                  <c:v>45355</c:v>
                </c:pt>
                <c:pt idx="226">
                  <c:v>45356</c:v>
                </c:pt>
                <c:pt idx="227">
                  <c:v>45357</c:v>
                </c:pt>
                <c:pt idx="228">
                  <c:v>45358</c:v>
                </c:pt>
                <c:pt idx="229">
                  <c:v>45359</c:v>
                </c:pt>
                <c:pt idx="230">
                  <c:v>45362</c:v>
                </c:pt>
                <c:pt idx="231">
                  <c:v>45363</c:v>
                </c:pt>
                <c:pt idx="232">
                  <c:v>45364</c:v>
                </c:pt>
                <c:pt idx="233">
                  <c:v>45365</c:v>
                </c:pt>
                <c:pt idx="234">
                  <c:v>45366</c:v>
                </c:pt>
                <c:pt idx="235">
                  <c:v>45369</c:v>
                </c:pt>
                <c:pt idx="236">
                  <c:v>45370</c:v>
                </c:pt>
                <c:pt idx="237">
                  <c:v>45371</c:v>
                </c:pt>
                <c:pt idx="238">
                  <c:v>45372</c:v>
                </c:pt>
                <c:pt idx="239">
                  <c:v>45373</c:v>
                </c:pt>
                <c:pt idx="240">
                  <c:v>45376</c:v>
                </c:pt>
                <c:pt idx="241">
                  <c:v>45377</c:v>
                </c:pt>
                <c:pt idx="242">
                  <c:v>45378</c:v>
                </c:pt>
                <c:pt idx="243">
                  <c:v>45379</c:v>
                </c:pt>
                <c:pt idx="244">
                  <c:v>45380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45390</c:v>
                </c:pt>
                <c:pt idx="249">
                  <c:v>45391</c:v>
                </c:pt>
                <c:pt idx="250">
                  <c:v>45392</c:v>
                </c:pt>
                <c:pt idx="251">
                  <c:v>45393</c:v>
                </c:pt>
                <c:pt idx="252">
                  <c:v>45394</c:v>
                </c:pt>
                <c:pt idx="253">
                  <c:v>45397</c:v>
                </c:pt>
                <c:pt idx="254">
                  <c:v>45398</c:v>
                </c:pt>
                <c:pt idx="255">
                  <c:v>45399</c:v>
                </c:pt>
                <c:pt idx="256">
                  <c:v>45400</c:v>
                </c:pt>
                <c:pt idx="257">
                  <c:v>45401</c:v>
                </c:pt>
                <c:pt idx="258">
                  <c:v>45404</c:v>
                </c:pt>
                <c:pt idx="259">
                  <c:v>45405</c:v>
                </c:pt>
                <c:pt idx="260">
                  <c:v>45406</c:v>
                </c:pt>
                <c:pt idx="261">
                  <c:v>45407</c:v>
                </c:pt>
                <c:pt idx="262">
                  <c:v>45408</c:v>
                </c:pt>
                <c:pt idx="263">
                  <c:v>45411</c:v>
                </c:pt>
                <c:pt idx="264">
                  <c:v>45412</c:v>
                </c:pt>
                <c:pt idx="265">
                  <c:v>45418</c:v>
                </c:pt>
                <c:pt idx="266">
                  <c:v>45419</c:v>
                </c:pt>
                <c:pt idx="267">
                  <c:v>45420</c:v>
                </c:pt>
                <c:pt idx="268">
                  <c:v>45421</c:v>
                </c:pt>
                <c:pt idx="269">
                  <c:v>45422</c:v>
                </c:pt>
                <c:pt idx="270">
                  <c:v>45425</c:v>
                </c:pt>
                <c:pt idx="271">
                  <c:v>45426</c:v>
                </c:pt>
                <c:pt idx="272">
                  <c:v>45427</c:v>
                </c:pt>
                <c:pt idx="273">
                  <c:v>45428</c:v>
                </c:pt>
                <c:pt idx="274">
                  <c:v>45429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45435</c:v>
                </c:pt>
                <c:pt idx="279">
                  <c:v>45436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45446</c:v>
                </c:pt>
                <c:pt idx="286">
                  <c:v>45447</c:v>
                </c:pt>
                <c:pt idx="287">
                  <c:v>45448</c:v>
                </c:pt>
                <c:pt idx="288">
                  <c:v>45449</c:v>
                </c:pt>
                <c:pt idx="289">
                  <c:v>45450</c:v>
                </c:pt>
                <c:pt idx="290">
                  <c:v>45454</c:v>
                </c:pt>
                <c:pt idx="291">
                  <c:v>45455</c:v>
                </c:pt>
                <c:pt idx="292">
                  <c:v>45456</c:v>
                </c:pt>
                <c:pt idx="293">
                  <c:v>45457</c:v>
                </c:pt>
                <c:pt idx="294">
                  <c:v>45460</c:v>
                </c:pt>
                <c:pt idx="295">
                  <c:v>45461</c:v>
                </c:pt>
                <c:pt idx="296">
                  <c:v>45462</c:v>
                </c:pt>
                <c:pt idx="297">
                  <c:v>45463</c:v>
                </c:pt>
                <c:pt idx="298">
                  <c:v>45464</c:v>
                </c:pt>
                <c:pt idx="299">
                  <c:v>45467</c:v>
                </c:pt>
                <c:pt idx="300">
                  <c:v>45468</c:v>
                </c:pt>
                <c:pt idx="301">
                  <c:v>45469</c:v>
                </c:pt>
                <c:pt idx="302">
                  <c:v>45470</c:v>
                </c:pt>
                <c:pt idx="303">
                  <c:v>45471</c:v>
                </c:pt>
                <c:pt idx="304">
                  <c:v>45474</c:v>
                </c:pt>
                <c:pt idx="305">
                  <c:v>45475</c:v>
                </c:pt>
                <c:pt idx="306">
                  <c:v>45476</c:v>
                </c:pt>
                <c:pt idx="307">
                  <c:v>45477</c:v>
                </c:pt>
                <c:pt idx="308">
                  <c:v>45478</c:v>
                </c:pt>
                <c:pt idx="309">
                  <c:v>45481</c:v>
                </c:pt>
                <c:pt idx="310">
                  <c:v>45482</c:v>
                </c:pt>
                <c:pt idx="311">
                  <c:v>45483</c:v>
                </c:pt>
                <c:pt idx="312">
                  <c:v>45484</c:v>
                </c:pt>
                <c:pt idx="313">
                  <c:v>45488</c:v>
                </c:pt>
                <c:pt idx="314">
                  <c:v>45489</c:v>
                </c:pt>
                <c:pt idx="315">
                  <c:v>45490</c:v>
                </c:pt>
                <c:pt idx="316">
                  <c:v>45491</c:v>
                </c:pt>
                <c:pt idx="317">
                  <c:v>45492</c:v>
                </c:pt>
                <c:pt idx="318">
                  <c:v>45495</c:v>
                </c:pt>
                <c:pt idx="319">
                  <c:v>45496</c:v>
                </c:pt>
                <c:pt idx="320">
                  <c:v>45497</c:v>
                </c:pt>
                <c:pt idx="321">
                  <c:v>45498</c:v>
                </c:pt>
                <c:pt idx="322">
                  <c:v>45499</c:v>
                </c:pt>
                <c:pt idx="323">
                  <c:v>45502</c:v>
                </c:pt>
                <c:pt idx="324">
                  <c:v>45503</c:v>
                </c:pt>
                <c:pt idx="325">
                  <c:v>45504</c:v>
                </c:pt>
                <c:pt idx="326">
                  <c:v>45505</c:v>
                </c:pt>
                <c:pt idx="327">
                  <c:v>45506</c:v>
                </c:pt>
                <c:pt idx="328">
                  <c:v>45509</c:v>
                </c:pt>
                <c:pt idx="329">
                  <c:v>45510</c:v>
                </c:pt>
                <c:pt idx="330">
                  <c:v>45511</c:v>
                </c:pt>
                <c:pt idx="331">
                  <c:v>45512</c:v>
                </c:pt>
                <c:pt idx="332">
                  <c:v>45513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45520</c:v>
                </c:pt>
                <c:pt idx="338">
                  <c:v>45523</c:v>
                </c:pt>
                <c:pt idx="339">
                  <c:v>45524</c:v>
                </c:pt>
                <c:pt idx="340">
                  <c:v>45525</c:v>
                </c:pt>
                <c:pt idx="341">
                  <c:v>45526</c:v>
                </c:pt>
                <c:pt idx="342">
                  <c:v>45527</c:v>
                </c:pt>
                <c:pt idx="343">
                  <c:v>45530</c:v>
                </c:pt>
                <c:pt idx="344">
                  <c:v>45531</c:v>
                </c:pt>
                <c:pt idx="345">
                  <c:v>45532</c:v>
                </c:pt>
                <c:pt idx="346">
                  <c:v>45533</c:v>
                </c:pt>
                <c:pt idx="347">
                  <c:v>45537</c:v>
                </c:pt>
                <c:pt idx="348">
                  <c:v>45538</c:v>
                </c:pt>
                <c:pt idx="349">
                  <c:v>45539</c:v>
                </c:pt>
                <c:pt idx="350">
                  <c:v>45540</c:v>
                </c:pt>
                <c:pt idx="351">
                  <c:v>45541</c:v>
                </c:pt>
                <c:pt idx="352">
                  <c:v>45544</c:v>
                </c:pt>
                <c:pt idx="353">
                  <c:v>45545</c:v>
                </c:pt>
                <c:pt idx="354">
                  <c:v>45546</c:v>
                </c:pt>
                <c:pt idx="355">
                  <c:v>45547</c:v>
                </c:pt>
                <c:pt idx="356">
                  <c:v>45548</c:v>
                </c:pt>
                <c:pt idx="357">
                  <c:v>45553</c:v>
                </c:pt>
                <c:pt idx="358">
                  <c:v>45554</c:v>
                </c:pt>
                <c:pt idx="359">
                  <c:v>45555</c:v>
                </c:pt>
                <c:pt idx="360">
                  <c:v>45559</c:v>
                </c:pt>
                <c:pt idx="361">
                  <c:v>45560</c:v>
                </c:pt>
                <c:pt idx="362">
                  <c:v>45561</c:v>
                </c:pt>
                <c:pt idx="363">
                  <c:v>45562</c:v>
                </c:pt>
                <c:pt idx="364">
                  <c:v>45565</c:v>
                </c:pt>
                <c:pt idx="365">
                  <c:v>45573</c:v>
                </c:pt>
                <c:pt idx="366">
                  <c:v>45574</c:v>
                </c:pt>
                <c:pt idx="367">
                  <c:v>45575</c:v>
                </c:pt>
                <c:pt idx="368">
                  <c:v>45576</c:v>
                </c:pt>
                <c:pt idx="369">
                  <c:v>45579</c:v>
                </c:pt>
                <c:pt idx="370">
                  <c:v>45580</c:v>
                </c:pt>
                <c:pt idx="371">
                  <c:v>45581</c:v>
                </c:pt>
                <c:pt idx="372">
                  <c:v>45582</c:v>
                </c:pt>
                <c:pt idx="373">
                  <c:v>45583</c:v>
                </c:pt>
                <c:pt idx="374">
                  <c:v>45586</c:v>
                </c:pt>
                <c:pt idx="375">
                  <c:v>45587</c:v>
                </c:pt>
                <c:pt idx="376">
                  <c:v>45588</c:v>
                </c:pt>
                <c:pt idx="377">
                  <c:v>45589</c:v>
                </c:pt>
                <c:pt idx="378">
                  <c:v>45590</c:v>
                </c:pt>
                <c:pt idx="379">
                  <c:v>45593</c:v>
                </c:pt>
                <c:pt idx="380">
                  <c:v>45594</c:v>
                </c:pt>
                <c:pt idx="381">
                  <c:v>45595</c:v>
                </c:pt>
                <c:pt idx="382">
                  <c:v>45596</c:v>
                </c:pt>
                <c:pt idx="383">
                  <c:v>45597</c:v>
                </c:pt>
                <c:pt idx="384">
                  <c:v>45600</c:v>
                </c:pt>
                <c:pt idx="385">
                  <c:v>45601</c:v>
                </c:pt>
                <c:pt idx="386">
                  <c:v>45602</c:v>
                </c:pt>
                <c:pt idx="387">
                  <c:v>45603</c:v>
                </c:pt>
                <c:pt idx="388">
                  <c:v>45604</c:v>
                </c:pt>
                <c:pt idx="389">
                  <c:v>45607</c:v>
                </c:pt>
                <c:pt idx="390">
                  <c:v>45608</c:v>
                </c:pt>
                <c:pt idx="391">
                  <c:v>45609</c:v>
                </c:pt>
                <c:pt idx="392">
                  <c:v>45610</c:v>
                </c:pt>
                <c:pt idx="393">
                  <c:v>45611</c:v>
                </c:pt>
                <c:pt idx="394">
                  <c:v>45614</c:v>
                </c:pt>
                <c:pt idx="395">
                  <c:v>45615</c:v>
                </c:pt>
                <c:pt idx="396">
                  <c:v>45616</c:v>
                </c:pt>
                <c:pt idx="397">
                  <c:v>45617</c:v>
                </c:pt>
                <c:pt idx="398">
                  <c:v>45618</c:v>
                </c:pt>
                <c:pt idx="399">
                  <c:v>45621</c:v>
                </c:pt>
                <c:pt idx="400">
                  <c:v>45622</c:v>
                </c:pt>
                <c:pt idx="401">
                  <c:v>45623</c:v>
                </c:pt>
                <c:pt idx="402">
                  <c:v>45624</c:v>
                </c:pt>
                <c:pt idx="403">
                  <c:v>45625</c:v>
                </c:pt>
                <c:pt idx="404">
                  <c:v>45628</c:v>
                </c:pt>
                <c:pt idx="405">
                  <c:v>45629</c:v>
                </c:pt>
                <c:pt idx="406">
                  <c:v>45630</c:v>
                </c:pt>
                <c:pt idx="407">
                  <c:v>45631</c:v>
                </c:pt>
                <c:pt idx="408">
                  <c:v>45632</c:v>
                </c:pt>
                <c:pt idx="409">
                  <c:v>45635</c:v>
                </c:pt>
                <c:pt idx="410">
                  <c:v>45636</c:v>
                </c:pt>
                <c:pt idx="411">
                  <c:v>45637</c:v>
                </c:pt>
                <c:pt idx="412">
                  <c:v>45638</c:v>
                </c:pt>
                <c:pt idx="413">
                  <c:v>45639</c:v>
                </c:pt>
                <c:pt idx="414">
                  <c:v>45642</c:v>
                </c:pt>
                <c:pt idx="415">
                  <c:v>45643</c:v>
                </c:pt>
                <c:pt idx="416">
                  <c:v>45644</c:v>
                </c:pt>
                <c:pt idx="417">
                  <c:v>45645</c:v>
                </c:pt>
                <c:pt idx="418">
                  <c:v>45646</c:v>
                </c:pt>
                <c:pt idx="419">
                  <c:v>45649</c:v>
                </c:pt>
                <c:pt idx="420">
                  <c:v>45650</c:v>
                </c:pt>
                <c:pt idx="421">
                  <c:v>45651</c:v>
                </c:pt>
                <c:pt idx="422">
                  <c:v>45652</c:v>
                </c:pt>
                <c:pt idx="423">
                  <c:v>45653</c:v>
                </c:pt>
                <c:pt idx="424">
                  <c:v>45656</c:v>
                </c:pt>
                <c:pt idx="425">
                  <c:v>45657</c:v>
                </c:pt>
                <c:pt idx="426">
                  <c:v>45660</c:v>
                </c:pt>
                <c:pt idx="427">
                  <c:v>45663</c:v>
                </c:pt>
                <c:pt idx="428">
                  <c:v>45664</c:v>
                </c:pt>
                <c:pt idx="429">
                  <c:v>45665</c:v>
                </c:pt>
                <c:pt idx="430">
                  <c:v>45667</c:v>
                </c:pt>
                <c:pt idx="431">
                  <c:v>45670</c:v>
                </c:pt>
                <c:pt idx="432">
                  <c:v>45671</c:v>
                </c:pt>
                <c:pt idx="433">
                  <c:v>45672</c:v>
                </c:pt>
                <c:pt idx="434">
                  <c:v>45673</c:v>
                </c:pt>
                <c:pt idx="435">
                  <c:v>45674</c:v>
                </c:pt>
                <c:pt idx="436">
                  <c:v>45677</c:v>
                </c:pt>
                <c:pt idx="437">
                  <c:v>45678</c:v>
                </c:pt>
                <c:pt idx="438">
                  <c:v>45679</c:v>
                </c:pt>
                <c:pt idx="439">
                  <c:v>45680</c:v>
                </c:pt>
                <c:pt idx="440">
                  <c:v>45681</c:v>
                </c:pt>
                <c:pt idx="441">
                  <c:v>45693</c:v>
                </c:pt>
                <c:pt idx="442">
                  <c:v>45694</c:v>
                </c:pt>
                <c:pt idx="443">
                  <c:v>45695</c:v>
                </c:pt>
                <c:pt idx="444">
                  <c:v>45698</c:v>
                </c:pt>
                <c:pt idx="445">
                  <c:v>45699</c:v>
                </c:pt>
                <c:pt idx="446">
                  <c:v>45700</c:v>
                </c:pt>
                <c:pt idx="447">
                  <c:v>45701</c:v>
                </c:pt>
                <c:pt idx="448">
                  <c:v>45702</c:v>
                </c:pt>
                <c:pt idx="449">
                  <c:v>45705</c:v>
                </c:pt>
                <c:pt idx="450">
                  <c:v>45706</c:v>
                </c:pt>
                <c:pt idx="451">
                  <c:v>45707</c:v>
                </c:pt>
                <c:pt idx="452">
                  <c:v>45708</c:v>
                </c:pt>
                <c:pt idx="453">
                  <c:v>45709</c:v>
                </c:pt>
                <c:pt idx="454">
                  <c:v>45712</c:v>
                </c:pt>
                <c:pt idx="455">
                  <c:v>45713</c:v>
                </c:pt>
                <c:pt idx="456">
                  <c:v>45714</c:v>
                </c:pt>
                <c:pt idx="457">
                  <c:v>45715</c:v>
                </c:pt>
                <c:pt idx="458">
                  <c:v>45716</c:v>
                </c:pt>
                <c:pt idx="459">
                  <c:v>45719</c:v>
                </c:pt>
                <c:pt idx="460">
                  <c:v>45720</c:v>
                </c:pt>
                <c:pt idx="461">
                  <c:v>45721</c:v>
                </c:pt>
                <c:pt idx="462">
                  <c:v>45722</c:v>
                </c:pt>
                <c:pt idx="463">
                  <c:v>45723</c:v>
                </c:pt>
                <c:pt idx="464">
                  <c:v>45726</c:v>
                </c:pt>
                <c:pt idx="465">
                  <c:v>45727</c:v>
                </c:pt>
                <c:pt idx="466">
                  <c:v>45728</c:v>
                </c:pt>
                <c:pt idx="467">
                  <c:v>45729</c:v>
                </c:pt>
                <c:pt idx="468">
                  <c:v>45730</c:v>
                </c:pt>
                <c:pt idx="469">
                  <c:v>45733</c:v>
                </c:pt>
                <c:pt idx="470">
                  <c:v>45734</c:v>
                </c:pt>
                <c:pt idx="471">
                  <c:v>45735</c:v>
                </c:pt>
                <c:pt idx="472">
                  <c:v>45736</c:v>
                </c:pt>
                <c:pt idx="473">
                  <c:v>45737</c:v>
                </c:pt>
                <c:pt idx="474">
                  <c:v>45740</c:v>
                </c:pt>
                <c:pt idx="475">
                  <c:v>45741</c:v>
                </c:pt>
                <c:pt idx="476">
                  <c:v>45742</c:v>
                </c:pt>
                <c:pt idx="477">
                  <c:v>45743</c:v>
                </c:pt>
                <c:pt idx="478">
                  <c:v>45744</c:v>
                </c:pt>
                <c:pt idx="479">
                  <c:v>45747</c:v>
                </c:pt>
                <c:pt idx="480">
                  <c:v>45748</c:v>
                </c:pt>
                <c:pt idx="481">
                  <c:v>45749</c:v>
                </c:pt>
                <c:pt idx="482">
                  <c:v>45750</c:v>
                </c:pt>
                <c:pt idx="483">
                  <c:v>45754</c:v>
                </c:pt>
                <c:pt idx="484">
                  <c:v>45755</c:v>
                </c:pt>
                <c:pt idx="485">
                  <c:v>45756</c:v>
                </c:pt>
                <c:pt idx="486">
                  <c:v>45757</c:v>
                </c:pt>
                <c:pt idx="487">
                  <c:v>45758</c:v>
                </c:pt>
                <c:pt idx="488">
                  <c:v>45761</c:v>
                </c:pt>
                <c:pt idx="489">
                  <c:v>45762</c:v>
                </c:pt>
                <c:pt idx="490">
                  <c:v>45763</c:v>
                </c:pt>
                <c:pt idx="491">
                  <c:v>45764</c:v>
                </c:pt>
                <c:pt idx="492">
                  <c:v>45765</c:v>
                </c:pt>
                <c:pt idx="493">
                  <c:v>45768</c:v>
                </c:pt>
                <c:pt idx="494">
                  <c:v>45769</c:v>
                </c:pt>
                <c:pt idx="495">
                  <c:v>45770</c:v>
                </c:pt>
                <c:pt idx="496">
                  <c:v>45771</c:v>
                </c:pt>
                <c:pt idx="497">
                  <c:v>45772</c:v>
                </c:pt>
                <c:pt idx="498">
                  <c:v>45791</c:v>
                </c:pt>
                <c:pt idx="499">
                  <c:v>45792</c:v>
                </c:pt>
                <c:pt idx="500">
                  <c:v>45793</c:v>
                </c:pt>
                <c:pt idx="501">
                  <c:v>45796</c:v>
                </c:pt>
                <c:pt idx="502">
                  <c:v>45797</c:v>
                </c:pt>
                <c:pt idx="503">
                  <c:v>45798</c:v>
                </c:pt>
                <c:pt idx="504">
                  <c:v>45799</c:v>
                </c:pt>
                <c:pt idx="505">
                  <c:v>45800</c:v>
                </c:pt>
                <c:pt idx="506">
                  <c:v>45803</c:v>
                </c:pt>
                <c:pt idx="507">
                  <c:v>45804</c:v>
                </c:pt>
                <c:pt idx="508">
                  <c:v>45805</c:v>
                </c:pt>
                <c:pt idx="509">
                  <c:v>45806</c:v>
                </c:pt>
                <c:pt idx="510">
                  <c:v>45807</c:v>
                </c:pt>
                <c:pt idx="511">
                  <c:v>45811</c:v>
                </c:pt>
                <c:pt idx="512">
                  <c:v>45812</c:v>
                </c:pt>
                <c:pt idx="513">
                  <c:v>45813</c:v>
                </c:pt>
                <c:pt idx="514">
                  <c:v>45814</c:v>
                </c:pt>
                <c:pt idx="515">
                  <c:v>45817</c:v>
                </c:pt>
                <c:pt idx="516">
                  <c:v>45818</c:v>
                </c:pt>
                <c:pt idx="517">
                  <c:v>45819</c:v>
                </c:pt>
                <c:pt idx="518">
                  <c:v>45820</c:v>
                </c:pt>
                <c:pt idx="519">
                  <c:v>45821</c:v>
                </c:pt>
                <c:pt idx="520">
                  <c:v>45824</c:v>
                </c:pt>
                <c:pt idx="521">
                  <c:v>45825</c:v>
                </c:pt>
                <c:pt idx="522">
                  <c:v>45826</c:v>
                </c:pt>
                <c:pt idx="523">
                  <c:v>45827</c:v>
                </c:pt>
                <c:pt idx="524">
                  <c:v>45828</c:v>
                </c:pt>
                <c:pt idx="525">
                  <c:v>45831</c:v>
                </c:pt>
                <c:pt idx="526">
                  <c:v>45832</c:v>
                </c:pt>
                <c:pt idx="527">
                  <c:v>45833</c:v>
                </c:pt>
                <c:pt idx="528">
                  <c:v>45834</c:v>
                </c:pt>
                <c:pt idx="529">
                  <c:v>45835</c:v>
                </c:pt>
                <c:pt idx="530">
                  <c:v>45838</c:v>
                </c:pt>
                <c:pt idx="531">
                  <c:v>45839</c:v>
                </c:pt>
                <c:pt idx="532">
                  <c:v>45840</c:v>
                </c:pt>
                <c:pt idx="533">
                  <c:v>45841</c:v>
                </c:pt>
                <c:pt idx="534">
                  <c:v>45842</c:v>
                </c:pt>
                <c:pt idx="535">
                  <c:v>45845</c:v>
                </c:pt>
                <c:pt idx="536">
                  <c:v>45846</c:v>
                </c:pt>
                <c:pt idx="537">
                  <c:v>45847</c:v>
                </c:pt>
                <c:pt idx="538">
                  <c:v>45848</c:v>
                </c:pt>
                <c:pt idx="539">
                  <c:v>45849</c:v>
                </c:pt>
                <c:pt idx="540">
                  <c:v>45852</c:v>
                </c:pt>
                <c:pt idx="541">
                  <c:v>45853</c:v>
                </c:pt>
                <c:pt idx="542">
                  <c:v>45854</c:v>
                </c:pt>
                <c:pt idx="543">
                  <c:v>45855</c:v>
                </c:pt>
                <c:pt idx="544">
                  <c:v>45856</c:v>
                </c:pt>
                <c:pt idx="545">
                  <c:v>45859</c:v>
                </c:pt>
                <c:pt idx="546">
                  <c:v>45860</c:v>
                </c:pt>
                <c:pt idx="547">
                  <c:v>45861</c:v>
                </c:pt>
                <c:pt idx="548">
                  <c:v>45862</c:v>
                </c:pt>
                <c:pt idx="549">
                  <c:v>45863</c:v>
                </c:pt>
                <c:pt idx="550">
                  <c:v>45866</c:v>
                </c:pt>
                <c:pt idx="551">
                  <c:v>45867</c:v>
                </c:pt>
                <c:pt idx="552">
                  <c:v>45868</c:v>
                </c:pt>
                <c:pt idx="553">
                  <c:v>45869</c:v>
                </c:pt>
                <c:pt idx="554">
                  <c:v>45870</c:v>
                </c:pt>
                <c:pt idx="555">
                  <c:v>45873</c:v>
                </c:pt>
                <c:pt idx="556">
                  <c:v>45874</c:v>
                </c:pt>
                <c:pt idx="557" formatCode="yyyy\-mm\-dd">
                  <c:v>45875</c:v>
                </c:pt>
                <c:pt idx="558" formatCode="yyyy\-mm\-dd">
                  <c:v>45876</c:v>
                </c:pt>
                <c:pt idx="559" formatCode="yyyy\-mm\-dd">
                  <c:v>45877</c:v>
                </c:pt>
                <c:pt idx="560" formatCode="yyyy\-mm\-dd">
                  <c:v>45880</c:v>
                </c:pt>
                <c:pt idx="561" formatCode="yyyy\-mm\-dd">
                  <c:v>45881</c:v>
                </c:pt>
                <c:pt idx="562" formatCode="yyyy\-mm\-dd">
                  <c:v>45882</c:v>
                </c:pt>
                <c:pt idx="563" formatCode="yyyy\-mm\-dd">
                  <c:v>45883</c:v>
                </c:pt>
                <c:pt idx="564" formatCode="yyyy\-mm\-dd">
                  <c:v>45884</c:v>
                </c:pt>
                <c:pt idx="565" formatCode="yyyy\-mm\-dd">
                  <c:v>45887</c:v>
                </c:pt>
                <c:pt idx="566" formatCode="yyyy\-mm\-dd">
                  <c:v>45888</c:v>
                </c:pt>
                <c:pt idx="567" formatCode="yyyy\-mm\-dd">
                  <c:v>45889</c:v>
                </c:pt>
                <c:pt idx="568" formatCode="yyyy\-mm\-dd">
                  <c:v>45890</c:v>
                </c:pt>
                <c:pt idx="569" formatCode="yyyy\-mm\-dd">
                  <c:v>45891</c:v>
                </c:pt>
                <c:pt idx="570" formatCode="yyyy\-mm\-dd">
                  <c:v>45894</c:v>
                </c:pt>
                <c:pt idx="571" formatCode="yyyy\-mm\-dd">
                  <c:v>45895</c:v>
                </c:pt>
                <c:pt idx="572" formatCode="yyyy\-mm\-dd">
                  <c:v>45896</c:v>
                </c:pt>
                <c:pt idx="573" formatCode="yyyy\-mm\-dd">
                  <c:v>45897</c:v>
                </c:pt>
                <c:pt idx="574" formatCode="yyyy\-mm\-dd">
                  <c:v>45898</c:v>
                </c:pt>
                <c:pt idx="575" formatCode="yyyy\-mm\-dd">
                  <c:v>45901</c:v>
                </c:pt>
                <c:pt idx="576" formatCode="yyyy\-mm\-dd">
                  <c:v>45902</c:v>
                </c:pt>
                <c:pt idx="577" formatCode="yyyy\-mm\-dd">
                  <c:v>45903</c:v>
                </c:pt>
                <c:pt idx="578" formatCode="yyyy\-mm\-dd">
                  <c:v>45904</c:v>
                </c:pt>
                <c:pt idx="579" formatCode="yyyy\-mm\-dd">
                  <c:v>45905</c:v>
                </c:pt>
                <c:pt idx="580" formatCode="yyyy\-mm\-dd">
                  <c:v>45908</c:v>
                </c:pt>
                <c:pt idx="581" formatCode="yyyy\-mm\-dd">
                  <c:v>45909</c:v>
                </c:pt>
                <c:pt idx="582" formatCode="yyyy\-mm\-dd">
                  <c:v>45910</c:v>
                </c:pt>
                <c:pt idx="583" formatCode="yyyy\-mm\-dd">
                  <c:v>45911</c:v>
                </c:pt>
                <c:pt idx="584" formatCode="yyyy\-mm\-dd">
                  <c:v>45912</c:v>
                </c:pt>
                <c:pt idx="585" formatCode="yyyy\-mm\-dd">
                  <c:v>45915</c:v>
                </c:pt>
                <c:pt idx="586" formatCode="yyyy\-mm\-dd">
                  <c:v>45916</c:v>
                </c:pt>
                <c:pt idx="587" formatCode="yyyy\-mm\-dd">
                  <c:v>45917</c:v>
                </c:pt>
                <c:pt idx="588" formatCode="yyyy\-mm\-dd">
                  <c:v>45918</c:v>
                </c:pt>
                <c:pt idx="589" formatCode="yyyy\-mm\-dd">
                  <c:v>45919</c:v>
                </c:pt>
                <c:pt idx="590" formatCode="yyyy\-mm\-dd">
                  <c:v>45922</c:v>
                </c:pt>
                <c:pt idx="591" formatCode="yyyy\-mm\-dd">
                  <c:v>45923</c:v>
                </c:pt>
                <c:pt idx="592" formatCode="yyyy\-mm\-dd">
                  <c:v>45924</c:v>
                </c:pt>
                <c:pt idx="593" formatCode="yyyy\-mm\-dd">
                  <c:v>45925</c:v>
                </c:pt>
                <c:pt idx="594" formatCode="yyyy\-mm\-dd">
                  <c:v>45926</c:v>
                </c:pt>
                <c:pt idx="595" formatCode="yyyy\-mm\-dd">
                  <c:v>45929</c:v>
                </c:pt>
                <c:pt idx="596" formatCode="yyyy\-mm\-dd">
                  <c:v>45930</c:v>
                </c:pt>
                <c:pt idx="597" formatCode="yyyy\-mm\-dd">
                  <c:v>45939</c:v>
                </c:pt>
                <c:pt idx="598" formatCode="yyyy\-mm\-dd">
                  <c:v>45940</c:v>
                </c:pt>
                <c:pt idx="599" formatCode="yyyy\-mm\-dd">
                  <c:v>45943</c:v>
                </c:pt>
                <c:pt idx="600" formatCode="yyyy\-mm\-dd">
                  <c:v>45944</c:v>
                </c:pt>
                <c:pt idx="601" formatCode="yyyy\-mm\-dd">
                  <c:v>45945</c:v>
                </c:pt>
                <c:pt idx="602" formatCode="yyyy\-mm\-dd">
                  <c:v>45946</c:v>
                </c:pt>
                <c:pt idx="603" formatCode="yyyy\-mm\-dd">
                  <c:v>45947</c:v>
                </c:pt>
                <c:pt idx="604" formatCode="yyyy\-mm\-dd">
                  <c:v>45950</c:v>
                </c:pt>
                <c:pt idx="605" formatCode="yyyy\-mm\-dd">
                  <c:v>45951</c:v>
                </c:pt>
                <c:pt idx="606" formatCode="yyyy\-mm\-dd">
                  <c:v>45952</c:v>
                </c:pt>
                <c:pt idx="607" formatCode="yyyy\-mm\-dd">
                  <c:v>45953</c:v>
                </c:pt>
                <c:pt idx="608" formatCode="yyyy\-mm\-dd">
                  <c:v>45954</c:v>
                </c:pt>
                <c:pt idx="609" formatCode="yyyy\-mm\-dd">
                  <c:v>45957</c:v>
                </c:pt>
                <c:pt idx="610" formatCode="yyyy\-mm\-dd">
                  <c:v>45958</c:v>
                </c:pt>
                <c:pt idx="611" formatCode="yyyy\-mm\-dd">
                  <c:v>45959</c:v>
                </c:pt>
                <c:pt idx="612" formatCode="yyyy\-mm\-dd">
                  <c:v>45960</c:v>
                </c:pt>
                <c:pt idx="613" formatCode="yyyy\-mm\-dd">
                  <c:v>45961</c:v>
                </c:pt>
                <c:pt idx="614" formatCode="yyyy\-mm\-dd">
                  <c:v>45964</c:v>
                </c:pt>
                <c:pt idx="615" formatCode="yyyy\-mm\-dd">
                  <c:v>45965</c:v>
                </c:pt>
                <c:pt idx="616" formatCode="yyyy\-mm\-dd">
                  <c:v>45966</c:v>
                </c:pt>
                <c:pt idx="617" formatCode="yyyy\-mm\-dd">
                  <c:v>45967</c:v>
                </c:pt>
                <c:pt idx="618" formatCode="yyyy\-mm\-dd">
                  <c:v>45968</c:v>
                </c:pt>
                <c:pt idx="619" formatCode="yyyy\-mm\-dd">
                  <c:v>45971</c:v>
                </c:pt>
                <c:pt idx="620" formatCode="yyyy\-mm\-dd">
                  <c:v>45972</c:v>
                </c:pt>
                <c:pt idx="621" formatCode="yyyy\-mm\-dd">
                  <c:v>45973</c:v>
                </c:pt>
                <c:pt idx="622" formatCode="yyyy\-mm\-dd">
                  <c:v>45974</c:v>
                </c:pt>
                <c:pt idx="623" formatCode="yyyy\-mm\-dd">
                  <c:v>45975</c:v>
                </c:pt>
                <c:pt idx="624" formatCode="yyyy\-mm\-dd">
                  <c:v>45978</c:v>
                </c:pt>
                <c:pt idx="625" formatCode="yyyy\-mm\-dd">
                  <c:v>45979</c:v>
                </c:pt>
                <c:pt idx="626" formatCode="yyyy\-mm\-dd">
                  <c:v>45980</c:v>
                </c:pt>
                <c:pt idx="627" formatCode="yyyy\-mm\-dd">
                  <c:v>45981</c:v>
                </c:pt>
                <c:pt idx="628" formatCode="yyyy\-mm\-dd">
                  <c:v>45982</c:v>
                </c:pt>
                <c:pt idx="629" formatCode="yyyy\-mm\-dd">
                  <c:v>45985</c:v>
                </c:pt>
                <c:pt idx="630" formatCode="yyyy\-mm\-dd">
                  <c:v>45986</c:v>
                </c:pt>
                <c:pt idx="631" formatCode="yyyy\-mm\-dd">
                  <c:v>45987</c:v>
                </c:pt>
                <c:pt idx="632" formatCode="yyyy\-mm\-dd">
                  <c:v>45988</c:v>
                </c:pt>
                <c:pt idx="633" formatCode="yyyy\-mm\-dd">
                  <c:v>45989</c:v>
                </c:pt>
                <c:pt idx="634" formatCode="yyyy\-mm\-dd">
                  <c:v>45992</c:v>
                </c:pt>
                <c:pt idx="635" formatCode="yyyy\-mm\-dd">
                  <c:v>45993</c:v>
                </c:pt>
                <c:pt idx="636" formatCode="yyyy\-mm\-dd">
                  <c:v>45994</c:v>
                </c:pt>
                <c:pt idx="637" formatCode="yyyy\-mm\-dd">
                  <c:v>45995</c:v>
                </c:pt>
                <c:pt idx="638" formatCode="yyyy\-mm\-dd">
                  <c:v>45996</c:v>
                </c:pt>
                <c:pt idx="639" formatCode="yyyy\-mm\-dd">
                  <c:v>45999</c:v>
                </c:pt>
                <c:pt idx="640" formatCode="yyyy\-mm\-dd">
                  <c:v>46000</c:v>
                </c:pt>
                <c:pt idx="641" formatCode="yyyy\-mm\-dd">
                  <c:v>46001</c:v>
                </c:pt>
                <c:pt idx="642" formatCode="yyyy\-mm\-dd">
                  <c:v>46002</c:v>
                </c:pt>
                <c:pt idx="643" formatCode="yyyy\-mm\-dd">
                  <c:v>46003</c:v>
                </c:pt>
                <c:pt idx="644" formatCode="yyyy\-mm\-dd">
                  <c:v>46006</c:v>
                </c:pt>
                <c:pt idx="645" formatCode="yyyy\-mm\-dd">
                  <c:v>46007</c:v>
                </c:pt>
                <c:pt idx="646" formatCode="yyyy\-mm\-dd">
                  <c:v>46008</c:v>
                </c:pt>
                <c:pt idx="647" formatCode="yyyy\-mm\-dd">
                  <c:v>46009</c:v>
                </c:pt>
                <c:pt idx="648" formatCode="yyyy\-mm\-dd">
                  <c:v>46010</c:v>
                </c:pt>
                <c:pt idx="649" formatCode="yyyy\-mm\-dd">
                  <c:v>46013</c:v>
                </c:pt>
                <c:pt idx="650" formatCode="yyyy\-mm\-dd">
                  <c:v>46014</c:v>
                </c:pt>
                <c:pt idx="651" formatCode="yyyy\-mm\-dd">
                  <c:v>46015</c:v>
                </c:pt>
                <c:pt idx="652" formatCode="yyyy\-mm\-dd">
                  <c:v>46016</c:v>
                </c:pt>
                <c:pt idx="653" formatCode="yyyy\-mm\-dd">
                  <c:v>46017</c:v>
                </c:pt>
                <c:pt idx="654" formatCode="yyyy\-mm\-dd">
                  <c:v>46020</c:v>
                </c:pt>
                <c:pt idx="655" formatCode="yyyy\-mm\-dd">
                  <c:v>46021</c:v>
                </c:pt>
                <c:pt idx="656" formatCode="yyyy\-mm\-dd">
                  <c:v>46022</c:v>
                </c:pt>
                <c:pt idx="657" formatCode="yyyy\-mm\-dd">
                  <c:v>46027</c:v>
                </c:pt>
                <c:pt idx="658" formatCode="yyyy\-mm\-dd">
                  <c:v>46028</c:v>
                </c:pt>
                <c:pt idx="659" formatCode="yyyy\-mm\-dd">
                  <c:v>46029</c:v>
                </c:pt>
                <c:pt idx="660" formatCode="yyyy\-mm\-dd">
                  <c:v>46030</c:v>
                </c:pt>
                <c:pt idx="661" formatCode="yyyy\-mm\-dd">
                  <c:v>46031</c:v>
                </c:pt>
                <c:pt idx="662" formatCode="yyyy\-mm\-dd">
                  <c:v>46034</c:v>
                </c:pt>
                <c:pt idx="663" formatCode="yyyy\-mm\-dd">
                  <c:v>46035</c:v>
                </c:pt>
                <c:pt idx="664" formatCode="yyyy\-mm\-dd">
                  <c:v>46036</c:v>
                </c:pt>
                <c:pt idx="665" formatCode="yyyy\-mm\-dd">
                  <c:v>46037</c:v>
                </c:pt>
                <c:pt idx="666" formatCode="yyyy\-mm\-dd">
                  <c:v>46038</c:v>
                </c:pt>
                <c:pt idx="667" formatCode="yyyy\-mm\-dd">
                  <c:v>46041</c:v>
                </c:pt>
                <c:pt idx="668" formatCode="yyyy\-mm\-dd">
                  <c:v>46042</c:v>
                </c:pt>
                <c:pt idx="669" formatCode="yyyy\-mm\-dd">
                  <c:v>46043</c:v>
                </c:pt>
                <c:pt idx="670" formatCode="yyyy\-mm\-dd">
                  <c:v>46044</c:v>
                </c:pt>
                <c:pt idx="671" formatCode="yyyy\-mm\-dd">
                  <c:v>46045</c:v>
                </c:pt>
                <c:pt idx="672" formatCode="yyyy\-mm\-dd">
                  <c:v>46048</c:v>
                </c:pt>
                <c:pt idx="673" formatCode="yyyy\-mm\-dd">
                  <c:v>46049</c:v>
                </c:pt>
                <c:pt idx="674" formatCode="yyyy\-mm\-dd">
                  <c:v>46050</c:v>
                </c:pt>
                <c:pt idx="675" formatCode="yyyy\-mm\-dd">
                  <c:v>46051</c:v>
                </c:pt>
                <c:pt idx="676" formatCode="yyyy\-mm\-dd">
                  <c:v>46052</c:v>
                </c:pt>
                <c:pt idx="677" formatCode="yyyy\-mm\-dd">
                  <c:v>46055</c:v>
                </c:pt>
                <c:pt idx="678" formatCode="yyyy\-mm\-dd">
                  <c:v>46056</c:v>
                </c:pt>
                <c:pt idx="679" formatCode="yyyy\-mm\-dd">
                  <c:v>46057</c:v>
                </c:pt>
                <c:pt idx="680" formatCode="yyyy\-mm\-dd">
                  <c:v>46058</c:v>
                </c:pt>
                <c:pt idx="681" formatCode="yyyy\-mm\-dd">
                  <c:v>46059</c:v>
                </c:pt>
                <c:pt idx="682" formatCode="yyyy\-mm\-dd">
                  <c:v>46062</c:v>
                </c:pt>
                <c:pt idx="683" formatCode="yyyy\-mm\-dd">
                  <c:v>46063</c:v>
                </c:pt>
                <c:pt idx="684" formatCode="yyyy\-mm\-dd">
                  <c:v>46064</c:v>
                </c:pt>
                <c:pt idx="685" formatCode="yyyy\-mm\-dd">
                  <c:v>46065</c:v>
                </c:pt>
                <c:pt idx="686" formatCode="yyyy\-mm\-dd">
                  <c:v>46066</c:v>
                </c:pt>
                <c:pt idx="687" formatCode="yyyy\-mm\-dd">
                  <c:v>46077</c:v>
                </c:pt>
                <c:pt idx="688" formatCode="yyyy\-mm\-dd">
                  <c:v>46078</c:v>
                </c:pt>
                <c:pt idx="689" formatCode="yyyy\-mm\-dd">
                  <c:v>46079</c:v>
                </c:pt>
                <c:pt idx="690" formatCode="yyyy\-mm\-dd">
                  <c:v>46080</c:v>
                </c:pt>
                <c:pt idx="691" formatCode="yyyy\-mm\-dd">
                  <c:v>46083</c:v>
                </c:pt>
                <c:pt idx="692" formatCode="yyyy\-mm\-dd">
                  <c:v>46084</c:v>
                </c:pt>
                <c:pt idx="693" formatCode="yyyy\-mm\-dd">
                  <c:v>46085</c:v>
                </c:pt>
                <c:pt idx="694" formatCode="yyyy\-mm\-dd">
                  <c:v>46086</c:v>
                </c:pt>
                <c:pt idx="695" formatCode="yyyy\-mm\-dd">
                  <c:v>46087</c:v>
                </c:pt>
                <c:pt idx="696" formatCode="yyyy\-mm\-dd">
                  <c:v>46090</c:v>
                </c:pt>
                <c:pt idx="697" formatCode="yyyy\-mm\-dd">
                  <c:v>46091</c:v>
                </c:pt>
                <c:pt idx="698" formatCode="yyyy\-mm\-dd">
                  <c:v>46092</c:v>
                </c:pt>
                <c:pt idx="699" formatCode="yyyy\-mm\-dd">
                  <c:v>46093</c:v>
                </c:pt>
                <c:pt idx="700" formatCode="yyyy\-mm\-dd">
                  <c:v>46094</c:v>
                </c:pt>
                <c:pt idx="701" formatCode="yyyy\-mm\-dd">
                  <c:v>46097</c:v>
                </c:pt>
                <c:pt idx="702" formatCode="yyyy\-mm\-dd">
                  <c:v>46098</c:v>
                </c:pt>
                <c:pt idx="703" formatCode="yyyy\-mm\-dd">
                  <c:v>46099</c:v>
                </c:pt>
                <c:pt idx="704" formatCode="yyyy\-mm\-dd">
                  <c:v>46100</c:v>
                </c:pt>
                <c:pt idx="705" formatCode="yyyy\-mm\-dd">
                  <c:v>46101</c:v>
                </c:pt>
                <c:pt idx="706" formatCode="yyyy\-mm\-dd">
                  <c:v>46104</c:v>
                </c:pt>
                <c:pt idx="707" formatCode="yyyy\-mm\-dd">
                  <c:v>46105</c:v>
                </c:pt>
                <c:pt idx="708" formatCode="yyyy\-mm\-dd">
                  <c:v>46106</c:v>
                </c:pt>
                <c:pt idx="709" formatCode="yyyy\-mm\-dd">
                  <c:v>46107</c:v>
                </c:pt>
                <c:pt idx="710" formatCode="yyyy\-mm\-dd">
                  <c:v>46108</c:v>
                </c:pt>
                <c:pt idx="711" formatCode="yyyy\-mm\-dd">
                  <c:v>46111</c:v>
                </c:pt>
                <c:pt idx="712" formatCode="yyyy\-mm\-dd">
                  <c:v>46112</c:v>
                </c:pt>
                <c:pt idx="713" formatCode="yyyy\-mm\-dd">
                  <c:v>46113</c:v>
                </c:pt>
                <c:pt idx="714" formatCode="yyyy\-mm\-dd">
                  <c:v>46114</c:v>
                </c:pt>
                <c:pt idx="715" formatCode="yyyy\-mm\-dd">
                  <c:v>46115</c:v>
                </c:pt>
                <c:pt idx="716" formatCode="yyyy\-mm\-dd">
                  <c:v>46119</c:v>
                </c:pt>
                <c:pt idx="717" formatCode="yyyy\-mm\-dd">
                  <c:v>46120</c:v>
                </c:pt>
                <c:pt idx="718" formatCode="yyyy\-mm\-dd">
                  <c:v>46121</c:v>
                </c:pt>
                <c:pt idx="719" formatCode="yyyy\-mm\-dd">
                  <c:v>46122</c:v>
                </c:pt>
                <c:pt idx="720" formatCode="yyyy\-mm\-dd">
                  <c:v>46125</c:v>
                </c:pt>
                <c:pt idx="721" formatCode="yyyy\-mm\-dd">
                  <c:v>46126</c:v>
                </c:pt>
                <c:pt idx="722" formatCode="yyyy\-mm\-dd">
                  <c:v>46127</c:v>
                </c:pt>
                <c:pt idx="723" formatCode="yyyy\-mm\-dd">
                  <c:v>46128</c:v>
                </c:pt>
                <c:pt idx="724" formatCode="yyyy\-mm\-dd">
                  <c:v>46129</c:v>
                </c:pt>
                <c:pt idx="725" formatCode="yyyy\-mm\-dd">
                  <c:v>46132</c:v>
                </c:pt>
                <c:pt idx="726" formatCode="yyyy\-mm\-dd">
                  <c:v>46133</c:v>
                </c:pt>
                <c:pt idx="727" formatCode="yyyy\-mm\-dd">
                  <c:v>46134</c:v>
                </c:pt>
                <c:pt idx="728" formatCode="yyyy\-mm\-dd">
                  <c:v>46135</c:v>
                </c:pt>
                <c:pt idx="729" formatCode="yyyy\-mm\-dd">
                  <c:v>46136</c:v>
                </c:pt>
                <c:pt idx="730" formatCode="yyyy\-mm\-dd">
                  <c:v>46139</c:v>
                </c:pt>
                <c:pt idx="731" formatCode="yyyy\-mm\-dd">
                  <c:v>46140</c:v>
                </c:pt>
                <c:pt idx="732" formatCode="yyyy\-mm\-dd">
                  <c:v>46141</c:v>
                </c:pt>
                <c:pt idx="733" formatCode="yyyy\-mm\-dd">
                  <c:v>46142</c:v>
                </c:pt>
                <c:pt idx="734" formatCode="yyyy\-mm\-dd">
                  <c:v>46148</c:v>
                </c:pt>
                <c:pt idx="735" formatCode="yyyy\-mm\-dd">
                  <c:v>46149</c:v>
                </c:pt>
                <c:pt idx="736" formatCode="yyyy\-mm\-dd">
                  <c:v>46150</c:v>
                </c:pt>
              </c:numCache>
            </c:numRef>
          </c:cat>
          <c:val>
            <c:numRef>
              <c:f>'涨停数量 '!$B$233:$B$969</c:f>
              <c:numCache>
                <c:formatCode>General</c:formatCode>
                <c:ptCount val="737"/>
                <c:pt idx="0">
                  <c:v>33</c:v>
                </c:pt>
                <c:pt idx="1">
                  <c:v>23</c:v>
                </c:pt>
                <c:pt idx="2">
                  <c:v>22</c:v>
                </c:pt>
                <c:pt idx="3">
                  <c:v>36</c:v>
                </c:pt>
                <c:pt idx="4">
                  <c:v>47</c:v>
                </c:pt>
                <c:pt idx="5">
                  <c:v>26</c:v>
                </c:pt>
                <c:pt idx="6">
                  <c:v>31</c:v>
                </c:pt>
                <c:pt idx="7">
                  <c:v>49</c:v>
                </c:pt>
                <c:pt idx="8">
                  <c:v>22</c:v>
                </c:pt>
                <c:pt idx="9">
                  <c:v>33</c:v>
                </c:pt>
                <c:pt idx="10">
                  <c:v>60</c:v>
                </c:pt>
                <c:pt idx="11">
                  <c:v>36</c:v>
                </c:pt>
                <c:pt idx="12">
                  <c:v>38</c:v>
                </c:pt>
                <c:pt idx="13">
                  <c:v>38</c:v>
                </c:pt>
                <c:pt idx="14">
                  <c:v>23</c:v>
                </c:pt>
                <c:pt idx="15">
                  <c:v>32</c:v>
                </c:pt>
                <c:pt idx="16">
                  <c:v>36</c:v>
                </c:pt>
                <c:pt idx="17">
                  <c:v>12</c:v>
                </c:pt>
                <c:pt idx="18">
                  <c:v>39</c:v>
                </c:pt>
                <c:pt idx="19">
                  <c:v>33</c:v>
                </c:pt>
                <c:pt idx="20">
                  <c:v>57</c:v>
                </c:pt>
                <c:pt idx="21">
                  <c:v>40</c:v>
                </c:pt>
                <c:pt idx="22">
                  <c:v>98</c:v>
                </c:pt>
                <c:pt idx="23">
                  <c:v>102</c:v>
                </c:pt>
                <c:pt idx="24">
                  <c:v>50</c:v>
                </c:pt>
                <c:pt idx="25">
                  <c:v>62</c:v>
                </c:pt>
                <c:pt idx="26">
                  <c:v>24</c:v>
                </c:pt>
                <c:pt idx="27">
                  <c:v>40</c:v>
                </c:pt>
                <c:pt idx="28">
                  <c:v>62</c:v>
                </c:pt>
                <c:pt idx="29">
                  <c:v>31</c:v>
                </c:pt>
                <c:pt idx="30">
                  <c:v>39</c:v>
                </c:pt>
                <c:pt idx="31">
                  <c:v>26</c:v>
                </c:pt>
                <c:pt idx="32">
                  <c:v>47</c:v>
                </c:pt>
                <c:pt idx="33">
                  <c:v>49</c:v>
                </c:pt>
                <c:pt idx="34">
                  <c:v>36</c:v>
                </c:pt>
                <c:pt idx="35">
                  <c:v>50</c:v>
                </c:pt>
                <c:pt idx="36">
                  <c:v>44</c:v>
                </c:pt>
                <c:pt idx="37">
                  <c:v>47</c:v>
                </c:pt>
                <c:pt idx="38">
                  <c:v>49</c:v>
                </c:pt>
                <c:pt idx="39">
                  <c:v>52</c:v>
                </c:pt>
                <c:pt idx="40">
                  <c:v>41</c:v>
                </c:pt>
                <c:pt idx="41">
                  <c:v>50</c:v>
                </c:pt>
                <c:pt idx="42">
                  <c:v>61</c:v>
                </c:pt>
                <c:pt idx="43">
                  <c:v>52</c:v>
                </c:pt>
                <c:pt idx="44">
                  <c:v>67</c:v>
                </c:pt>
                <c:pt idx="45">
                  <c:v>71</c:v>
                </c:pt>
                <c:pt idx="46">
                  <c:v>50</c:v>
                </c:pt>
                <c:pt idx="47">
                  <c:v>77</c:v>
                </c:pt>
                <c:pt idx="48">
                  <c:v>39</c:v>
                </c:pt>
                <c:pt idx="49">
                  <c:v>74</c:v>
                </c:pt>
                <c:pt idx="50">
                  <c:v>71</c:v>
                </c:pt>
                <c:pt idx="51">
                  <c:v>55</c:v>
                </c:pt>
                <c:pt idx="52">
                  <c:v>56</c:v>
                </c:pt>
                <c:pt idx="53">
                  <c:v>45</c:v>
                </c:pt>
                <c:pt idx="54">
                  <c:v>63</c:v>
                </c:pt>
                <c:pt idx="55">
                  <c:v>54</c:v>
                </c:pt>
                <c:pt idx="56">
                  <c:v>42</c:v>
                </c:pt>
                <c:pt idx="57">
                  <c:v>47</c:v>
                </c:pt>
                <c:pt idx="58">
                  <c:v>46</c:v>
                </c:pt>
                <c:pt idx="59">
                  <c:v>77</c:v>
                </c:pt>
                <c:pt idx="60">
                  <c:v>42</c:v>
                </c:pt>
                <c:pt idx="61">
                  <c:v>64</c:v>
                </c:pt>
                <c:pt idx="62">
                  <c:v>60</c:v>
                </c:pt>
                <c:pt idx="63">
                  <c:v>58</c:v>
                </c:pt>
                <c:pt idx="64">
                  <c:v>60</c:v>
                </c:pt>
                <c:pt idx="65">
                  <c:v>34</c:v>
                </c:pt>
                <c:pt idx="66">
                  <c:v>38</c:v>
                </c:pt>
                <c:pt idx="67">
                  <c:v>27</c:v>
                </c:pt>
                <c:pt idx="68">
                  <c:v>42</c:v>
                </c:pt>
                <c:pt idx="69">
                  <c:v>47</c:v>
                </c:pt>
                <c:pt idx="70">
                  <c:v>35</c:v>
                </c:pt>
                <c:pt idx="71">
                  <c:v>40</c:v>
                </c:pt>
                <c:pt idx="72">
                  <c:v>43</c:v>
                </c:pt>
                <c:pt idx="73">
                  <c:v>33</c:v>
                </c:pt>
                <c:pt idx="74">
                  <c:v>21</c:v>
                </c:pt>
                <c:pt idx="75">
                  <c:v>23</c:v>
                </c:pt>
                <c:pt idx="76">
                  <c:v>30</c:v>
                </c:pt>
                <c:pt idx="77">
                  <c:v>35</c:v>
                </c:pt>
                <c:pt idx="78">
                  <c:v>27</c:v>
                </c:pt>
                <c:pt idx="79">
                  <c:v>62</c:v>
                </c:pt>
                <c:pt idx="80">
                  <c:v>45</c:v>
                </c:pt>
                <c:pt idx="81">
                  <c:v>25</c:v>
                </c:pt>
                <c:pt idx="82">
                  <c:v>50</c:v>
                </c:pt>
                <c:pt idx="83">
                  <c:v>56</c:v>
                </c:pt>
                <c:pt idx="84">
                  <c:v>39</c:v>
                </c:pt>
                <c:pt idx="85">
                  <c:v>33</c:v>
                </c:pt>
                <c:pt idx="86">
                  <c:v>27</c:v>
                </c:pt>
                <c:pt idx="87">
                  <c:v>22</c:v>
                </c:pt>
                <c:pt idx="88">
                  <c:v>34</c:v>
                </c:pt>
                <c:pt idx="89">
                  <c:v>37</c:v>
                </c:pt>
                <c:pt idx="90">
                  <c:v>29</c:v>
                </c:pt>
                <c:pt idx="91">
                  <c:v>34</c:v>
                </c:pt>
                <c:pt idx="92">
                  <c:v>26</c:v>
                </c:pt>
                <c:pt idx="93">
                  <c:v>36</c:v>
                </c:pt>
                <c:pt idx="94">
                  <c:v>39</c:v>
                </c:pt>
                <c:pt idx="95">
                  <c:v>34</c:v>
                </c:pt>
                <c:pt idx="96">
                  <c:v>43</c:v>
                </c:pt>
                <c:pt idx="97">
                  <c:v>37</c:v>
                </c:pt>
                <c:pt idx="98">
                  <c:v>38</c:v>
                </c:pt>
                <c:pt idx="99">
                  <c:v>45</c:v>
                </c:pt>
                <c:pt idx="100">
                  <c:v>36</c:v>
                </c:pt>
                <c:pt idx="101">
                  <c:v>36</c:v>
                </c:pt>
                <c:pt idx="102">
                  <c:v>23</c:v>
                </c:pt>
                <c:pt idx="103">
                  <c:v>37</c:v>
                </c:pt>
                <c:pt idx="104">
                  <c:v>82</c:v>
                </c:pt>
                <c:pt idx="105">
                  <c:v>47</c:v>
                </c:pt>
                <c:pt idx="106">
                  <c:v>38</c:v>
                </c:pt>
                <c:pt idx="107">
                  <c:v>39</c:v>
                </c:pt>
                <c:pt idx="108">
                  <c:v>57</c:v>
                </c:pt>
                <c:pt idx="109">
                  <c:v>23</c:v>
                </c:pt>
                <c:pt idx="110">
                  <c:v>38</c:v>
                </c:pt>
                <c:pt idx="111">
                  <c:v>23</c:v>
                </c:pt>
                <c:pt idx="112">
                  <c:v>44</c:v>
                </c:pt>
                <c:pt idx="113">
                  <c:v>36</c:v>
                </c:pt>
                <c:pt idx="114">
                  <c:v>35</c:v>
                </c:pt>
                <c:pt idx="115">
                  <c:v>28</c:v>
                </c:pt>
                <c:pt idx="116">
                  <c:v>31</c:v>
                </c:pt>
                <c:pt idx="117">
                  <c:v>46</c:v>
                </c:pt>
                <c:pt idx="118">
                  <c:v>53</c:v>
                </c:pt>
                <c:pt idx="119">
                  <c:v>33</c:v>
                </c:pt>
                <c:pt idx="120">
                  <c:v>38</c:v>
                </c:pt>
                <c:pt idx="121">
                  <c:v>29</c:v>
                </c:pt>
                <c:pt idx="122">
                  <c:v>35</c:v>
                </c:pt>
                <c:pt idx="123">
                  <c:v>30</c:v>
                </c:pt>
                <c:pt idx="124">
                  <c:v>36</c:v>
                </c:pt>
                <c:pt idx="125">
                  <c:v>41</c:v>
                </c:pt>
                <c:pt idx="126">
                  <c:v>47</c:v>
                </c:pt>
                <c:pt idx="127">
                  <c:v>65</c:v>
                </c:pt>
                <c:pt idx="128">
                  <c:v>48</c:v>
                </c:pt>
                <c:pt idx="129">
                  <c:v>41</c:v>
                </c:pt>
                <c:pt idx="130">
                  <c:v>33</c:v>
                </c:pt>
                <c:pt idx="131">
                  <c:v>43</c:v>
                </c:pt>
                <c:pt idx="132">
                  <c:v>64</c:v>
                </c:pt>
                <c:pt idx="133">
                  <c:v>32</c:v>
                </c:pt>
                <c:pt idx="134">
                  <c:v>42</c:v>
                </c:pt>
                <c:pt idx="135">
                  <c:v>29</c:v>
                </c:pt>
                <c:pt idx="136">
                  <c:v>41</c:v>
                </c:pt>
                <c:pt idx="137">
                  <c:v>38</c:v>
                </c:pt>
                <c:pt idx="138">
                  <c:v>68</c:v>
                </c:pt>
                <c:pt idx="139">
                  <c:v>72</c:v>
                </c:pt>
                <c:pt idx="140">
                  <c:v>48</c:v>
                </c:pt>
                <c:pt idx="141">
                  <c:v>85</c:v>
                </c:pt>
                <c:pt idx="142">
                  <c:v>73</c:v>
                </c:pt>
                <c:pt idx="143">
                  <c:v>47</c:v>
                </c:pt>
                <c:pt idx="144">
                  <c:v>43</c:v>
                </c:pt>
                <c:pt idx="145">
                  <c:v>39</c:v>
                </c:pt>
                <c:pt idx="146">
                  <c:v>48</c:v>
                </c:pt>
                <c:pt idx="147">
                  <c:v>63</c:v>
                </c:pt>
                <c:pt idx="148">
                  <c:v>62</c:v>
                </c:pt>
                <c:pt idx="149">
                  <c:v>55</c:v>
                </c:pt>
                <c:pt idx="150">
                  <c:v>35</c:v>
                </c:pt>
                <c:pt idx="151">
                  <c:v>40</c:v>
                </c:pt>
                <c:pt idx="152">
                  <c:v>48</c:v>
                </c:pt>
                <c:pt idx="153">
                  <c:v>46</c:v>
                </c:pt>
                <c:pt idx="154">
                  <c:v>61</c:v>
                </c:pt>
                <c:pt idx="155">
                  <c:v>37</c:v>
                </c:pt>
                <c:pt idx="156">
                  <c:v>52</c:v>
                </c:pt>
                <c:pt idx="157">
                  <c:v>64</c:v>
                </c:pt>
                <c:pt idx="158">
                  <c:v>62</c:v>
                </c:pt>
                <c:pt idx="159">
                  <c:v>75</c:v>
                </c:pt>
                <c:pt idx="160">
                  <c:v>51</c:v>
                </c:pt>
                <c:pt idx="161">
                  <c:v>57</c:v>
                </c:pt>
                <c:pt idx="162">
                  <c:v>70</c:v>
                </c:pt>
                <c:pt idx="163">
                  <c:v>50</c:v>
                </c:pt>
                <c:pt idx="164">
                  <c:v>35</c:v>
                </c:pt>
                <c:pt idx="165">
                  <c:v>30</c:v>
                </c:pt>
                <c:pt idx="166">
                  <c:v>53</c:v>
                </c:pt>
                <c:pt idx="167">
                  <c:v>57</c:v>
                </c:pt>
                <c:pt idx="168">
                  <c:v>53</c:v>
                </c:pt>
                <c:pt idx="169">
                  <c:v>45</c:v>
                </c:pt>
                <c:pt idx="170">
                  <c:v>45</c:v>
                </c:pt>
                <c:pt idx="171">
                  <c:v>40</c:v>
                </c:pt>
                <c:pt idx="172">
                  <c:v>42</c:v>
                </c:pt>
                <c:pt idx="173">
                  <c:v>52</c:v>
                </c:pt>
                <c:pt idx="174">
                  <c:v>40</c:v>
                </c:pt>
                <c:pt idx="175">
                  <c:v>46</c:v>
                </c:pt>
                <c:pt idx="176">
                  <c:v>48</c:v>
                </c:pt>
                <c:pt idx="177">
                  <c:v>39</c:v>
                </c:pt>
                <c:pt idx="178">
                  <c:v>35</c:v>
                </c:pt>
                <c:pt idx="179">
                  <c:v>37</c:v>
                </c:pt>
                <c:pt idx="180">
                  <c:v>39</c:v>
                </c:pt>
                <c:pt idx="181">
                  <c:v>24</c:v>
                </c:pt>
                <c:pt idx="182">
                  <c:v>41</c:v>
                </c:pt>
                <c:pt idx="183">
                  <c:v>46</c:v>
                </c:pt>
                <c:pt idx="184">
                  <c:v>42</c:v>
                </c:pt>
                <c:pt idx="185">
                  <c:v>68</c:v>
                </c:pt>
                <c:pt idx="186">
                  <c:v>74</c:v>
                </c:pt>
                <c:pt idx="187">
                  <c:v>66</c:v>
                </c:pt>
                <c:pt idx="188">
                  <c:v>45</c:v>
                </c:pt>
                <c:pt idx="189">
                  <c:v>46</c:v>
                </c:pt>
                <c:pt idx="190">
                  <c:v>30</c:v>
                </c:pt>
                <c:pt idx="191">
                  <c:v>35</c:v>
                </c:pt>
                <c:pt idx="192">
                  <c:v>48</c:v>
                </c:pt>
                <c:pt idx="193">
                  <c:v>42</c:v>
                </c:pt>
                <c:pt idx="194">
                  <c:v>59</c:v>
                </c:pt>
                <c:pt idx="195">
                  <c:v>28</c:v>
                </c:pt>
                <c:pt idx="196">
                  <c:v>43</c:v>
                </c:pt>
                <c:pt idx="197">
                  <c:v>39</c:v>
                </c:pt>
                <c:pt idx="198">
                  <c:v>39</c:v>
                </c:pt>
                <c:pt idx="199">
                  <c:v>43</c:v>
                </c:pt>
                <c:pt idx="200">
                  <c:v>48</c:v>
                </c:pt>
                <c:pt idx="201">
                  <c:v>22</c:v>
                </c:pt>
                <c:pt idx="202">
                  <c:v>51</c:v>
                </c:pt>
                <c:pt idx="203">
                  <c:v>82</c:v>
                </c:pt>
                <c:pt idx="204">
                  <c:v>109</c:v>
                </c:pt>
                <c:pt idx="205">
                  <c:v>65</c:v>
                </c:pt>
                <c:pt idx="206">
                  <c:v>34</c:v>
                </c:pt>
                <c:pt idx="207">
                  <c:v>25</c:v>
                </c:pt>
                <c:pt idx="208">
                  <c:v>30</c:v>
                </c:pt>
                <c:pt idx="209">
                  <c:v>31</c:v>
                </c:pt>
                <c:pt idx="210">
                  <c:v>28</c:v>
                </c:pt>
                <c:pt idx="211">
                  <c:v>20</c:v>
                </c:pt>
                <c:pt idx="212">
                  <c:v>145</c:v>
                </c:pt>
                <c:pt idx="213">
                  <c:v>100</c:v>
                </c:pt>
                <c:pt idx="214">
                  <c:v>480</c:v>
                </c:pt>
                <c:pt idx="215">
                  <c:v>272</c:v>
                </c:pt>
                <c:pt idx="216">
                  <c:v>155</c:v>
                </c:pt>
                <c:pt idx="217">
                  <c:v>155</c:v>
                </c:pt>
                <c:pt idx="218">
                  <c:v>96</c:v>
                </c:pt>
                <c:pt idx="219">
                  <c:v>141</c:v>
                </c:pt>
                <c:pt idx="220">
                  <c:v>124</c:v>
                </c:pt>
                <c:pt idx="221">
                  <c:v>115</c:v>
                </c:pt>
                <c:pt idx="222">
                  <c:v>34</c:v>
                </c:pt>
                <c:pt idx="223">
                  <c:v>115</c:v>
                </c:pt>
                <c:pt idx="224">
                  <c:v>80</c:v>
                </c:pt>
                <c:pt idx="225">
                  <c:v>87</c:v>
                </c:pt>
                <c:pt idx="226">
                  <c:v>59</c:v>
                </c:pt>
                <c:pt idx="227">
                  <c:v>105</c:v>
                </c:pt>
                <c:pt idx="228">
                  <c:v>69</c:v>
                </c:pt>
                <c:pt idx="229">
                  <c:v>75</c:v>
                </c:pt>
                <c:pt idx="230">
                  <c:v>99</c:v>
                </c:pt>
                <c:pt idx="231">
                  <c:v>79</c:v>
                </c:pt>
                <c:pt idx="232">
                  <c:v>61</c:v>
                </c:pt>
                <c:pt idx="233">
                  <c:v>51</c:v>
                </c:pt>
                <c:pt idx="234">
                  <c:v>87</c:v>
                </c:pt>
                <c:pt idx="235">
                  <c:v>93</c:v>
                </c:pt>
                <c:pt idx="236">
                  <c:v>69</c:v>
                </c:pt>
                <c:pt idx="237">
                  <c:v>87</c:v>
                </c:pt>
                <c:pt idx="238">
                  <c:v>79</c:v>
                </c:pt>
                <c:pt idx="239">
                  <c:v>66</c:v>
                </c:pt>
                <c:pt idx="240">
                  <c:v>46</c:v>
                </c:pt>
                <c:pt idx="241">
                  <c:v>63</c:v>
                </c:pt>
                <c:pt idx="242">
                  <c:v>45</c:v>
                </c:pt>
                <c:pt idx="243">
                  <c:v>80</c:v>
                </c:pt>
                <c:pt idx="244">
                  <c:v>76</c:v>
                </c:pt>
                <c:pt idx="245">
                  <c:v>90</c:v>
                </c:pt>
                <c:pt idx="246">
                  <c:v>65</c:v>
                </c:pt>
                <c:pt idx="247">
                  <c:v>55</c:v>
                </c:pt>
                <c:pt idx="248">
                  <c:v>59</c:v>
                </c:pt>
                <c:pt idx="249">
                  <c:v>64</c:v>
                </c:pt>
                <c:pt idx="250">
                  <c:v>32</c:v>
                </c:pt>
                <c:pt idx="251">
                  <c:v>52</c:v>
                </c:pt>
                <c:pt idx="252">
                  <c:v>68</c:v>
                </c:pt>
                <c:pt idx="253">
                  <c:v>20</c:v>
                </c:pt>
                <c:pt idx="254">
                  <c:v>19</c:v>
                </c:pt>
                <c:pt idx="255">
                  <c:v>238</c:v>
                </c:pt>
                <c:pt idx="256">
                  <c:v>69</c:v>
                </c:pt>
                <c:pt idx="257">
                  <c:v>61</c:v>
                </c:pt>
                <c:pt idx="258">
                  <c:v>62</c:v>
                </c:pt>
                <c:pt idx="259">
                  <c:v>62</c:v>
                </c:pt>
                <c:pt idx="260">
                  <c:v>72</c:v>
                </c:pt>
                <c:pt idx="261">
                  <c:v>61</c:v>
                </c:pt>
                <c:pt idx="262">
                  <c:v>82</c:v>
                </c:pt>
                <c:pt idx="263">
                  <c:v>135</c:v>
                </c:pt>
                <c:pt idx="264">
                  <c:v>76</c:v>
                </c:pt>
                <c:pt idx="265">
                  <c:v>104</c:v>
                </c:pt>
                <c:pt idx="266">
                  <c:v>65</c:v>
                </c:pt>
                <c:pt idx="267">
                  <c:v>60</c:v>
                </c:pt>
                <c:pt idx="268">
                  <c:v>62</c:v>
                </c:pt>
                <c:pt idx="269">
                  <c:v>43</c:v>
                </c:pt>
                <c:pt idx="270">
                  <c:v>39</c:v>
                </c:pt>
                <c:pt idx="271">
                  <c:v>81</c:v>
                </c:pt>
                <c:pt idx="272">
                  <c:v>65</c:v>
                </c:pt>
                <c:pt idx="273">
                  <c:v>63</c:v>
                </c:pt>
                <c:pt idx="274">
                  <c:v>94</c:v>
                </c:pt>
                <c:pt idx="275">
                  <c:v>54</c:v>
                </c:pt>
                <c:pt idx="276">
                  <c:v>33</c:v>
                </c:pt>
                <c:pt idx="277">
                  <c:v>53</c:v>
                </c:pt>
                <c:pt idx="278">
                  <c:v>37</c:v>
                </c:pt>
                <c:pt idx="279">
                  <c:v>57</c:v>
                </c:pt>
                <c:pt idx="280">
                  <c:v>45</c:v>
                </c:pt>
                <c:pt idx="281">
                  <c:v>34</c:v>
                </c:pt>
                <c:pt idx="282">
                  <c:v>33</c:v>
                </c:pt>
                <c:pt idx="283">
                  <c:v>39</c:v>
                </c:pt>
                <c:pt idx="284">
                  <c:v>44</c:v>
                </c:pt>
                <c:pt idx="285">
                  <c:v>23</c:v>
                </c:pt>
                <c:pt idx="286">
                  <c:v>41</c:v>
                </c:pt>
                <c:pt idx="287">
                  <c:v>26</c:v>
                </c:pt>
                <c:pt idx="288">
                  <c:v>24</c:v>
                </c:pt>
                <c:pt idx="289">
                  <c:v>77</c:v>
                </c:pt>
                <c:pt idx="290">
                  <c:v>46</c:v>
                </c:pt>
                <c:pt idx="291">
                  <c:v>91</c:v>
                </c:pt>
                <c:pt idx="292">
                  <c:v>64</c:v>
                </c:pt>
                <c:pt idx="293">
                  <c:v>51</c:v>
                </c:pt>
                <c:pt idx="294">
                  <c:v>45</c:v>
                </c:pt>
                <c:pt idx="295">
                  <c:v>65</c:v>
                </c:pt>
                <c:pt idx="296">
                  <c:v>61</c:v>
                </c:pt>
                <c:pt idx="297">
                  <c:v>39</c:v>
                </c:pt>
                <c:pt idx="298">
                  <c:v>49</c:v>
                </c:pt>
                <c:pt idx="299">
                  <c:v>30</c:v>
                </c:pt>
                <c:pt idx="300">
                  <c:v>69</c:v>
                </c:pt>
                <c:pt idx="301">
                  <c:v>65</c:v>
                </c:pt>
                <c:pt idx="302">
                  <c:v>43</c:v>
                </c:pt>
                <c:pt idx="303">
                  <c:v>47</c:v>
                </c:pt>
                <c:pt idx="304">
                  <c:v>60</c:v>
                </c:pt>
                <c:pt idx="305">
                  <c:v>67</c:v>
                </c:pt>
                <c:pt idx="306">
                  <c:v>61</c:v>
                </c:pt>
                <c:pt idx="307">
                  <c:v>24</c:v>
                </c:pt>
                <c:pt idx="308">
                  <c:v>54</c:v>
                </c:pt>
                <c:pt idx="309">
                  <c:v>24</c:v>
                </c:pt>
                <c:pt idx="310">
                  <c:v>59</c:v>
                </c:pt>
                <c:pt idx="311">
                  <c:v>50</c:v>
                </c:pt>
                <c:pt idx="312">
                  <c:v>104</c:v>
                </c:pt>
                <c:pt idx="313">
                  <c:v>47</c:v>
                </c:pt>
                <c:pt idx="314">
                  <c:v>59</c:v>
                </c:pt>
                <c:pt idx="315">
                  <c:v>55</c:v>
                </c:pt>
                <c:pt idx="316">
                  <c:v>52</c:v>
                </c:pt>
                <c:pt idx="317">
                  <c:v>62</c:v>
                </c:pt>
                <c:pt idx="318">
                  <c:v>68</c:v>
                </c:pt>
                <c:pt idx="319">
                  <c:v>50</c:v>
                </c:pt>
                <c:pt idx="320">
                  <c:v>51</c:v>
                </c:pt>
                <c:pt idx="321">
                  <c:v>60</c:v>
                </c:pt>
                <c:pt idx="322">
                  <c:v>67</c:v>
                </c:pt>
                <c:pt idx="323">
                  <c:v>76</c:v>
                </c:pt>
                <c:pt idx="324">
                  <c:v>82</c:v>
                </c:pt>
                <c:pt idx="325">
                  <c:v>90</c:v>
                </c:pt>
                <c:pt idx="326">
                  <c:v>73</c:v>
                </c:pt>
                <c:pt idx="327">
                  <c:v>57</c:v>
                </c:pt>
                <c:pt idx="328">
                  <c:v>51</c:v>
                </c:pt>
                <c:pt idx="329">
                  <c:v>73</c:v>
                </c:pt>
                <c:pt idx="330">
                  <c:v>71</c:v>
                </c:pt>
                <c:pt idx="331">
                  <c:v>70</c:v>
                </c:pt>
                <c:pt idx="332">
                  <c:v>40</c:v>
                </c:pt>
                <c:pt idx="333">
                  <c:v>38</c:v>
                </c:pt>
                <c:pt idx="334">
                  <c:v>47</c:v>
                </c:pt>
                <c:pt idx="335">
                  <c:v>43</c:v>
                </c:pt>
                <c:pt idx="336">
                  <c:v>54</c:v>
                </c:pt>
                <c:pt idx="337">
                  <c:v>43</c:v>
                </c:pt>
                <c:pt idx="338">
                  <c:v>53</c:v>
                </c:pt>
                <c:pt idx="339">
                  <c:v>37</c:v>
                </c:pt>
                <c:pt idx="340">
                  <c:v>52</c:v>
                </c:pt>
                <c:pt idx="341">
                  <c:v>41</c:v>
                </c:pt>
                <c:pt idx="342">
                  <c:v>50</c:v>
                </c:pt>
                <c:pt idx="343">
                  <c:v>59</c:v>
                </c:pt>
                <c:pt idx="344">
                  <c:v>58</c:v>
                </c:pt>
                <c:pt idx="345">
                  <c:v>53</c:v>
                </c:pt>
                <c:pt idx="346">
                  <c:v>65</c:v>
                </c:pt>
                <c:pt idx="347">
                  <c:v>54</c:v>
                </c:pt>
                <c:pt idx="348">
                  <c:v>74</c:v>
                </c:pt>
                <c:pt idx="349">
                  <c:v>44</c:v>
                </c:pt>
                <c:pt idx="350">
                  <c:v>66</c:v>
                </c:pt>
                <c:pt idx="351">
                  <c:v>43</c:v>
                </c:pt>
                <c:pt idx="352">
                  <c:v>57</c:v>
                </c:pt>
                <c:pt idx="353">
                  <c:v>49</c:v>
                </c:pt>
                <c:pt idx="354">
                  <c:v>35</c:v>
                </c:pt>
                <c:pt idx="355">
                  <c:v>48</c:v>
                </c:pt>
                <c:pt idx="356">
                  <c:v>47</c:v>
                </c:pt>
                <c:pt idx="357">
                  <c:v>32</c:v>
                </c:pt>
                <c:pt idx="358">
                  <c:v>76</c:v>
                </c:pt>
                <c:pt idx="359">
                  <c:v>57</c:v>
                </c:pt>
                <c:pt idx="360">
                  <c:v>98</c:v>
                </c:pt>
                <c:pt idx="361">
                  <c:v>66</c:v>
                </c:pt>
                <c:pt idx="362">
                  <c:v>151</c:v>
                </c:pt>
                <c:pt idx="363">
                  <c:v>138</c:v>
                </c:pt>
                <c:pt idx="364">
                  <c:v>713</c:v>
                </c:pt>
                <c:pt idx="365">
                  <c:v>791</c:v>
                </c:pt>
                <c:pt idx="366">
                  <c:v>51</c:v>
                </c:pt>
                <c:pt idx="367">
                  <c:v>82</c:v>
                </c:pt>
                <c:pt idx="368">
                  <c:v>51</c:v>
                </c:pt>
                <c:pt idx="369">
                  <c:v>121</c:v>
                </c:pt>
                <c:pt idx="370">
                  <c:v>72</c:v>
                </c:pt>
                <c:pt idx="371">
                  <c:v>106</c:v>
                </c:pt>
                <c:pt idx="372">
                  <c:v>68</c:v>
                </c:pt>
                <c:pt idx="373">
                  <c:v>138</c:v>
                </c:pt>
                <c:pt idx="374">
                  <c:v>190</c:v>
                </c:pt>
                <c:pt idx="375">
                  <c:v>132</c:v>
                </c:pt>
                <c:pt idx="376">
                  <c:v>127</c:v>
                </c:pt>
                <c:pt idx="377">
                  <c:v>133</c:v>
                </c:pt>
                <c:pt idx="378">
                  <c:v>191</c:v>
                </c:pt>
                <c:pt idx="379">
                  <c:v>294</c:v>
                </c:pt>
                <c:pt idx="380">
                  <c:v>152</c:v>
                </c:pt>
                <c:pt idx="381">
                  <c:v>194</c:v>
                </c:pt>
                <c:pt idx="382">
                  <c:v>212</c:v>
                </c:pt>
                <c:pt idx="383">
                  <c:v>124</c:v>
                </c:pt>
                <c:pt idx="384">
                  <c:v>186</c:v>
                </c:pt>
                <c:pt idx="385">
                  <c:v>218</c:v>
                </c:pt>
                <c:pt idx="386">
                  <c:v>181</c:v>
                </c:pt>
                <c:pt idx="387">
                  <c:v>233</c:v>
                </c:pt>
                <c:pt idx="388">
                  <c:v>155</c:v>
                </c:pt>
                <c:pt idx="389">
                  <c:v>213</c:v>
                </c:pt>
                <c:pt idx="390">
                  <c:v>113</c:v>
                </c:pt>
                <c:pt idx="391">
                  <c:v>89</c:v>
                </c:pt>
                <c:pt idx="392">
                  <c:v>58</c:v>
                </c:pt>
                <c:pt idx="393">
                  <c:v>81</c:v>
                </c:pt>
                <c:pt idx="394">
                  <c:v>90</c:v>
                </c:pt>
                <c:pt idx="395">
                  <c:v>103</c:v>
                </c:pt>
                <c:pt idx="396">
                  <c:v>178</c:v>
                </c:pt>
                <c:pt idx="397">
                  <c:v>125</c:v>
                </c:pt>
                <c:pt idx="398">
                  <c:v>78</c:v>
                </c:pt>
                <c:pt idx="399">
                  <c:v>170</c:v>
                </c:pt>
                <c:pt idx="400">
                  <c:v>106</c:v>
                </c:pt>
                <c:pt idx="401">
                  <c:v>108</c:v>
                </c:pt>
                <c:pt idx="402">
                  <c:v>113</c:v>
                </c:pt>
                <c:pt idx="403">
                  <c:v>144</c:v>
                </c:pt>
                <c:pt idx="404">
                  <c:v>185</c:v>
                </c:pt>
                <c:pt idx="405">
                  <c:v>134</c:v>
                </c:pt>
                <c:pt idx="406">
                  <c:v>97</c:v>
                </c:pt>
                <c:pt idx="407">
                  <c:v>142</c:v>
                </c:pt>
                <c:pt idx="408">
                  <c:v>134</c:v>
                </c:pt>
                <c:pt idx="409">
                  <c:v>118</c:v>
                </c:pt>
                <c:pt idx="410">
                  <c:v>119</c:v>
                </c:pt>
                <c:pt idx="411">
                  <c:v>156</c:v>
                </c:pt>
                <c:pt idx="412">
                  <c:v>155</c:v>
                </c:pt>
                <c:pt idx="413">
                  <c:v>100</c:v>
                </c:pt>
                <c:pt idx="414">
                  <c:v>115</c:v>
                </c:pt>
                <c:pt idx="415">
                  <c:v>31</c:v>
                </c:pt>
                <c:pt idx="416">
                  <c:v>108</c:v>
                </c:pt>
                <c:pt idx="417">
                  <c:v>81</c:v>
                </c:pt>
                <c:pt idx="418">
                  <c:v>98</c:v>
                </c:pt>
                <c:pt idx="419">
                  <c:v>33</c:v>
                </c:pt>
                <c:pt idx="420">
                  <c:v>83</c:v>
                </c:pt>
                <c:pt idx="421">
                  <c:v>46</c:v>
                </c:pt>
                <c:pt idx="422">
                  <c:v>107</c:v>
                </c:pt>
                <c:pt idx="423">
                  <c:v>79</c:v>
                </c:pt>
                <c:pt idx="424">
                  <c:v>54</c:v>
                </c:pt>
                <c:pt idx="425">
                  <c:v>57</c:v>
                </c:pt>
                <c:pt idx="426">
                  <c:v>55</c:v>
                </c:pt>
                <c:pt idx="427">
                  <c:v>68</c:v>
                </c:pt>
                <c:pt idx="428">
                  <c:v>104</c:v>
                </c:pt>
                <c:pt idx="429">
                  <c:v>74</c:v>
                </c:pt>
                <c:pt idx="430">
                  <c:v>44</c:v>
                </c:pt>
                <c:pt idx="431">
                  <c:v>52</c:v>
                </c:pt>
                <c:pt idx="432">
                  <c:v>157</c:v>
                </c:pt>
                <c:pt idx="433">
                  <c:v>81</c:v>
                </c:pt>
                <c:pt idx="434">
                  <c:v>84</c:v>
                </c:pt>
                <c:pt idx="435">
                  <c:v>65</c:v>
                </c:pt>
                <c:pt idx="436">
                  <c:v>80</c:v>
                </c:pt>
                <c:pt idx="437">
                  <c:v>52</c:v>
                </c:pt>
                <c:pt idx="438">
                  <c:v>48</c:v>
                </c:pt>
                <c:pt idx="439">
                  <c:v>46</c:v>
                </c:pt>
                <c:pt idx="440">
                  <c:v>74</c:v>
                </c:pt>
                <c:pt idx="441">
                  <c:v>83</c:v>
                </c:pt>
                <c:pt idx="442">
                  <c:v>101</c:v>
                </c:pt>
                <c:pt idx="443">
                  <c:v>93</c:v>
                </c:pt>
                <c:pt idx="444">
                  <c:v>140</c:v>
                </c:pt>
                <c:pt idx="445">
                  <c:v>84</c:v>
                </c:pt>
                <c:pt idx="446">
                  <c:v>95</c:v>
                </c:pt>
                <c:pt idx="447">
                  <c:v>74</c:v>
                </c:pt>
                <c:pt idx="448">
                  <c:v>87</c:v>
                </c:pt>
                <c:pt idx="449">
                  <c:v>114</c:v>
                </c:pt>
                <c:pt idx="450">
                  <c:v>53</c:v>
                </c:pt>
                <c:pt idx="451">
                  <c:v>120</c:v>
                </c:pt>
                <c:pt idx="452">
                  <c:v>107</c:v>
                </c:pt>
                <c:pt idx="453">
                  <c:v>119</c:v>
                </c:pt>
                <c:pt idx="454">
                  <c:v>91</c:v>
                </c:pt>
                <c:pt idx="455">
                  <c:v>65</c:v>
                </c:pt>
                <c:pt idx="456">
                  <c:v>108</c:v>
                </c:pt>
                <c:pt idx="457">
                  <c:v>90</c:v>
                </c:pt>
                <c:pt idx="458">
                  <c:v>56</c:v>
                </c:pt>
                <c:pt idx="459">
                  <c:v>70</c:v>
                </c:pt>
                <c:pt idx="460">
                  <c:v>88</c:v>
                </c:pt>
                <c:pt idx="461">
                  <c:v>70</c:v>
                </c:pt>
                <c:pt idx="462">
                  <c:v>118</c:v>
                </c:pt>
                <c:pt idx="463">
                  <c:v>62</c:v>
                </c:pt>
                <c:pt idx="464">
                  <c:v>93</c:v>
                </c:pt>
                <c:pt idx="465">
                  <c:v>66</c:v>
                </c:pt>
                <c:pt idx="466">
                  <c:v>94</c:v>
                </c:pt>
                <c:pt idx="467">
                  <c:v>57</c:v>
                </c:pt>
                <c:pt idx="468">
                  <c:v>96</c:v>
                </c:pt>
                <c:pt idx="469">
                  <c:v>84</c:v>
                </c:pt>
                <c:pt idx="470">
                  <c:v>78</c:v>
                </c:pt>
                <c:pt idx="471">
                  <c:v>56</c:v>
                </c:pt>
                <c:pt idx="472">
                  <c:v>73</c:v>
                </c:pt>
                <c:pt idx="473">
                  <c:v>56</c:v>
                </c:pt>
                <c:pt idx="474">
                  <c:v>54</c:v>
                </c:pt>
                <c:pt idx="475">
                  <c:v>57</c:v>
                </c:pt>
                <c:pt idx="476">
                  <c:v>90</c:v>
                </c:pt>
                <c:pt idx="477">
                  <c:v>55</c:v>
                </c:pt>
                <c:pt idx="478">
                  <c:v>35</c:v>
                </c:pt>
                <c:pt idx="479">
                  <c:v>41</c:v>
                </c:pt>
                <c:pt idx="480">
                  <c:v>65</c:v>
                </c:pt>
                <c:pt idx="481">
                  <c:v>48</c:v>
                </c:pt>
                <c:pt idx="482">
                  <c:v>59</c:v>
                </c:pt>
                <c:pt idx="483">
                  <c:v>25</c:v>
                </c:pt>
                <c:pt idx="484">
                  <c:v>127</c:v>
                </c:pt>
                <c:pt idx="485">
                  <c:v>128</c:v>
                </c:pt>
                <c:pt idx="486">
                  <c:v>174</c:v>
                </c:pt>
                <c:pt idx="487">
                  <c:v>104</c:v>
                </c:pt>
                <c:pt idx="488">
                  <c:v>102</c:v>
                </c:pt>
                <c:pt idx="489">
                  <c:v>57</c:v>
                </c:pt>
                <c:pt idx="490">
                  <c:v>45</c:v>
                </c:pt>
                <c:pt idx="491">
                  <c:v>86</c:v>
                </c:pt>
                <c:pt idx="492">
                  <c:v>59</c:v>
                </c:pt>
                <c:pt idx="493">
                  <c:v>100</c:v>
                </c:pt>
                <c:pt idx="494">
                  <c:v>80</c:v>
                </c:pt>
                <c:pt idx="495">
                  <c:v>61</c:v>
                </c:pt>
                <c:pt idx="496">
                  <c:v>52</c:v>
                </c:pt>
                <c:pt idx="497">
                  <c:v>65</c:v>
                </c:pt>
                <c:pt idx="498">
                  <c:v>90</c:v>
                </c:pt>
                <c:pt idx="499">
                  <c:v>76</c:v>
                </c:pt>
                <c:pt idx="500">
                  <c:v>68</c:v>
                </c:pt>
                <c:pt idx="501">
                  <c:v>121</c:v>
                </c:pt>
                <c:pt idx="502">
                  <c:v>101</c:v>
                </c:pt>
                <c:pt idx="503">
                  <c:v>84</c:v>
                </c:pt>
                <c:pt idx="504">
                  <c:v>50</c:v>
                </c:pt>
                <c:pt idx="505">
                  <c:v>51</c:v>
                </c:pt>
                <c:pt idx="506">
                  <c:v>85</c:v>
                </c:pt>
                <c:pt idx="507">
                  <c:v>95</c:v>
                </c:pt>
                <c:pt idx="508">
                  <c:v>75</c:v>
                </c:pt>
                <c:pt idx="509">
                  <c:v>120</c:v>
                </c:pt>
                <c:pt idx="510">
                  <c:v>53</c:v>
                </c:pt>
                <c:pt idx="511">
                  <c:v>82</c:v>
                </c:pt>
                <c:pt idx="512">
                  <c:v>86</c:v>
                </c:pt>
                <c:pt idx="513">
                  <c:v>76</c:v>
                </c:pt>
                <c:pt idx="514">
                  <c:v>65</c:v>
                </c:pt>
                <c:pt idx="515">
                  <c:v>87</c:v>
                </c:pt>
                <c:pt idx="516">
                  <c:v>61</c:v>
                </c:pt>
                <c:pt idx="517">
                  <c:v>72</c:v>
                </c:pt>
                <c:pt idx="518">
                  <c:v>74</c:v>
                </c:pt>
                <c:pt idx="519">
                  <c:v>63</c:v>
                </c:pt>
                <c:pt idx="520">
                  <c:v>73</c:v>
                </c:pt>
                <c:pt idx="521">
                  <c:v>61</c:v>
                </c:pt>
                <c:pt idx="522">
                  <c:v>49</c:v>
                </c:pt>
                <c:pt idx="523">
                  <c:v>39</c:v>
                </c:pt>
                <c:pt idx="524">
                  <c:v>53</c:v>
                </c:pt>
                <c:pt idx="525">
                  <c:v>84</c:v>
                </c:pt>
                <c:pt idx="526">
                  <c:v>85</c:v>
                </c:pt>
                <c:pt idx="527">
                  <c:v>80</c:v>
                </c:pt>
                <c:pt idx="528">
                  <c:v>72</c:v>
                </c:pt>
                <c:pt idx="529">
                  <c:v>60</c:v>
                </c:pt>
                <c:pt idx="530">
                  <c:v>92</c:v>
                </c:pt>
                <c:pt idx="531">
                  <c:v>74</c:v>
                </c:pt>
                <c:pt idx="532">
                  <c:v>63</c:v>
                </c:pt>
                <c:pt idx="533">
                  <c:v>66</c:v>
                </c:pt>
                <c:pt idx="534">
                  <c:v>42</c:v>
                </c:pt>
                <c:pt idx="535">
                  <c:v>76</c:v>
                </c:pt>
                <c:pt idx="536">
                  <c:v>75</c:v>
                </c:pt>
                <c:pt idx="537">
                  <c:v>61</c:v>
                </c:pt>
                <c:pt idx="538">
                  <c:v>69</c:v>
                </c:pt>
                <c:pt idx="539">
                  <c:v>68</c:v>
                </c:pt>
                <c:pt idx="540">
                  <c:v>72</c:v>
                </c:pt>
                <c:pt idx="541">
                  <c:v>49</c:v>
                </c:pt>
                <c:pt idx="542">
                  <c:v>67</c:v>
                </c:pt>
                <c:pt idx="543">
                  <c:v>66</c:v>
                </c:pt>
                <c:pt idx="544">
                  <c:v>52</c:v>
                </c:pt>
                <c:pt idx="545">
                  <c:v>129</c:v>
                </c:pt>
                <c:pt idx="546">
                  <c:v>112</c:v>
                </c:pt>
                <c:pt idx="547">
                  <c:v>56</c:v>
                </c:pt>
                <c:pt idx="548">
                  <c:v>79</c:v>
                </c:pt>
                <c:pt idx="549">
                  <c:v>49</c:v>
                </c:pt>
                <c:pt idx="550">
                  <c:v>62</c:v>
                </c:pt>
                <c:pt idx="551">
                  <c:v>48</c:v>
                </c:pt>
                <c:pt idx="552">
                  <c:v>55</c:v>
                </c:pt>
                <c:pt idx="553">
                  <c:v>49</c:v>
                </c:pt>
                <c:pt idx="554">
                  <c:v>49</c:v>
                </c:pt>
                <c:pt idx="555">
                  <c:v>69</c:v>
                </c:pt>
                <c:pt idx="556">
                  <c:v>68</c:v>
                </c:pt>
                <c:pt idx="557">
                  <c:v>76</c:v>
                </c:pt>
                <c:pt idx="558">
                  <c:v>73</c:v>
                </c:pt>
                <c:pt idx="559">
                  <c:v>72</c:v>
                </c:pt>
                <c:pt idx="560">
                  <c:v>84</c:v>
                </c:pt>
                <c:pt idx="561">
                  <c:v>60</c:v>
                </c:pt>
                <c:pt idx="562">
                  <c:v>100</c:v>
                </c:pt>
                <c:pt idx="563">
                  <c:v>52</c:v>
                </c:pt>
                <c:pt idx="564">
                  <c:v>103</c:v>
                </c:pt>
                <c:pt idx="565">
                  <c:v>117</c:v>
                </c:pt>
                <c:pt idx="566">
                  <c:v>104</c:v>
                </c:pt>
                <c:pt idx="567">
                  <c:v>101</c:v>
                </c:pt>
                <c:pt idx="568">
                  <c:v>56</c:v>
                </c:pt>
                <c:pt idx="569">
                  <c:v>79</c:v>
                </c:pt>
                <c:pt idx="570">
                  <c:v>91</c:v>
                </c:pt>
                <c:pt idx="571">
                  <c:v>90</c:v>
                </c:pt>
                <c:pt idx="572">
                  <c:v>46</c:v>
                </c:pt>
                <c:pt idx="573">
                  <c:v>65</c:v>
                </c:pt>
                <c:pt idx="574">
                  <c:v>75</c:v>
                </c:pt>
                <c:pt idx="575">
                  <c:v>120</c:v>
                </c:pt>
                <c:pt idx="576">
                  <c:v>52</c:v>
                </c:pt>
                <c:pt idx="577">
                  <c:v>38</c:v>
                </c:pt>
                <c:pt idx="578">
                  <c:v>39</c:v>
                </c:pt>
                <c:pt idx="579">
                  <c:v>102</c:v>
                </c:pt>
                <c:pt idx="580">
                  <c:v>85</c:v>
                </c:pt>
                <c:pt idx="581">
                  <c:v>63</c:v>
                </c:pt>
                <c:pt idx="582">
                  <c:v>63</c:v>
                </c:pt>
                <c:pt idx="583">
                  <c:v>94</c:v>
                </c:pt>
                <c:pt idx="584">
                  <c:v>73</c:v>
                </c:pt>
                <c:pt idx="585">
                  <c:v>81</c:v>
                </c:pt>
                <c:pt idx="586">
                  <c:v>88</c:v>
                </c:pt>
                <c:pt idx="587">
                  <c:v>80</c:v>
                </c:pt>
                <c:pt idx="588">
                  <c:v>64</c:v>
                </c:pt>
                <c:pt idx="589">
                  <c:v>59</c:v>
                </c:pt>
                <c:pt idx="590">
                  <c:v>73</c:v>
                </c:pt>
                <c:pt idx="591">
                  <c:v>53</c:v>
                </c:pt>
                <c:pt idx="592">
                  <c:v>88</c:v>
                </c:pt>
                <c:pt idx="593">
                  <c:v>52</c:v>
                </c:pt>
                <c:pt idx="594">
                  <c:v>58</c:v>
                </c:pt>
                <c:pt idx="595">
                  <c:v>66</c:v>
                </c:pt>
                <c:pt idx="596">
                  <c:v>63</c:v>
                </c:pt>
                <c:pt idx="597">
                  <c:v>99</c:v>
                </c:pt>
                <c:pt idx="598">
                  <c:v>69</c:v>
                </c:pt>
                <c:pt idx="599">
                  <c:v>73</c:v>
                </c:pt>
                <c:pt idx="600">
                  <c:v>45</c:v>
                </c:pt>
                <c:pt idx="601">
                  <c:v>82</c:v>
                </c:pt>
                <c:pt idx="602">
                  <c:v>55</c:v>
                </c:pt>
                <c:pt idx="603">
                  <c:v>44</c:v>
                </c:pt>
                <c:pt idx="604">
                  <c:v>95</c:v>
                </c:pt>
                <c:pt idx="605">
                  <c:v>92</c:v>
                </c:pt>
                <c:pt idx="606">
                  <c:v>72</c:v>
                </c:pt>
                <c:pt idx="607">
                  <c:v>72</c:v>
                </c:pt>
                <c:pt idx="608">
                  <c:v>71</c:v>
                </c:pt>
                <c:pt idx="609">
                  <c:v>63</c:v>
                </c:pt>
                <c:pt idx="610">
                  <c:v>71</c:v>
                </c:pt>
                <c:pt idx="611">
                  <c:v>66</c:v>
                </c:pt>
                <c:pt idx="612">
                  <c:v>61</c:v>
                </c:pt>
                <c:pt idx="613">
                  <c:v>76</c:v>
                </c:pt>
                <c:pt idx="614">
                  <c:v>90</c:v>
                </c:pt>
                <c:pt idx="615">
                  <c:v>67</c:v>
                </c:pt>
                <c:pt idx="616">
                  <c:v>82</c:v>
                </c:pt>
                <c:pt idx="617">
                  <c:v>72</c:v>
                </c:pt>
                <c:pt idx="618">
                  <c:v>63</c:v>
                </c:pt>
                <c:pt idx="619">
                  <c:v>92</c:v>
                </c:pt>
                <c:pt idx="620">
                  <c:v>82</c:v>
                </c:pt>
                <c:pt idx="621">
                  <c:v>77</c:v>
                </c:pt>
                <c:pt idx="622">
                  <c:v>104</c:v>
                </c:pt>
                <c:pt idx="623">
                  <c:v>89</c:v>
                </c:pt>
                <c:pt idx="624">
                  <c:v>100</c:v>
                </c:pt>
                <c:pt idx="625">
                  <c:v>62</c:v>
                </c:pt>
                <c:pt idx="626">
                  <c:v>64</c:v>
                </c:pt>
                <c:pt idx="627">
                  <c:v>49</c:v>
                </c:pt>
                <c:pt idx="628">
                  <c:v>33</c:v>
                </c:pt>
                <c:pt idx="629">
                  <c:v>79</c:v>
                </c:pt>
                <c:pt idx="630">
                  <c:v>95</c:v>
                </c:pt>
                <c:pt idx="631">
                  <c:v>76</c:v>
                </c:pt>
                <c:pt idx="632">
                  <c:v>63</c:v>
                </c:pt>
                <c:pt idx="633">
                  <c:v>81</c:v>
                </c:pt>
                <c:pt idx="634">
                  <c:v>76</c:v>
                </c:pt>
                <c:pt idx="635">
                  <c:v>54</c:v>
                </c:pt>
                <c:pt idx="636">
                  <c:v>54</c:v>
                </c:pt>
                <c:pt idx="637">
                  <c:v>39</c:v>
                </c:pt>
                <c:pt idx="638">
                  <c:v>80</c:v>
                </c:pt>
                <c:pt idx="639">
                  <c:v>78</c:v>
                </c:pt>
                <c:pt idx="640">
                  <c:v>54</c:v>
                </c:pt>
                <c:pt idx="641">
                  <c:v>60</c:v>
                </c:pt>
                <c:pt idx="642">
                  <c:v>38</c:v>
                </c:pt>
                <c:pt idx="643">
                  <c:v>83</c:v>
                </c:pt>
                <c:pt idx="644">
                  <c:v>65</c:v>
                </c:pt>
                <c:pt idx="645">
                  <c:v>46</c:v>
                </c:pt>
                <c:pt idx="646">
                  <c:v>57</c:v>
                </c:pt>
                <c:pt idx="647">
                  <c:v>73</c:v>
                </c:pt>
                <c:pt idx="648">
                  <c:v>82</c:v>
                </c:pt>
                <c:pt idx="649">
                  <c:v>105</c:v>
                </c:pt>
                <c:pt idx="650">
                  <c:v>68</c:v>
                </c:pt>
                <c:pt idx="651">
                  <c:v>86</c:v>
                </c:pt>
                <c:pt idx="652">
                  <c:v>93</c:v>
                </c:pt>
                <c:pt idx="653">
                  <c:v>92</c:v>
                </c:pt>
                <c:pt idx="654">
                  <c:v>87</c:v>
                </c:pt>
                <c:pt idx="655">
                  <c:v>66</c:v>
                </c:pt>
                <c:pt idx="656">
                  <c:v>63</c:v>
                </c:pt>
                <c:pt idx="657">
                  <c:v>127</c:v>
                </c:pt>
                <c:pt idx="658">
                  <c:v>143</c:v>
                </c:pt>
                <c:pt idx="659">
                  <c:v>97</c:v>
                </c:pt>
                <c:pt idx="660">
                  <c:v>111</c:v>
                </c:pt>
                <c:pt idx="661">
                  <c:v>109</c:v>
                </c:pt>
                <c:pt idx="662">
                  <c:v>201</c:v>
                </c:pt>
                <c:pt idx="663">
                  <c:v>75</c:v>
                </c:pt>
                <c:pt idx="664">
                  <c:v>110</c:v>
                </c:pt>
                <c:pt idx="665">
                  <c:v>63</c:v>
                </c:pt>
                <c:pt idx="666">
                  <c:v>67</c:v>
                </c:pt>
                <c:pt idx="667">
                  <c:v>103</c:v>
                </c:pt>
                <c:pt idx="668">
                  <c:v>62</c:v>
                </c:pt>
                <c:pt idx="669">
                  <c:v>88</c:v>
                </c:pt>
                <c:pt idx="670">
                  <c:v>92</c:v>
                </c:pt>
                <c:pt idx="671">
                  <c:v>121</c:v>
                </c:pt>
                <c:pt idx="672">
                  <c:v>77</c:v>
                </c:pt>
                <c:pt idx="673">
                  <c:v>59</c:v>
                </c:pt>
                <c:pt idx="674">
                  <c:v>84</c:v>
                </c:pt>
                <c:pt idx="675">
                  <c:v>86</c:v>
                </c:pt>
                <c:pt idx="676">
                  <c:v>57</c:v>
                </c:pt>
                <c:pt idx="677">
                  <c:v>44</c:v>
                </c:pt>
                <c:pt idx="678">
                  <c:v>83</c:v>
                </c:pt>
                <c:pt idx="679">
                  <c:v>77</c:v>
                </c:pt>
                <c:pt idx="680">
                  <c:v>56</c:v>
                </c:pt>
                <c:pt idx="681">
                  <c:v>61</c:v>
                </c:pt>
                <c:pt idx="682">
                  <c:v>96</c:v>
                </c:pt>
                <c:pt idx="683">
                  <c:v>71</c:v>
                </c:pt>
                <c:pt idx="684">
                  <c:v>60</c:v>
                </c:pt>
                <c:pt idx="685">
                  <c:v>69</c:v>
                </c:pt>
                <c:pt idx="686">
                  <c:v>46</c:v>
                </c:pt>
                <c:pt idx="687">
                  <c:v>109</c:v>
                </c:pt>
                <c:pt idx="688">
                  <c:v>101</c:v>
                </c:pt>
                <c:pt idx="689">
                  <c:v>78</c:v>
                </c:pt>
                <c:pt idx="690">
                  <c:v>91</c:v>
                </c:pt>
                <c:pt idx="691">
                  <c:v>94</c:v>
                </c:pt>
                <c:pt idx="692">
                  <c:v>85</c:v>
                </c:pt>
                <c:pt idx="693">
                  <c:v>46</c:v>
                </c:pt>
                <c:pt idx="694">
                  <c:v>79</c:v>
                </c:pt>
                <c:pt idx="695">
                  <c:v>88</c:v>
                </c:pt>
                <c:pt idx="696">
                  <c:v>50</c:v>
                </c:pt>
                <c:pt idx="697">
                  <c:v>71</c:v>
                </c:pt>
                <c:pt idx="698">
                  <c:v>67</c:v>
                </c:pt>
                <c:pt idx="699">
                  <c:v>64</c:v>
                </c:pt>
                <c:pt idx="700">
                  <c:v>68</c:v>
                </c:pt>
                <c:pt idx="701">
                  <c:v>60</c:v>
                </c:pt>
                <c:pt idx="702">
                  <c:v>52</c:v>
                </c:pt>
                <c:pt idx="703">
                  <c:v>70</c:v>
                </c:pt>
                <c:pt idx="704">
                  <c:v>36</c:v>
                </c:pt>
                <c:pt idx="705">
                  <c:v>39</c:v>
                </c:pt>
                <c:pt idx="706">
                  <c:v>38</c:v>
                </c:pt>
                <c:pt idx="707">
                  <c:v>100</c:v>
                </c:pt>
                <c:pt idx="708">
                  <c:v>105</c:v>
                </c:pt>
                <c:pt idx="709">
                  <c:v>51</c:v>
                </c:pt>
                <c:pt idx="710">
                  <c:v>93</c:v>
                </c:pt>
                <c:pt idx="711">
                  <c:v>76</c:v>
                </c:pt>
                <c:pt idx="712">
                  <c:v>59</c:v>
                </c:pt>
                <c:pt idx="713">
                  <c:v>65</c:v>
                </c:pt>
                <c:pt idx="714">
                  <c:v>32</c:v>
                </c:pt>
                <c:pt idx="715">
                  <c:v>38</c:v>
                </c:pt>
                <c:pt idx="716">
                  <c:v>101</c:v>
                </c:pt>
                <c:pt idx="717">
                  <c:v>135</c:v>
                </c:pt>
                <c:pt idx="718">
                  <c:v>61</c:v>
                </c:pt>
                <c:pt idx="719">
                  <c:v>77</c:v>
                </c:pt>
                <c:pt idx="720">
                  <c:v>86</c:v>
                </c:pt>
                <c:pt idx="721">
                  <c:v>71</c:v>
                </c:pt>
                <c:pt idx="722">
                  <c:v>68</c:v>
                </c:pt>
                <c:pt idx="723">
                  <c:v>88</c:v>
                </c:pt>
                <c:pt idx="724">
                  <c:v>76</c:v>
                </c:pt>
                <c:pt idx="725">
                  <c:v>90</c:v>
                </c:pt>
                <c:pt idx="726">
                  <c:v>65</c:v>
                </c:pt>
                <c:pt idx="727">
                  <c:v>63</c:v>
                </c:pt>
                <c:pt idx="728">
                  <c:v>58</c:v>
                </c:pt>
                <c:pt idx="729">
                  <c:v>68</c:v>
                </c:pt>
                <c:pt idx="730">
                  <c:v>84</c:v>
                </c:pt>
                <c:pt idx="731">
                  <c:v>76</c:v>
                </c:pt>
                <c:pt idx="732">
                  <c:v>119</c:v>
                </c:pt>
                <c:pt idx="733">
                  <c:v>98</c:v>
                </c:pt>
                <c:pt idx="734">
                  <c:v>125</c:v>
                </c:pt>
                <c:pt idx="735">
                  <c:v>127</c:v>
                </c:pt>
                <c:pt idx="736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4-4CB6-80A4-549F8E27229B}"/>
            </c:ext>
          </c:extLst>
        </c:ser>
        <c:ser>
          <c:idx val="1"/>
          <c:order val="1"/>
          <c:tx>
            <c:strRef>
              <c:f>'涨停数量 '!$C$1</c:f>
              <c:strCache>
                <c:ptCount val="1"/>
                <c:pt idx="0">
                  <c:v>跌停个股数量</c:v>
                </c:pt>
              </c:strCache>
            </c:strRef>
          </c:tx>
          <c:spPr>
            <a:ln w="25400" cap="rnd" cmpd="sng" algn="ctr">
              <a:solidFill>
                <a:srgbClr val="044E7E"/>
              </a:solidFill>
              <a:prstDash val="solid"/>
              <a:round/>
            </a:ln>
          </c:spPr>
          <c:marker>
            <c:symbol val="none"/>
          </c:marker>
          <c:cat>
            <c:numRef>
              <c:f>'涨停数量 '!$A$233:$A$969</c:f>
              <c:numCache>
                <c:formatCode>m/d/yyyy</c:formatCode>
                <c:ptCount val="737"/>
                <c:pt idx="0">
                  <c:v>45013</c:v>
                </c:pt>
                <c:pt idx="1">
                  <c:v>45014</c:v>
                </c:pt>
                <c:pt idx="2">
                  <c:v>45015</c:v>
                </c:pt>
                <c:pt idx="3">
                  <c:v>45016</c:v>
                </c:pt>
                <c:pt idx="4">
                  <c:v>45019</c:v>
                </c:pt>
                <c:pt idx="5">
                  <c:v>45020</c:v>
                </c:pt>
                <c:pt idx="6">
                  <c:v>45022</c:v>
                </c:pt>
                <c:pt idx="7">
                  <c:v>45023</c:v>
                </c:pt>
                <c:pt idx="8">
                  <c:v>45026</c:v>
                </c:pt>
                <c:pt idx="9">
                  <c:v>45027</c:v>
                </c:pt>
                <c:pt idx="10">
                  <c:v>45028</c:v>
                </c:pt>
                <c:pt idx="11">
                  <c:v>45029</c:v>
                </c:pt>
                <c:pt idx="12">
                  <c:v>45030</c:v>
                </c:pt>
                <c:pt idx="13">
                  <c:v>45033</c:v>
                </c:pt>
                <c:pt idx="14">
                  <c:v>45034</c:v>
                </c:pt>
                <c:pt idx="15">
                  <c:v>45035</c:v>
                </c:pt>
                <c:pt idx="16">
                  <c:v>45036</c:v>
                </c:pt>
                <c:pt idx="17">
                  <c:v>45037</c:v>
                </c:pt>
                <c:pt idx="18">
                  <c:v>45040</c:v>
                </c:pt>
                <c:pt idx="19">
                  <c:v>45041</c:v>
                </c:pt>
                <c:pt idx="20">
                  <c:v>45042</c:v>
                </c:pt>
                <c:pt idx="21">
                  <c:v>45043</c:v>
                </c:pt>
                <c:pt idx="22">
                  <c:v>45044</c:v>
                </c:pt>
                <c:pt idx="23">
                  <c:v>45050</c:v>
                </c:pt>
                <c:pt idx="24">
                  <c:v>45051</c:v>
                </c:pt>
                <c:pt idx="25">
                  <c:v>45054</c:v>
                </c:pt>
                <c:pt idx="26">
                  <c:v>45055</c:v>
                </c:pt>
                <c:pt idx="27">
                  <c:v>45056</c:v>
                </c:pt>
                <c:pt idx="28">
                  <c:v>45057</c:v>
                </c:pt>
                <c:pt idx="29">
                  <c:v>45058</c:v>
                </c:pt>
                <c:pt idx="30">
                  <c:v>45061</c:v>
                </c:pt>
                <c:pt idx="31">
                  <c:v>45062</c:v>
                </c:pt>
                <c:pt idx="32">
                  <c:v>45063</c:v>
                </c:pt>
                <c:pt idx="33">
                  <c:v>45064</c:v>
                </c:pt>
                <c:pt idx="34">
                  <c:v>45065</c:v>
                </c:pt>
                <c:pt idx="35">
                  <c:v>45068</c:v>
                </c:pt>
                <c:pt idx="36">
                  <c:v>45069</c:v>
                </c:pt>
                <c:pt idx="37">
                  <c:v>45070</c:v>
                </c:pt>
                <c:pt idx="38">
                  <c:v>45071</c:v>
                </c:pt>
                <c:pt idx="39">
                  <c:v>45072</c:v>
                </c:pt>
                <c:pt idx="40">
                  <c:v>45075</c:v>
                </c:pt>
                <c:pt idx="41">
                  <c:v>45076</c:v>
                </c:pt>
                <c:pt idx="42">
                  <c:v>45077</c:v>
                </c:pt>
                <c:pt idx="43">
                  <c:v>45078</c:v>
                </c:pt>
                <c:pt idx="44">
                  <c:v>45079</c:v>
                </c:pt>
                <c:pt idx="45">
                  <c:v>45082</c:v>
                </c:pt>
                <c:pt idx="46">
                  <c:v>45083</c:v>
                </c:pt>
                <c:pt idx="47">
                  <c:v>45084</c:v>
                </c:pt>
                <c:pt idx="48">
                  <c:v>45085</c:v>
                </c:pt>
                <c:pt idx="49">
                  <c:v>45086</c:v>
                </c:pt>
                <c:pt idx="50">
                  <c:v>45089</c:v>
                </c:pt>
                <c:pt idx="51">
                  <c:v>45090</c:v>
                </c:pt>
                <c:pt idx="52">
                  <c:v>45091</c:v>
                </c:pt>
                <c:pt idx="53">
                  <c:v>45092</c:v>
                </c:pt>
                <c:pt idx="54">
                  <c:v>45093</c:v>
                </c:pt>
                <c:pt idx="55">
                  <c:v>45096</c:v>
                </c:pt>
                <c:pt idx="56">
                  <c:v>45097</c:v>
                </c:pt>
                <c:pt idx="57">
                  <c:v>45098</c:v>
                </c:pt>
                <c:pt idx="58">
                  <c:v>45103</c:v>
                </c:pt>
                <c:pt idx="59">
                  <c:v>45104</c:v>
                </c:pt>
                <c:pt idx="60">
                  <c:v>45105</c:v>
                </c:pt>
                <c:pt idx="61">
                  <c:v>45106</c:v>
                </c:pt>
                <c:pt idx="62">
                  <c:v>45107</c:v>
                </c:pt>
                <c:pt idx="63">
                  <c:v>45110</c:v>
                </c:pt>
                <c:pt idx="64">
                  <c:v>45111</c:v>
                </c:pt>
                <c:pt idx="65">
                  <c:v>45112</c:v>
                </c:pt>
                <c:pt idx="66">
                  <c:v>45113</c:v>
                </c:pt>
                <c:pt idx="67">
                  <c:v>45114</c:v>
                </c:pt>
                <c:pt idx="68">
                  <c:v>45117</c:v>
                </c:pt>
                <c:pt idx="69">
                  <c:v>45118</c:v>
                </c:pt>
                <c:pt idx="70">
                  <c:v>45119</c:v>
                </c:pt>
                <c:pt idx="71">
                  <c:v>45120</c:v>
                </c:pt>
                <c:pt idx="72">
                  <c:v>45121</c:v>
                </c:pt>
                <c:pt idx="73">
                  <c:v>45124</c:v>
                </c:pt>
                <c:pt idx="74">
                  <c:v>45125</c:v>
                </c:pt>
                <c:pt idx="75">
                  <c:v>45126</c:v>
                </c:pt>
                <c:pt idx="76">
                  <c:v>45127</c:v>
                </c:pt>
                <c:pt idx="77">
                  <c:v>45128</c:v>
                </c:pt>
                <c:pt idx="78">
                  <c:v>45131</c:v>
                </c:pt>
                <c:pt idx="79">
                  <c:v>45132</c:v>
                </c:pt>
                <c:pt idx="80">
                  <c:v>45133</c:v>
                </c:pt>
                <c:pt idx="81">
                  <c:v>45134</c:v>
                </c:pt>
                <c:pt idx="82">
                  <c:v>45135</c:v>
                </c:pt>
                <c:pt idx="83">
                  <c:v>45138</c:v>
                </c:pt>
                <c:pt idx="84">
                  <c:v>45139</c:v>
                </c:pt>
                <c:pt idx="85">
                  <c:v>45140</c:v>
                </c:pt>
                <c:pt idx="86">
                  <c:v>45141</c:v>
                </c:pt>
                <c:pt idx="87">
                  <c:v>45142</c:v>
                </c:pt>
                <c:pt idx="88">
                  <c:v>45145</c:v>
                </c:pt>
                <c:pt idx="89">
                  <c:v>45146</c:v>
                </c:pt>
                <c:pt idx="90">
                  <c:v>45147</c:v>
                </c:pt>
                <c:pt idx="91">
                  <c:v>45148</c:v>
                </c:pt>
                <c:pt idx="92">
                  <c:v>45149</c:v>
                </c:pt>
                <c:pt idx="93">
                  <c:v>45152</c:v>
                </c:pt>
                <c:pt idx="94">
                  <c:v>45153</c:v>
                </c:pt>
                <c:pt idx="95">
                  <c:v>45154</c:v>
                </c:pt>
                <c:pt idx="96">
                  <c:v>45155</c:v>
                </c:pt>
                <c:pt idx="97">
                  <c:v>45156</c:v>
                </c:pt>
                <c:pt idx="98">
                  <c:v>45159</c:v>
                </c:pt>
                <c:pt idx="99">
                  <c:v>45160</c:v>
                </c:pt>
                <c:pt idx="100">
                  <c:v>45161</c:v>
                </c:pt>
                <c:pt idx="101">
                  <c:v>45162</c:v>
                </c:pt>
                <c:pt idx="102">
                  <c:v>45163</c:v>
                </c:pt>
                <c:pt idx="103">
                  <c:v>45166</c:v>
                </c:pt>
                <c:pt idx="104">
                  <c:v>45167</c:v>
                </c:pt>
                <c:pt idx="105">
                  <c:v>45168</c:v>
                </c:pt>
                <c:pt idx="106">
                  <c:v>45169</c:v>
                </c:pt>
                <c:pt idx="107">
                  <c:v>45170</c:v>
                </c:pt>
                <c:pt idx="108">
                  <c:v>45173</c:v>
                </c:pt>
                <c:pt idx="109">
                  <c:v>45174</c:v>
                </c:pt>
                <c:pt idx="110">
                  <c:v>45175</c:v>
                </c:pt>
                <c:pt idx="111">
                  <c:v>45176</c:v>
                </c:pt>
                <c:pt idx="112">
                  <c:v>45177</c:v>
                </c:pt>
                <c:pt idx="113">
                  <c:v>45180</c:v>
                </c:pt>
                <c:pt idx="114">
                  <c:v>45181</c:v>
                </c:pt>
                <c:pt idx="115">
                  <c:v>45182</c:v>
                </c:pt>
                <c:pt idx="116">
                  <c:v>45183</c:v>
                </c:pt>
                <c:pt idx="117">
                  <c:v>45184</c:v>
                </c:pt>
                <c:pt idx="118">
                  <c:v>45187</c:v>
                </c:pt>
                <c:pt idx="119">
                  <c:v>45188</c:v>
                </c:pt>
                <c:pt idx="120">
                  <c:v>45189</c:v>
                </c:pt>
                <c:pt idx="121">
                  <c:v>45190</c:v>
                </c:pt>
                <c:pt idx="122">
                  <c:v>45191</c:v>
                </c:pt>
                <c:pt idx="123">
                  <c:v>45194</c:v>
                </c:pt>
                <c:pt idx="124">
                  <c:v>45195</c:v>
                </c:pt>
                <c:pt idx="125">
                  <c:v>45196</c:v>
                </c:pt>
                <c:pt idx="126">
                  <c:v>45197</c:v>
                </c:pt>
                <c:pt idx="127">
                  <c:v>45208</c:v>
                </c:pt>
                <c:pt idx="128">
                  <c:v>45209</c:v>
                </c:pt>
                <c:pt idx="129">
                  <c:v>45210</c:v>
                </c:pt>
                <c:pt idx="130">
                  <c:v>45211</c:v>
                </c:pt>
                <c:pt idx="131">
                  <c:v>45212</c:v>
                </c:pt>
                <c:pt idx="132">
                  <c:v>45215</c:v>
                </c:pt>
                <c:pt idx="133">
                  <c:v>45216</c:v>
                </c:pt>
                <c:pt idx="134">
                  <c:v>45217</c:v>
                </c:pt>
                <c:pt idx="135">
                  <c:v>45218</c:v>
                </c:pt>
                <c:pt idx="136">
                  <c:v>45219</c:v>
                </c:pt>
                <c:pt idx="137">
                  <c:v>45222</c:v>
                </c:pt>
                <c:pt idx="138">
                  <c:v>45223</c:v>
                </c:pt>
                <c:pt idx="139">
                  <c:v>45224</c:v>
                </c:pt>
                <c:pt idx="140">
                  <c:v>45225</c:v>
                </c:pt>
                <c:pt idx="141">
                  <c:v>45226</c:v>
                </c:pt>
                <c:pt idx="142">
                  <c:v>45229</c:v>
                </c:pt>
                <c:pt idx="143">
                  <c:v>45230</c:v>
                </c:pt>
                <c:pt idx="144">
                  <c:v>45231</c:v>
                </c:pt>
                <c:pt idx="145">
                  <c:v>45232</c:v>
                </c:pt>
                <c:pt idx="146">
                  <c:v>45233</c:v>
                </c:pt>
                <c:pt idx="147">
                  <c:v>45236</c:v>
                </c:pt>
                <c:pt idx="148">
                  <c:v>45237</c:v>
                </c:pt>
                <c:pt idx="149">
                  <c:v>45238</c:v>
                </c:pt>
                <c:pt idx="150">
                  <c:v>45239</c:v>
                </c:pt>
                <c:pt idx="151">
                  <c:v>45240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45250</c:v>
                </c:pt>
                <c:pt idx="158">
                  <c:v>45251</c:v>
                </c:pt>
                <c:pt idx="159">
                  <c:v>45252</c:v>
                </c:pt>
                <c:pt idx="160">
                  <c:v>45253</c:v>
                </c:pt>
                <c:pt idx="161">
                  <c:v>45254</c:v>
                </c:pt>
                <c:pt idx="162">
                  <c:v>45257</c:v>
                </c:pt>
                <c:pt idx="163">
                  <c:v>45258</c:v>
                </c:pt>
                <c:pt idx="164">
                  <c:v>45259</c:v>
                </c:pt>
                <c:pt idx="165">
                  <c:v>45260</c:v>
                </c:pt>
                <c:pt idx="166">
                  <c:v>45261</c:v>
                </c:pt>
                <c:pt idx="167">
                  <c:v>45264</c:v>
                </c:pt>
                <c:pt idx="168">
                  <c:v>45265</c:v>
                </c:pt>
                <c:pt idx="169">
                  <c:v>45266</c:v>
                </c:pt>
                <c:pt idx="170">
                  <c:v>45267</c:v>
                </c:pt>
                <c:pt idx="171">
                  <c:v>45268</c:v>
                </c:pt>
                <c:pt idx="172">
                  <c:v>45271</c:v>
                </c:pt>
                <c:pt idx="173">
                  <c:v>45272</c:v>
                </c:pt>
                <c:pt idx="174">
                  <c:v>45273</c:v>
                </c:pt>
                <c:pt idx="175">
                  <c:v>45274</c:v>
                </c:pt>
                <c:pt idx="176">
                  <c:v>45275</c:v>
                </c:pt>
                <c:pt idx="177">
                  <c:v>45278</c:v>
                </c:pt>
                <c:pt idx="178">
                  <c:v>45279</c:v>
                </c:pt>
                <c:pt idx="179">
                  <c:v>45280</c:v>
                </c:pt>
                <c:pt idx="180">
                  <c:v>45281</c:v>
                </c:pt>
                <c:pt idx="181">
                  <c:v>45282</c:v>
                </c:pt>
                <c:pt idx="182">
                  <c:v>45285</c:v>
                </c:pt>
                <c:pt idx="183">
                  <c:v>45286</c:v>
                </c:pt>
                <c:pt idx="184">
                  <c:v>45287</c:v>
                </c:pt>
                <c:pt idx="185">
                  <c:v>45288</c:v>
                </c:pt>
                <c:pt idx="186">
                  <c:v>45289</c:v>
                </c:pt>
                <c:pt idx="187">
                  <c:v>45293</c:v>
                </c:pt>
                <c:pt idx="188">
                  <c:v>45294</c:v>
                </c:pt>
                <c:pt idx="189">
                  <c:v>45295</c:v>
                </c:pt>
                <c:pt idx="190">
                  <c:v>45296</c:v>
                </c:pt>
                <c:pt idx="191">
                  <c:v>45299</c:v>
                </c:pt>
                <c:pt idx="192">
                  <c:v>45300</c:v>
                </c:pt>
                <c:pt idx="193">
                  <c:v>45301</c:v>
                </c:pt>
                <c:pt idx="194">
                  <c:v>45302</c:v>
                </c:pt>
                <c:pt idx="195">
                  <c:v>45303</c:v>
                </c:pt>
                <c:pt idx="196">
                  <c:v>45306</c:v>
                </c:pt>
                <c:pt idx="197">
                  <c:v>45307</c:v>
                </c:pt>
                <c:pt idx="198">
                  <c:v>45308</c:v>
                </c:pt>
                <c:pt idx="199">
                  <c:v>45309</c:v>
                </c:pt>
                <c:pt idx="200">
                  <c:v>45310</c:v>
                </c:pt>
                <c:pt idx="201">
                  <c:v>45313</c:v>
                </c:pt>
                <c:pt idx="202">
                  <c:v>45314</c:v>
                </c:pt>
                <c:pt idx="203">
                  <c:v>45315</c:v>
                </c:pt>
                <c:pt idx="204">
                  <c:v>45316</c:v>
                </c:pt>
                <c:pt idx="205">
                  <c:v>45317</c:v>
                </c:pt>
                <c:pt idx="206">
                  <c:v>45320</c:v>
                </c:pt>
                <c:pt idx="207">
                  <c:v>45321</c:v>
                </c:pt>
                <c:pt idx="208">
                  <c:v>45322</c:v>
                </c:pt>
                <c:pt idx="209">
                  <c:v>45323</c:v>
                </c:pt>
                <c:pt idx="210">
                  <c:v>45324</c:v>
                </c:pt>
                <c:pt idx="211">
                  <c:v>45327</c:v>
                </c:pt>
                <c:pt idx="212">
                  <c:v>45328</c:v>
                </c:pt>
                <c:pt idx="213">
                  <c:v>45329</c:v>
                </c:pt>
                <c:pt idx="214">
                  <c:v>45330</c:v>
                </c:pt>
                <c:pt idx="215">
                  <c:v>45341</c:v>
                </c:pt>
                <c:pt idx="216">
                  <c:v>45342</c:v>
                </c:pt>
                <c:pt idx="217">
                  <c:v>45343</c:v>
                </c:pt>
                <c:pt idx="218">
                  <c:v>45344</c:v>
                </c:pt>
                <c:pt idx="219">
                  <c:v>45345</c:v>
                </c:pt>
                <c:pt idx="220">
                  <c:v>45348</c:v>
                </c:pt>
                <c:pt idx="221">
                  <c:v>45349</c:v>
                </c:pt>
                <c:pt idx="222">
                  <c:v>45350</c:v>
                </c:pt>
                <c:pt idx="223">
                  <c:v>45351</c:v>
                </c:pt>
                <c:pt idx="224">
                  <c:v>45352</c:v>
                </c:pt>
                <c:pt idx="225">
                  <c:v>45355</c:v>
                </c:pt>
                <c:pt idx="226">
                  <c:v>45356</c:v>
                </c:pt>
                <c:pt idx="227">
                  <c:v>45357</c:v>
                </c:pt>
                <c:pt idx="228">
                  <c:v>45358</c:v>
                </c:pt>
                <c:pt idx="229">
                  <c:v>45359</c:v>
                </c:pt>
                <c:pt idx="230">
                  <c:v>45362</c:v>
                </c:pt>
                <c:pt idx="231">
                  <c:v>45363</c:v>
                </c:pt>
                <c:pt idx="232">
                  <c:v>45364</c:v>
                </c:pt>
                <c:pt idx="233">
                  <c:v>45365</c:v>
                </c:pt>
                <c:pt idx="234">
                  <c:v>45366</c:v>
                </c:pt>
                <c:pt idx="235">
                  <c:v>45369</c:v>
                </c:pt>
                <c:pt idx="236">
                  <c:v>45370</c:v>
                </c:pt>
                <c:pt idx="237">
                  <c:v>45371</c:v>
                </c:pt>
                <c:pt idx="238">
                  <c:v>45372</c:v>
                </c:pt>
                <c:pt idx="239">
                  <c:v>45373</c:v>
                </c:pt>
                <c:pt idx="240">
                  <c:v>45376</c:v>
                </c:pt>
                <c:pt idx="241">
                  <c:v>45377</c:v>
                </c:pt>
                <c:pt idx="242">
                  <c:v>45378</c:v>
                </c:pt>
                <c:pt idx="243">
                  <c:v>45379</c:v>
                </c:pt>
                <c:pt idx="244">
                  <c:v>45380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45390</c:v>
                </c:pt>
                <c:pt idx="249">
                  <c:v>45391</c:v>
                </c:pt>
                <c:pt idx="250">
                  <c:v>45392</c:v>
                </c:pt>
                <c:pt idx="251">
                  <c:v>45393</c:v>
                </c:pt>
                <c:pt idx="252">
                  <c:v>45394</c:v>
                </c:pt>
                <c:pt idx="253">
                  <c:v>45397</c:v>
                </c:pt>
                <c:pt idx="254">
                  <c:v>45398</c:v>
                </c:pt>
                <c:pt idx="255">
                  <c:v>45399</c:v>
                </c:pt>
                <c:pt idx="256">
                  <c:v>45400</c:v>
                </c:pt>
                <c:pt idx="257">
                  <c:v>45401</c:v>
                </c:pt>
                <c:pt idx="258">
                  <c:v>45404</c:v>
                </c:pt>
                <c:pt idx="259">
                  <c:v>45405</c:v>
                </c:pt>
                <c:pt idx="260">
                  <c:v>45406</c:v>
                </c:pt>
                <c:pt idx="261">
                  <c:v>45407</c:v>
                </c:pt>
                <c:pt idx="262">
                  <c:v>45408</c:v>
                </c:pt>
                <c:pt idx="263">
                  <c:v>45411</c:v>
                </c:pt>
                <c:pt idx="264">
                  <c:v>45412</c:v>
                </c:pt>
                <c:pt idx="265">
                  <c:v>45418</c:v>
                </c:pt>
                <c:pt idx="266">
                  <c:v>45419</c:v>
                </c:pt>
                <c:pt idx="267">
                  <c:v>45420</c:v>
                </c:pt>
                <c:pt idx="268">
                  <c:v>45421</c:v>
                </c:pt>
                <c:pt idx="269">
                  <c:v>45422</c:v>
                </c:pt>
                <c:pt idx="270">
                  <c:v>45425</c:v>
                </c:pt>
                <c:pt idx="271">
                  <c:v>45426</c:v>
                </c:pt>
                <c:pt idx="272">
                  <c:v>45427</c:v>
                </c:pt>
                <c:pt idx="273">
                  <c:v>45428</c:v>
                </c:pt>
                <c:pt idx="274">
                  <c:v>45429</c:v>
                </c:pt>
                <c:pt idx="275">
                  <c:v>45432</c:v>
                </c:pt>
                <c:pt idx="276">
                  <c:v>45433</c:v>
                </c:pt>
                <c:pt idx="277">
                  <c:v>45434</c:v>
                </c:pt>
                <c:pt idx="278">
                  <c:v>45435</c:v>
                </c:pt>
                <c:pt idx="279">
                  <c:v>45436</c:v>
                </c:pt>
                <c:pt idx="280">
                  <c:v>45439</c:v>
                </c:pt>
                <c:pt idx="281">
                  <c:v>45440</c:v>
                </c:pt>
                <c:pt idx="282">
                  <c:v>45441</c:v>
                </c:pt>
                <c:pt idx="283">
                  <c:v>45442</c:v>
                </c:pt>
                <c:pt idx="284">
                  <c:v>45443</c:v>
                </c:pt>
                <c:pt idx="285">
                  <c:v>45446</c:v>
                </c:pt>
                <c:pt idx="286">
                  <c:v>45447</c:v>
                </c:pt>
                <c:pt idx="287">
                  <c:v>45448</c:v>
                </c:pt>
                <c:pt idx="288">
                  <c:v>45449</c:v>
                </c:pt>
                <c:pt idx="289">
                  <c:v>45450</c:v>
                </c:pt>
                <c:pt idx="290">
                  <c:v>45454</c:v>
                </c:pt>
                <c:pt idx="291">
                  <c:v>45455</c:v>
                </c:pt>
                <c:pt idx="292">
                  <c:v>45456</c:v>
                </c:pt>
                <c:pt idx="293">
                  <c:v>45457</c:v>
                </c:pt>
                <c:pt idx="294">
                  <c:v>45460</c:v>
                </c:pt>
                <c:pt idx="295">
                  <c:v>45461</c:v>
                </c:pt>
                <c:pt idx="296">
                  <c:v>45462</c:v>
                </c:pt>
                <c:pt idx="297">
                  <c:v>45463</c:v>
                </c:pt>
                <c:pt idx="298">
                  <c:v>45464</c:v>
                </c:pt>
                <c:pt idx="299">
                  <c:v>45467</c:v>
                </c:pt>
                <c:pt idx="300">
                  <c:v>45468</c:v>
                </c:pt>
                <c:pt idx="301">
                  <c:v>45469</c:v>
                </c:pt>
                <c:pt idx="302">
                  <c:v>45470</c:v>
                </c:pt>
                <c:pt idx="303">
                  <c:v>45471</c:v>
                </c:pt>
                <c:pt idx="304">
                  <c:v>45474</c:v>
                </c:pt>
                <c:pt idx="305">
                  <c:v>45475</c:v>
                </c:pt>
                <c:pt idx="306">
                  <c:v>45476</c:v>
                </c:pt>
                <c:pt idx="307">
                  <c:v>45477</c:v>
                </c:pt>
                <c:pt idx="308">
                  <c:v>45478</c:v>
                </c:pt>
                <c:pt idx="309">
                  <c:v>45481</c:v>
                </c:pt>
                <c:pt idx="310">
                  <c:v>45482</c:v>
                </c:pt>
                <c:pt idx="311">
                  <c:v>45483</c:v>
                </c:pt>
                <c:pt idx="312">
                  <c:v>45484</c:v>
                </c:pt>
                <c:pt idx="313">
                  <c:v>45488</c:v>
                </c:pt>
                <c:pt idx="314">
                  <c:v>45489</c:v>
                </c:pt>
                <c:pt idx="315">
                  <c:v>45490</c:v>
                </c:pt>
                <c:pt idx="316">
                  <c:v>45491</c:v>
                </c:pt>
                <c:pt idx="317">
                  <c:v>45492</c:v>
                </c:pt>
                <c:pt idx="318">
                  <c:v>45495</c:v>
                </c:pt>
                <c:pt idx="319">
                  <c:v>45496</c:v>
                </c:pt>
                <c:pt idx="320">
                  <c:v>45497</c:v>
                </c:pt>
                <c:pt idx="321">
                  <c:v>45498</c:v>
                </c:pt>
                <c:pt idx="322">
                  <c:v>45499</c:v>
                </c:pt>
                <c:pt idx="323">
                  <c:v>45502</c:v>
                </c:pt>
                <c:pt idx="324">
                  <c:v>45503</c:v>
                </c:pt>
                <c:pt idx="325">
                  <c:v>45504</c:v>
                </c:pt>
                <c:pt idx="326">
                  <c:v>45505</c:v>
                </c:pt>
                <c:pt idx="327">
                  <c:v>45506</c:v>
                </c:pt>
                <c:pt idx="328">
                  <c:v>45509</c:v>
                </c:pt>
                <c:pt idx="329">
                  <c:v>45510</c:v>
                </c:pt>
                <c:pt idx="330">
                  <c:v>45511</c:v>
                </c:pt>
                <c:pt idx="331">
                  <c:v>45512</c:v>
                </c:pt>
                <c:pt idx="332">
                  <c:v>45513</c:v>
                </c:pt>
                <c:pt idx="333">
                  <c:v>45516</c:v>
                </c:pt>
                <c:pt idx="334">
                  <c:v>45517</c:v>
                </c:pt>
                <c:pt idx="335">
                  <c:v>45518</c:v>
                </c:pt>
                <c:pt idx="336">
                  <c:v>45519</c:v>
                </c:pt>
                <c:pt idx="337">
                  <c:v>45520</c:v>
                </c:pt>
                <c:pt idx="338">
                  <c:v>45523</c:v>
                </c:pt>
                <c:pt idx="339">
                  <c:v>45524</c:v>
                </c:pt>
                <c:pt idx="340">
                  <c:v>45525</c:v>
                </c:pt>
                <c:pt idx="341">
                  <c:v>45526</c:v>
                </c:pt>
                <c:pt idx="342">
                  <c:v>45527</c:v>
                </c:pt>
                <c:pt idx="343">
                  <c:v>45530</c:v>
                </c:pt>
                <c:pt idx="344">
                  <c:v>45531</c:v>
                </c:pt>
                <c:pt idx="345">
                  <c:v>45532</c:v>
                </c:pt>
                <c:pt idx="346">
                  <c:v>45533</c:v>
                </c:pt>
                <c:pt idx="347">
                  <c:v>45537</c:v>
                </c:pt>
                <c:pt idx="348">
                  <c:v>45538</c:v>
                </c:pt>
                <c:pt idx="349">
                  <c:v>45539</c:v>
                </c:pt>
                <c:pt idx="350">
                  <c:v>45540</c:v>
                </c:pt>
                <c:pt idx="351">
                  <c:v>45541</c:v>
                </c:pt>
                <c:pt idx="352">
                  <c:v>45544</c:v>
                </c:pt>
                <c:pt idx="353">
                  <c:v>45545</c:v>
                </c:pt>
                <c:pt idx="354">
                  <c:v>45546</c:v>
                </c:pt>
                <c:pt idx="355">
                  <c:v>45547</c:v>
                </c:pt>
                <c:pt idx="356">
                  <c:v>45548</c:v>
                </c:pt>
                <c:pt idx="357">
                  <c:v>45553</c:v>
                </c:pt>
                <c:pt idx="358">
                  <c:v>45554</c:v>
                </c:pt>
                <c:pt idx="359">
                  <c:v>45555</c:v>
                </c:pt>
                <c:pt idx="360">
                  <c:v>45559</c:v>
                </c:pt>
                <c:pt idx="361">
                  <c:v>45560</c:v>
                </c:pt>
                <c:pt idx="362">
                  <c:v>45561</c:v>
                </c:pt>
                <c:pt idx="363">
                  <c:v>45562</c:v>
                </c:pt>
                <c:pt idx="364">
                  <c:v>45565</c:v>
                </c:pt>
                <c:pt idx="365">
                  <c:v>45573</c:v>
                </c:pt>
                <c:pt idx="366">
                  <c:v>45574</c:v>
                </c:pt>
                <c:pt idx="367">
                  <c:v>45575</c:v>
                </c:pt>
                <c:pt idx="368">
                  <c:v>45576</c:v>
                </c:pt>
                <c:pt idx="369">
                  <c:v>45579</c:v>
                </c:pt>
                <c:pt idx="370">
                  <c:v>45580</c:v>
                </c:pt>
                <c:pt idx="371">
                  <c:v>45581</c:v>
                </c:pt>
                <c:pt idx="372">
                  <c:v>45582</c:v>
                </c:pt>
                <c:pt idx="373">
                  <c:v>45583</c:v>
                </c:pt>
                <c:pt idx="374">
                  <c:v>45586</c:v>
                </c:pt>
                <c:pt idx="375">
                  <c:v>45587</c:v>
                </c:pt>
                <c:pt idx="376">
                  <c:v>45588</c:v>
                </c:pt>
                <c:pt idx="377">
                  <c:v>45589</c:v>
                </c:pt>
                <c:pt idx="378">
                  <c:v>45590</c:v>
                </c:pt>
                <c:pt idx="379">
                  <c:v>45593</c:v>
                </c:pt>
                <c:pt idx="380">
                  <c:v>45594</c:v>
                </c:pt>
                <c:pt idx="381">
                  <c:v>45595</c:v>
                </c:pt>
                <c:pt idx="382">
                  <c:v>45596</c:v>
                </c:pt>
                <c:pt idx="383">
                  <c:v>45597</c:v>
                </c:pt>
                <c:pt idx="384">
                  <c:v>45600</c:v>
                </c:pt>
                <c:pt idx="385">
                  <c:v>45601</c:v>
                </c:pt>
                <c:pt idx="386">
                  <c:v>45602</c:v>
                </c:pt>
                <c:pt idx="387">
                  <c:v>45603</c:v>
                </c:pt>
                <c:pt idx="388">
                  <c:v>45604</c:v>
                </c:pt>
                <c:pt idx="389">
                  <c:v>45607</c:v>
                </c:pt>
                <c:pt idx="390">
                  <c:v>45608</c:v>
                </c:pt>
                <c:pt idx="391">
                  <c:v>45609</c:v>
                </c:pt>
                <c:pt idx="392">
                  <c:v>45610</c:v>
                </c:pt>
                <c:pt idx="393">
                  <c:v>45611</c:v>
                </c:pt>
                <c:pt idx="394">
                  <c:v>45614</c:v>
                </c:pt>
                <c:pt idx="395">
                  <c:v>45615</c:v>
                </c:pt>
                <c:pt idx="396">
                  <c:v>45616</c:v>
                </c:pt>
                <c:pt idx="397">
                  <c:v>45617</c:v>
                </c:pt>
                <c:pt idx="398">
                  <c:v>45618</c:v>
                </c:pt>
                <c:pt idx="399">
                  <c:v>45621</c:v>
                </c:pt>
                <c:pt idx="400">
                  <c:v>45622</c:v>
                </c:pt>
                <c:pt idx="401">
                  <c:v>45623</c:v>
                </c:pt>
                <c:pt idx="402">
                  <c:v>45624</c:v>
                </c:pt>
                <c:pt idx="403">
                  <c:v>45625</c:v>
                </c:pt>
                <c:pt idx="404">
                  <c:v>45628</c:v>
                </c:pt>
                <c:pt idx="405">
                  <c:v>45629</c:v>
                </c:pt>
                <c:pt idx="406">
                  <c:v>45630</c:v>
                </c:pt>
                <c:pt idx="407">
                  <c:v>45631</c:v>
                </c:pt>
                <c:pt idx="408">
                  <c:v>45632</c:v>
                </c:pt>
                <c:pt idx="409">
                  <c:v>45635</c:v>
                </c:pt>
                <c:pt idx="410">
                  <c:v>45636</c:v>
                </c:pt>
                <c:pt idx="411">
                  <c:v>45637</c:v>
                </c:pt>
                <c:pt idx="412">
                  <c:v>45638</c:v>
                </c:pt>
                <c:pt idx="413">
                  <c:v>45639</c:v>
                </c:pt>
                <c:pt idx="414">
                  <c:v>45642</c:v>
                </c:pt>
                <c:pt idx="415">
                  <c:v>45643</c:v>
                </c:pt>
                <c:pt idx="416">
                  <c:v>45644</c:v>
                </c:pt>
                <c:pt idx="417">
                  <c:v>45645</c:v>
                </c:pt>
                <c:pt idx="418">
                  <c:v>45646</c:v>
                </c:pt>
                <c:pt idx="419">
                  <c:v>45649</c:v>
                </c:pt>
                <c:pt idx="420">
                  <c:v>45650</c:v>
                </c:pt>
                <c:pt idx="421">
                  <c:v>45651</c:v>
                </c:pt>
                <c:pt idx="422">
                  <c:v>45652</c:v>
                </c:pt>
                <c:pt idx="423">
                  <c:v>45653</c:v>
                </c:pt>
                <c:pt idx="424">
                  <c:v>45656</c:v>
                </c:pt>
                <c:pt idx="425">
                  <c:v>45657</c:v>
                </c:pt>
                <c:pt idx="426">
                  <c:v>45660</c:v>
                </c:pt>
                <c:pt idx="427">
                  <c:v>45663</c:v>
                </c:pt>
                <c:pt idx="428">
                  <c:v>45664</c:v>
                </c:pt>
                <c:pt idx="429">
                  <c:v>45665</c:v>
                </c:pt>
                <c:pt idx="430">
                  <c:v>45667</c:v>
                </c:pt>
                <c:pt idx="431">
                  <c:v>45670</c:v>
                </c:pt>
                <c:pt idx="432">
                  <c:v>45671</c:v>
                </c:pt>
                <c:pt idx="433">
                  <c:v>45672</c:v>
                </c:pt>
                <c:pt idx="434">
                  <c:v>45673</c:v>
                </c:pt>
                <c:pt idx="435">
                  <c:v>45674</c:v>
                </c:pt>
                <c:pt idx="436">
                  <c:v>45677</c:v>
                </c:pt>
                <c:pt idx="437">
                  <c:v>45678</c:v>
                </c:pt>
                <c:pt idx="438">
                  <c:v>45679</c:v>
                </c:pt>
                <c:pt idx="439">
                  <c:v>45680</c:v>
                </c:pt>
                <c:pt idx="440">
                  <c:v>45681</c:v>
                </c:pt>
                <c:pt idx="441">
                  <c:v>45693</c:v>
                </c:pt>
                <c:pt idx="442">
                  <c:v>45694</c:v>
                </c:pt>
                <c:pt idx="443">
                  <c:v>45695</c:v>
                </c:pt>
                <c:pt idx="444">
                  <c:v>45698</c:v>
                </c:pt>
                <c:pt idx="445">
                  <c:v>45699</c:v>
                </c:pt>
                <c:pt idx="446">
                  <c:v>45700</c:v>
                </c:pt>
                <c:pt idx="447">
                  <c:v>45701</c:v>
                </c:pt>
                <c:pt idx="448">
                  <c:v>45702</c:v>
                </c:pt>
                <c:pt idx="449">
                  <c:v>45705</c:v>
                </c:pt>
                <c:pt idx="450">
                  <c:v>45706</c:v>
                </c:pt>
                <c:pt idx="451">
                  <c:v>45707</c:v>
                </c:pt>
                <c:pt idx="452">
                  <c:v>45708</c:v>
                </c:pt>
                <c:pt idx="453">
                  <c:v>45709</c:v>
                </c:pt>
                <c:pt idx="454">
                  <c:v>45712</c:v>
                </c:pt>
                <c:pt idx="455">
                  <c:v>45713</c:v>
                </c:pt>
                <c:pt idx="456">
                  <c:v>45714</c:v>
                </c:pt>
                <c:pt idx="457">
                  <c:v>45715</c:v>
                </c:pt>
                <c:pt idx="458">
                  <c:v>45716</c:v>
                </c:pt>
                <c:pt idx="459">
                  <c:v>45719</c:v>
                </c:pt>
                <c:pt idx="460">
                  <c:v>45720</c:v>
                </c:pt>
                <c:pt idx="461">
                  <c:v>45721</c:v>
                </c:pt>
                <c:pt idx="462">
                  <c:v>45722</c:v>
                </c:pt>
                <c:pt idx="463">
                  <c:v>45723</c:v>
                </c:pt>
                <c:pt idx="464">
                  <c:v>45726</c:v>
                </c:pt>
                <c:pt idx="465">
                  <c:v>45727</c:v>
                </c:pt>
                <c:pt idx="466">
                  <c:v>45728</c:v>
                </c:pt>
                <c:pt idx="467">
                  <c:v>45729</c:v>
                </c:pt>
                <c:pt idx="468">
                  <c:v>45730</c:v>
                </c:pt>
                <c:pt idx="469">
                  <c:v>45733</c:v>
                </c:pt>
                <c:pt idx="470">
                  <c:v>45734</c:v>
                </c:pt>
                <c:pt idx="471">
                  <c:v>45735</c:v>
                </c:pt>
                <c:pt idx="472">
                  <c:v>45736</c:v>
                </c:pt>
                <c:pt idx="473">
                  <c:v>45737</c:v>
                </c:pt>
                <c:pt idx="474">
                  <c:v>45740</c:v>
                </c:pt>
                <c:pt idx="475">
                  <c:v>45741</c:v>
                </c:pt>
                <c:pt idx="476">
                  <c:v>45742</c:v>
                </c:pt>
                <c:pt idx="477">
                  <c:v>45743</c:v>
                </c:pt>
                <c:pt idx="478">
                  <c:v>45744</c:v>
                </c:pt>
                <c:pt idx="479">
                  <c:v>45747</c:v>
                </c:pt>
                <c:pt idx="480">
                  <c:v>45748</c:v>
                </c:pt>
                <c:pt idx="481">
                  <c:v>45749</c:v>
                </c:pt>
                <c:pt idx="482">
                  <c:v>45750</c:v>
                </c:pt>
                <c:pt idx="483">
                  <c:v>45754</c:v>
                </c:pt>
                <c:pt idx="484">
                  <c:v>45755</c:v>
                </c:pt>
                <c:pt idx="485">
                  <c:v>45756</c:v>
                </c:pt>
                <c:pt idx="486">
                  <c:v>45757</c:v>
                </c:pt>
                <c:pt idx="487">
                  <c:v>45758</c:v>
                </c:pt>
                <c:pt idx="488">
                  <c:v>45761</c:v>
                </c:pt>
                <c:pt idx="489">
                  <c:v>45762</c:v>
                </c:pt>
                <c:pt idx="490">
                  <c:v>45763</c:v>
                </c:pt>
                <c:pt idx="491">
                  <c:v>45764</c:v>
                </c:pt>
                <c:pt idx="492">
                  <c:v>45765</c:v>
                </c:pt>
                <c:pt idx="493">
                  <c:v>45768</c:v>
                </c:pt>
                <c:pt idx="494">
                  <c:v>45769</c:v>
                </c:pt>
                <c:pt idx="495">
                  <c:v>45770</c:v>
                </c:pt>
                <c:pt idx="496">
                  <c:v>45771</c:v>
                </c:pt>
                <c:pt idx="497">
                  <c:v>45772</c:v>
                </c:pt>
                <c:pt idx="498">
                  <c:v>45791</c:v>
                </c:pt>
                <c:pt idx="499">
                  <c:v>45792</c:v>
                </c:pt>
                <c:pt idx="500">
                  <c:v>45793</c:v>
                </c:pt>
                <c:pt idx="501">
                  <c:v>45796</c:v>
                </c:pt>
                <c:pt idx="502">
                  <c:v>45797</c:v>
                </c:pt>
                <c:pt idx="503">
                  <c:v>45798</c:v>
                </c:pt>
                <c:pt idx="504">
                  <c:v>45799</c:v>
                </c:pt>
                <c:pt idx="505">
                  <c:v>45800</c:v>
                </c:pt>
                <c:pt idx="506">
                  <c:v>45803</c:v>
                </c:pt>
                <c:pt idx="507">
                  <c:v>45804</c:v>
                </c:pt>
                <c:pt idx="508">
                  <c:v>45805</c:v>
                </c:pt>
                <c:pt idx="509">
                  <c:v>45806</c:v>
                </c:pt>
                <c:pt idx="510">
                  <c:v>45807</c:v>
                </c:pt>
                <c:pt idx="511">
                  <c:v>45811</c:v>
                </c:pt>
                <c:pt idx="512">
                  <c:v>45812</c:v>
                </c:pt>
                <c:pt idx="513">
                  <c:v>45813</c:v>
                </c:pt>
                <c:pt idx="514">
                  <c:v>45814</c:v>
                </c:pt>
                <c:pt idx="515">
                  <c:v>45817</c:v>
                </c:pt>
                <c:pt idx="516">
                  <c:v>45818</c:v>
                </c:pt>
                <c:pt idx="517">
                  <c:v>45819</c:v>
                </c:pt>
                <c:pt idx="518">
                  <c:v>45820</c:v>
                </c:pt>
                <c:pt idx="519">
                  <c:v>45821</c:v>
                </c:pt>
                <c:pt idx="520">
                  <c:v>45824</c:v>
                </c:pt>
                <c:pt idx="521">
                  <c:v>45825</c:v>
                </c:pt>
                <c:pt idx="522">
                  <c:v>45826</c:v>
                </c:pt>
                <c:pt idx="523">
                  <c:v>45827</c:v>
                </c:pt>
                <c:pt idx="524">
                  <c:v>45828</c:v>
                </c:pt>
                <c:pt idx="525">
                  <c:v>45831</c:v>
                </c:pt>
                <c:pt idx="526">
                  <c:v>45832</c:v>
                </c:pt>
                <c:pt idx="527">
                  <c:v>45833</c:v>
                </c:pt>
                <c:pt idx="528">
                  <c:v>45834</c:v>
                </c:pt>
                <c:pt idx="529">
                  <c:v>45835</c:v>
                </c:pt>
                <c:pt idx="530">
                  <c:v>45838</c:v>
                </c:pt>
                <c:pt idx="531">
                  <c:v>45839</c:v>
                </c:pt>
                <c:pt idx="532">
                  <c:v>45840</c:v>
                </c:pt>
                <c:pt idx="533">
                  <c:v>45841</c:v>
                </c:pt>
                <c:pt idx="534">
                  <c:v>45842</c:v>
                </c:pt>
                <c:pt idx="535">
                  <c:v>45845</c:v>
                </c:pt>
                <c:pt idx="536">
                  <c:v>45846</c:v>
                </c:pt>
                <c:pt idx="537">
                  <c:v>45847</c:v>
                </c:pt>
                <c:pt idx="538">
                  <c:v>45848</c:v>
                </c:pt>
                <c:pt idx="539">
                  <c:v>45849</c:v>
                </c:pt>
                <c:pt idx="540">
                  <c:v>45852</c:v>
                </c:pt>
                <c:pt idx="541">
                  <c:v>45853</c:v>
                </c:pt>
                <c:pt idx="542">
                  <c:v>45854</c:v>
                </c:pt>
                <c:pt idx="543">
                  <c:v>45855</c:v>
                </c:pt>
                <c:pt idx="544">
                  <c:v>45856</c:v>
                </c:pt>
                <c:pt idx="545">
                  <c:v>45859</c:v>
                </c:pt>
                <c:pt idx="546">
                  <c:v>45860</c:v>
                </c:pt>
                <c:pt idx="547">
                  <c:v>45861</c:v>
                </c:pt>
                <c:pt idx="548">
                  <c:v>45862</c:v>
                </c:pt>
                <c:pt idx="549">
                  <c:v>45863</c:v>
                </c:pt>
                <c:pt idx="550">
                  <c:v>45866</c:v>
                </c:pt>
                <c:pt idx="551">
                  <c:v>45867</c:v>
                </c:pt>
                <c:pt idx="552">
                  <c:v>45868</c:v>
                </c:pt>
                <c:pt idx="553">
                  <c:v>45869</c:v>
                </c:pt>
                <c:pt idx="554">
                  <c:v>45870</c:v>
                </c:pt>
                <c:pt idx="555">
                  <c:v>45873</c:v>
                </c:pt>
                <c:pt idx="556">
                  <c:v>45874</c:v>
                </c:pt>
                <c:pt idx="557" formatCode="yyyy\-mm\-dd">
                  <c:v>45875</c:v>
                </c:pt>
                <c:pt idx="558" formatCode="yyyy\-mm\-dd">
                  <c:v>45876</c:v>
                </c:pt>
                <c:pt idx="559" formatCode="yyyy\-mm\-dd">
                  <c:v>45877</c:v>
                </c:pt>
                <c:pt idx="560" formatCode="yyyy\-mm\-dd">
                  <c:v>45880</c:v>
                </c:pt>
                <c:pt idx="561" formatCode="yyyy\-mm\-dd">
                  <c:v>45881</c:v>
                </c:pt>
                <c:pt idx="562" formatCode="yyyy\-mm\-dd">
                  <c:v>45882</c:v>
                </c:pt>
                <c:pt idx="563" formatCode="yyyy\-mm\-dd">
                  <c:v>45883</c:v>
                </c:pt>
                <c:pt idx="564" formatCode="yyyy\-mm\-dd">
                  <c:v>45884</c:v>
                </c:pt>
                <c:pt idx="565" formatCode="yyyy\-mm\-dd">
                  <c:v>45887</c:v>
                </c:pt>
                <c:pt idx="566" formatCode="yyyy\-mm\-dd">
                  <c:v>45888</c:v>
                </c:pt>
                <c:pt idx="567" formatCode="yyyy\-mm\-dd">
                  <c:v>45889</c:v>
                </c:pt>
                <c:pt idx="568" formatCode="yyyy\-mm\-dd">
                  <c:v>45890</c:v>
                </c:pt>
                <c:pt idx="569" formatCode="yyyy\-mm\-dd">
                  <c:v>45891</c:v>
                </c:pt>
                <c:pt idx="570" formatCode="yyyy\-mm\-dd">
                  <c:v>45894</c:v>
                </c:pt>
                <c:pt idx="571" formatCode="yyyy\-mm\-dd">
                  <c:v>45895</c:v>
                </c:pt>
                <c:pt idx="572" formatCode="yyyy\-mm\-dd">
                  <c:v>45896</c:v>
                </c:pt>
                <c:pt idx="573" formatCode="yyyy\-mm\-dd">
                  <c:v>45897</c:v>
                </c:pt>
                <c:pt idx="574" formatCode="yyyy\-mm\-dd">
                  <c:v>45898</c:v>
                </c:pt>
                <c:pt idx="575" formatCode="yyyy\-mm\-dd">
                  <c:v>45901</c:v>
                </c:pt>
                <c:pt idx="576" formatCode="yyyy\-mm\-dd">
                  <c:v>45902</c:v>
                </c:pt>
                <c:pt idx="577" formatCode="yyyy\-mm\-dd">
                  <c:v>45903</c:v>
                </c:pt>
                <c:pt idx="578" formatCode="yyyy\-mm\-dd">
                  <c:v>45904</c:v>
                </c:pt>
                <c:pt idx="579" formatCode="yyyy\-mm\-dd">
                  <c:v>45905</c:v>
                </c:pt>
                <c:pt idx="580" formatCode="yyyy\-mm\-dd">
                  <c:v>45908</c:v>
                </c:pt>
                <c:pt idx="581" formatCode="yyyy\-mm\-dd">
                  <c:v>45909</c:v>
                </c:pt>
                <c:pt idx="582" formatCode="yyyy\-mm\-dd">
                  <c:v>45910</c:v>
                </c:pt>
                <c:pt idx="583" formatCode="yyyy\-mm\-dd">
                  <c:v>45911</c:v>
                </c:pt>
                <c:pt idx="584" formatCode="yyyy\-mm\-dd">
                  <c:v>45912</c:v>
                </c:pt>
                <c:pt idx="585" formatCode="yyyy\-mm\-dd">
                  <c:v>45915</c:v>
                </c:pt>
                <c:pt idx="586" formatCode="yyyy\-mm\-dd">
                  <c:v>45916</c:v>
                </c:pt>
                <c:pt idx="587" formatCode="yyyy\-mm\-dd">
                  <c:v>45917</c:v>
                </c:pt>
                <c:pt idx="588" formatCode="yyyy\-mm\-dd">
                  <c:v>45918</c:v>
                </c:pt>
                <c:pt idx="589" formatCode="yyyy\-mm\-dd">
                  <c:v>45919</c:v>
                </c:pt>
                <c:pt idx="590" formatCode="yyyy\-mm\-dd">
                  <c:v>45922</c:v>
                </c:pt>
                <c:pt idx="591" formatCode="yyyy\-mm\-dd">
                  <c:v>45923</c:v>
                </c:pt>
                <c:pt idx="592" formatCode="yyyy\-mm\-dd">
                  <c:v>45924</c:v>
                </c:pt>
                <c:pt idx="593" formatCode="yyyy\-mm\-dd">
                  <c:v>45925</c:v>
                </c:pt>
                <c:pt idx="594" formatCode="yyyy\-mm\-dd">
                  <c:v>45926</c:v>
                </c:pt>
                <c:pt idx="595" formatCode="yyyy\-mm\-dd">
                  <c:v>45929</c:v>
                </c:pt>
                <c:pt idx="596" formatCode="yyyy\-mm\-dd">
                  <c:v>45930</c:v>
                </c:pt>
                <c:pt idx="597" formatCode="yyyy\-mm\-dd">
                  <c:v>45939</c:v>
                </c:pt>
                <c:pt idx="598" formatCode="yyyy\-mm\-dd">
                  <c:v>45940</c:v>
                </c:pt>
                <c:pt idx="599" formatCode="yyyy\-mm\-dd">
                  <c:v>45943</c:v>
                </c:pt>
                <c:pt idx="600" formatCode="yyyy\-mm\-dd">
                  <c:v>45944</c:v>
                </c:pt>
                <c:pt idx="601" formatCode="yyyy\-mm\-dd">
                  <c:v>45945</c:v>
                </c:pt>
                <c:pt idx="602" formatCode="yyyy\-mm\-dd">
                  <c:v>45946</c:v>
                </c:pt>
                <c:pt idx="603" formatCode="yyyy\-mm\-dd">
                  <c:v>45947</c:v>
                </c:pt>
                <c:pt idx="604" formatCode="yyyy\-mm\-dd">
                  <c:v>45950</c:v>
                </c:pt>
                <c:pt idx="605" formatCode="yyyy\-mm\-dd">
                  <c:v>45951</c:v>
                </c:pt>
                <c:pt idx="606" formatCode="yyyy\-mm\-dd">
                  <c:v>45952</c:v>
                </c:pt>
                <c:pt idx="607" formatCode="yyyy\-mm\-dd">
                  <c:v>45953</c:v>
                </c:pt>
                <c:pt idx="608" formatCode="yyyy\-mm\-dd">
                  <c:v>45954</c:v>
                </c:pt>
                <c:pt idx="609" formatCode="yyyy\-mm\-dd">
                  <c:v>45957</c:v>
                </c:pt>
                <c:pt idx="610" formatCode="yyyy\-mm\-dd">
                  <c:v>45958</c:v>
                </c:pt>
                <c:pt idx="611" formatCode="yyyy\-mm\-dd">
                  <c:v>45959</c:v>
                </c:pt>
                <c:pt idx="612" formatCode="yyyy\-mm\-dd">
                  <c:v>45960</c:v>
                </c:pt>
                <c:pt idx="613" formatCode="yyyy\-mm\-dd">
                  <c:v>45961</c:v>
                </c:pt>
                <c:pt idx="614" formatCode="yyyy\-mm\-dd">
                  <c:v>45964</c:v>
                </c:pt>
                <c:pt idx="615" formatCode="yyyy\-mm\-dd">
                  <c:v>45965</c:v>
                </c:pt>
                <c:pt idx="616" formatCode="yyyy\-mm\-dd">
                  <c:v>45966</c:v>
                </c:pt>
                <c:pt idx="617" formatCode="yyyy\-mm\-dd">
                  <c:v>45967</c:v>
                </c:pt>
                <c:pt idx="618" formatCode="yyyy\-mm\-dd">
                  <c:v>45968</c:v>
                </c:pt>
                <c:pt idx="619" formatCode="yyyy\-mm\-dd">
                  <c:v>45971</c:v>
                </c:pt>
                <c:pt idx="620" formatCode="yyyy\-mm\-dd">
                  <c:v>45972</c:v>
                </c:pt>
                <c:pt idx="621" formatCode="yyyy\-mm\-dd">
                  <c:v>45973</c:v>
                </c:pt>
                <c:pt idx="622" formatCode="yyyy\-mm\-dd">
                  <c:v>45974</c:v>
                </c:pt>
                <c:pt idx="623" formatCode="yyyy\-mm\-dd">
                  <c:v>45975</c:v>
                </c:pt>
                <c:pt idx="624" formatCode="yyyy\-mm\-dd">
                  <c:v>45978</c:v>
                </c:pt>
                <c:pt idx="625" formatCode="yyyy\-mm\-dd">
                  <c:v>45979</c:v>
                </c:pt>
                <c:pt idx="626" formatCode="yyyy\-mm\-dd">
                  <c:v>45980</c:v>
                </c:pt>
                <c:pt idx="627" formatCode="yyyy\-mm\-dd">
                  <c:v>45981</c:v>
                </c:pt>
                <c:pt idx="628" formatCode="yyyy\-mm\-dd">
                  <c:v>45982</c:v>
                </c:pt>
                <c:pt idx="629" formatCode="yyyy\-mm\-dd">
                  <c:v>45985</c:v>
                </c:pt>
                <c:pt idx="630" formatCode="yyyy\-mm\-dd">
                  <c:v>45986</c:v>
                </c:pt>
                <c:pt idx="631" formatCode="yyyy\-mm\-dd">
                  <c:v>45987</c:v>
                </c:pt>
                <c:pt idx="632" formatCode="yyyy\-mm\-dd">
                  <c:v>45988</c:v>
                </c:pt>
                <c:pt idx="633" formatCode="yyyy\-mm\-dd">
                  <c:v>45989</c:v>
                </c:pt>
                <c:pt idx="634" formatCode="yyyy\-mm\-dd">
                  <c:v>45992</c:v>
                </c:pt>
                <c:pt idx="635" formatCode="yyyy\-mm\-dd">
                  <c:v>45993</c:v>
                </c:pt>
                <c:pt idx="636" formatCode="yyyy\-mm\-dd">
                  <c:v>45994</c:v>
                </c:pt>
                <c:pt idx="637" formatCode="yyyy\-mm\-dd">
                  <c:v>45995</c:v>
                </c:pt>
                <c:pt idx="638" formatCode="yyyy\-mm\-dd">
                  <c:v>45996</c:v>
                </c:pt>
                <c:pt idx="639" formatCode="yyyy\-mm\-dd">
                  <c:v>45999</c:v>
                </c:pt>
                <c:pt idx="640" formatCode="yyyy\-mm\-dd">
                  <c:v>46000</c:v>
                </c:pt>
                <c:pt idx="641" formatCode="yyyy\-mm\-dd">
                  <c:v>46001</c:v>
                </c:pt>
                <c:pt idx="642" formatCode="yyyy\-mm\-dd">
                  <c:v>46002</c:v>
                </c:pt>
                <c:pt idx="643" formatCode="yyyy\-mm\-dd">
                  <c:v>46003</c:v>
                </c:pt>
                <c:pt idx="644" formatCode="yyyy\-mm\-dd">
                  <c:v>46006</c:v>
                </c:pt>
                <c:pt idx="645" formatCode="yyyy\-mm\-dd">
                  <c:v>46007</c:v>
                </c:pt>
                <c:pt idx="646" formatCode="yyyy\-mm\-dd">
                  <c:v>46008</c:v>
                </c:pt>
                <c:pt idx="647" formatCode="yyyy\-mm\-dd">
                  <c:v>46009</c:v>
                </c:pt>
                <c:pt idx="648" formatCode="yyyy\-mm\-dd">
                  <c:v>46010</c:v>
                </c:pt>
                <c:pt idx="649" formatCode="yyyy\-mm\-dd">
                  <c:v>46013</c:v>
                </c:pt>
                <c:pt idx="650" formatCode="yyyy\-mm\-dd">
                  <c:v>46014</c:v>
                </c:pt>
                <c:pt idx="651" formatCode="yyyy\-mm\-dd">
                  <c:v>46015</c:v>
                </c:pt>
                <c:pt idx="652" formatCode="yyyy\-mm\-dd">
                  <c:v>46016</c:v>
                </c:pt>
                <c:pt idx="653" formatCode="yyyy\-mm\-dd">
                  <c:v>46017</c:v>
                </c:pt>
                <c:pt idx="654" formatCode="yyyy\-mm\-dd">
                  <c:v>46020</c:v>
                </c:pt>
                <c:pt idx="655" formatCode="yyyy\-mm\-dd">
                  <c:v>46021</c:v>
                </c:pt>
                <c:pt idx="656" formatCode="yyyy\-mm\-dd">
                  <c:v>46022</c:v>
                </c:pt>
                <c:pt idx="657" formatCode="yyyy\-mm\-dd">
                  <c:v>46027</c:v>
                </c:pt>
                <c:pt idx="658" formatCode="yyyy\-mm\-dd">
                  <c:v>46028</c:v>
                </c:pt>
                <c:pt idx="659" formatCode="yyyy\-mm\-dd">
                  <c:v>46029</c:v>
                </c:pt>
                <c:pt idx="660" formatCode="yyyy\-mm\-dd">
                  <c:v>46030</c:v>
                </c:pt>
                <c:pt idx="661" formatCode="yyyy\-mm\-dd">
                  <c:v>46031</c:v>
                </c:pt>
                <c:pt idx="662" formatCode="yyyy\-mm\-dd">
                  <c:v>46034</c:v>
                </c:pt>
                <c:pt idx="663" formatCode="yyyy\-mm\-dd">
                  <c:v>46035</c:v>
                </c:pt>
                <c:pt idx="664" formatCode="yyyy\-mm\-dd">
                  <c:v>46036</c:v>
                </c:pt>
                <c:pt idx="665" formatCode="yyyy\-mm\-dd">
                  <c:v>46037</c:v>
                </c:pt>
                <c:pt idx="666" formatCode="yyyy\-mm\-dd">
                  <c:v>46038</c:v>
                </c:pt>
                <c:pt idx="667" formatCode="yyyy\-mm\-dd">
                  <c:v>46041</c:v>
                </c:pt>
                <c:pt idx="668" formatCode="yyyy\-mm\-dd">
                  <c:v>46042</c:v>
                </c:pt>
                <c:pt idx="669" formatCode="yyyy\-mm\-dd">
                  <c:v>46043</c:v>
                </c:pt>
                <c:pt idx="670" formatCode="yyyy\-mm\-dd">
                  <c:v>46044</c:v>
                </c:pt>
                <c:pt idx="671" formatCode="yyyy\-mm\-dd">
                  <c:v>46045</c:v>
                </c:pt>
                <c:pt idx="672" formatCode="yyyy\-mm\-dd">
                  <c:v>46048</c:v>
                </c:pt>
                <c:pt idx="673" formatCode="yyyy\-mm\-dd">
                  <c:v>46049</c:v>
                </c:pt>
                <c:pt idx="674" formatCode="yyyy\-mm\-dd">
                  <c:v>46050</c:v>
                </c:pt>
                <c:pt idx="675" formatCode="yyyy\-mm\-dd">
                  <c:v>46051</c:v>
                </c:pt>
                <c:pt idx="676" formatCode="yyyy\-mm\-dd">
                  <c:v>46052</c:v>
                </c:pt>
                <c:pt idx="677" formatCode="yyyy\-mm\-dd">
                  <c:v>46055</c:v>
                </c:pt>
                <c:pt idx="678" formatCode="yyyy\-mm\-dd">
                  <c:v>46056</c:v>
                </c:pt>
                <c:pt idx="679" formatCode="yyyy\-mm\-dd">
                  <c:v>46057</c:v>
                </c:pt>
                <c:pt idx="680" formatCode="yyyy\-mm\-dd">
                  <c:v>46058</c:v>
                </c:pt>
                <c:pt idx="681" formatCode="yyyy\-mm\-dd">
                  <c:v>46059</c:v>
                </c:pt>
                <c:pt idx="682" formatCode="yyyy\-mm\-dd">
                  <c:v>46062</c:v>
                </c:pt>
                <c:pt idx="683" formatCode="yyyy\-mm\-dd">
                  <c:v>46063</c:v>
                </c:pt>
                <c:pt idx="684" formatCode="yyyy\-mm\-dd">
                  <c:v>46064</c:v>
                </c:pt>
                <c:pt idx="685" formatCode="yyyy\-mm\-dd">
                  <c:v>46065</c:v>
                </c:pt>
                <c:pt idx="686" formatCode="yyyy\-mm\-dd">
                  <c:v>46066</c:v>
                </c:pt>
                <c:pt idx="687" formatCode="yyyy\-mm\-dd">
                  <c:v>46077</c:v>
                </c:pt>
                <c:pt idx="688" formatCode="yyyy\-mm\-dd">
                  <c:v>46078</c:v>
                </c:pt>
                <c:pt idx="689" formatCode="yyyy\-mm\-dd">
                  <c:v>46079</c:v>
                </c:pt>
                <c:pt idx="690" formatCode="yyyy\-mm\-dd">
                  <c:v>46080</c:v>
                </c:pt>
                <c:pt idx="691" formatCode="yyyy\-mm\-dd">
                  <c:v>46083</c:v>
                </c:pt>
                <c:pt idx="692" formatCode="yyyy\-mm\-dd">
                  <c:v>46084</c:v>
                </c:pt>
                <c:pt idx="693" formatCode="yyyy\-mm\-dd">
                  <c:v>46085</c:v>
                </c:pt>
                <c:pt idx="694" formatCode="yyyy\-mm\-dd">
                  <c:v>46086</c:v>
                </c:pt>
                <c:pt idx="695" formatCode="yyyy\-mm\-dd">
                  <c:v>46087</c:v>
                </c:pt>
                <c:pt idx="696" formatCode="yyyy\-mm\-dd">
                  <c:v>46090</c:v>
                </c:pt>
                <c:pt idx="697" formatCode="yyyy\-mm\-dd">
                  <c:v>46091</c:v>
                </c:pt>
                <c:pt idx="698" formatCode="yyyy\-mm\-dd">
                  <c:v>46092</c:v>
                </c:pt>
                <c:pt idx="699" formatCode="yyyy\-mm\-dd">
                  <c:v>46093</c:v>
                </c:pt>
                <c:pt idx="700" formatCode="yyyy\-mm\-dd">
                  <c:v>46094</c:v>
                </c:pt>
                <c:pt idx="701" formatCode="yyyy\-mm\-dd">
                  <c:v>46097</c:v>
                </c:pt>
                <c:pt idx="702" formatCode="yyyy\-mm\-dd">
                  <c:v>46098</c:v>
                </c:pt>
                <c:pt idx="703" formatCode="yyyy\-mm\-dd">
                  <c:v>46099</c:v>
                </c:pt>
                <c:pt idx="704" formatCode="yyyy\-mm\-dd">
                  <c:v>46100</c:v>
                </c:pt>
                <c:pt idx="705" formatCode="yyyy\-mm\-dd">
                  <c:v>46101</c:v>
                </c:pt>
                <c:pt idx="706" formatCode="yyyy\-mm\-dd">
                  <c:v>46104</c:v>
                </c:pt>
                <c:pt idx="707" formatCode="yyyy\-mm\-dd">
                  <c:v>46105</c:v>
                </c:pt>
                <c:pt idx="708" formatCode="yyyy\-mm\-dd">
                  <c:v>46106</c:v>
                </c:pt>
                <c:pt idx="709" formatCode="yyyy\-mm\-dd">
                  <c:v>46107</c:v>
                </c:pt>
                <c:pt idx="710" formatCode="yyyy\-mm\-dd">
                  <c:v>46108</c:v>
                </c:pt>
                <c:pt idx="711" formatCode="yyyy\-mm\-dd">
                  <c:v>46111</c:v>
                </c:pt>
                <c:pt idx="712" formatCode="yyyy\-mm\-dd">
                  <c:v>46112</c:v>
                </c:pt>
                <c:pt idx="713" formatCode="yyyy\-mm\-dd">
                  <c:v>46113</c:v>
                </c:pt>
                <c:pt idx="714" formatCode="yyyy\-mm\-dd">
                  <c:v>46114</c:v>
                </c:pt>
                <c:pt idx="715" formatCode="yyyy\-mm\-dd">
                  <c:v>46115</c:v>
                </c:pt>
                <c:pt idx="716" formatCode="yyyy\-mm\-dd">
                  <c:v>46119</c:v>
                </c:pt>
                <c:pt idx="717" formatCode="yyyy\-mm\-dd">
                  <c:v>46120</c:v>
                </c:pt>
                <c:pt idx="718" formatCode="yyyy\-mm\-dd">
                  <c:v>46121</c:v>
                </c:pt>
                <c:pt idx="719" formatCode="yyyy\-mm\-dd">
                  <c:v>46122</c:v>
                </c:pt>
                <c:pt idx="720" formatCode="yyyy\-mm\-dd">
                  <c:v>46125</c:v>
                </c:pt>
                <c:pt idx="721" formatCode="yyyy\-mm\-dd">
                  <c:v>46126</c:v>
                </c:pt>
                <c:pt idx="722" formatCode="yyyy\-mm\-dd">
                  <c:v>46127</c:v>
                </c:pt>
                <c:pt idx="723" formatCode="yyyy\-mm\-dd">
                  <c:v>46128</c:v>
                </c:pt>
                <c:pt idx="724" formatCode="yyyy\-mm\-dd">
                  <c:v>46129</c:v>
                </c:pt>
                <c:pt idx="725" formatCode="yyyy\-mm\-dd">
                  <c:v>46132</c:v>
                </c:pt>
                <c:pt idx="726" formatCode="yyyy\-mm\-dd">
                  <c:v>46133</c:v>
                </c:pt>
                <c:pt idx="727" formatCode="yyyy\-mm\-dd">
                  <c:v>46134</c:v>
                </c:pt>
                <c:pt idx="728" formatCode="yyyy\-mm\-dd">
                  <c:v>46135</c:v>
                </c:pt>
                <c:pt idx="729" formatCode="yyyy\-mm\-dd">
                  <c:v>46136</c:v>
                </c:pt>
                <c:pt idx="730" formatCode="yyyy\-mm\-dd">
                  <c:v>46139</c:v>
                </c:pt>
                <c:pt idx="731" formatCode="yyyy\-mm\-dd">
                  <c:v>46140</c:v>
                </c:pt>
                <c:pt idx="732" formatCode="yyyy\-mm\-dd">
                  <c:v>46141</c:v>
                </c:pt>
                <c:pt idx="733" formatCode="yyyy\-mm\-dd">
                  <c:v>46142</c:v>
                </c:pt>
                <c:pt idx="734" formatCode="yyyy\-mm\-dd">
                  <c:v>46148</c:v>
                </c:pt>
                <c:pt idx="735" formatCode="yyyy\-mm\-dd">
                  <c:v>46149</c:v>
                </c:pt>
                <c:pt idx="736" formatCode="yyyy\-mm\-dd">
                  <c:v>46150</c:v>
                </c:pt>
              </c:numCache>
            </c:numRef>
          </c:cat>
          <c:val>
            <c:numRef>
              <c:f>'涨停数量 '!$C$233:$C$969</c:f>
              <c:numCache>
                <c:formatCode>General</c:formatCode>
                <c:ptCount val="737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15</c:v>
                </c:pt>
                <c:pt idx="7">
                  <c:v>5</c:v>
                </c:pt>
                <c:pt idx="8">
                  <c:v>25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4</c:v>
                </c:pt>
                <c:pt idx="13">
                  <c:v>20</c:v>
                </c:pt>
                <c:pt idx="14">
                  <c:v>15</c:v>
                </c:pt>
                <c:pt idx="15">
                  <c:v>18</c:v>
                </c:pt>
                <c:pt idx="16">
                  <c:v>25</c:v>
                </c:pt>
                <c:pt idx="17">
                  <c:v>44</c:v>
                </c:pt>
                <c:pt idx="18">
                  <c:v>47</c:v>
                </c:pt>
                <c:pt idx="19">
                  <c:v>73</c:v>
                </c:pt>
                <c:pt idx="20">
                  <c:v>52</c:v>
                </c:pt>
                <c:pt idx="21">
                  <c:v>56</c:v>
                </c:pt>
                <c:pt idx="22">
                  <c:v>28</c:v>
                </c:pt>
                <c:pt idx="23">
                  <c:v>30</c:v>
                </c:pt>
                <c:pt idx="24">
                  <c:v>50</c:v>
                </c:pt>
                <c:pt idx="25">
                  <c:v>51</c:v>
                </c:pt>
                <c:pt idx="26">
                  <c:v>72</c:v>
                </c:pt>
                <c:pt idx="27">
                  <c:v>49</c:v>
                </c:pt>
                <c:pt idx="28">
                  <c:v>37</c:v>
                </c:pt>
                <c:pt idx="29">
                  <c:v>37</c:v>
                </c:pt>
                <c:pt idx="30">
                  <c:v>38</c:v>
                </c:pt>
                <c:pt idx="31">
                  <c:v>65</c:v>
                </c:pt>
                <c:pt idx="32">
                  <c:v>35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12</c:v>
                </c:pt>
                <c:pt idx="37">
                  <c:v>24</c:v>
                </c:pt>
                <c:pt idx="38">
                  <c:v>36</c:v>
                </c:pt>
                <c:pt idx="39">
                  <c:v>25</c:v>
                </c:pt>
                <c:pt idx="40">
                  <c:v>43</c:v>
                </c:pt>
                <c:pt idx="41">
                  <c:v>25</c:v>
                </c:pt>
                <c:pt idx="42">
                  <c:v>20</c:v>
                </c:pt>
                <c:pt idx="43">
                  <c:v>25</c:v>
                </c:pt>
                <c:pt idx="44">
                  <c:v>13</c:v>
                </c:pt>
                <c:pt idx="45">
                  <c:v>11</c:v>
                </c:pt>
                <c:pt idx="46">
                  <c:v>19</c:v>
                </c:pt>
                <c:pt idx="47">
                  <c:v>7</c:v>
                </c:pt>
                <c:pt idx="48">
                  <c:v>18</c:v>
                </c:pt>
                <c:pt idx="49">
                  <c:v>11</c:v>
                </c:pt>
                <c:pt idx="50">
                  <c:v>13</c:v>
                </c:pt>
                <c:pt idx="51">
                  <c:v>4</c:v>
                </c:pt>
                <c:pt idx="52">
                  <c:v>3</c:v>
                </c:pt>
                <c:pt idx="53">
                  <c:v>7</c:v>
                </c:pt>
                <c:pt idx="54">
                  <c:v>3</c:v>
                </c:pt>
                <c:pt idx="55">
                  <c:v>6</c:v>
                </c:pt>
                <c:pt idx="56">
                  <c:v>11</c:v>
                </c:pt>
                <c:pt idx="57">
                  <c:v>20</c:v>
                </c:pt>
                <c:pt idx="58">
                  <c:v>31</c:v>
                </c:pt>
                <c:pt idx="59">
                  <c:v>4</c:v>
                </c:pt>
                <c:pt idx="60">
                  <c:v>11</c:v>
                </c:pt>
                <c:pt idx="61">
                  <c:v>2</c:v>
                </c:pt>
                <c:pt idx="62">
                  <c:v>2</c:v>
                </c:pt>
                <c:pt idx="63">
                  <c:v>11</c:v>
                </c:pt>
                <c:pt idx="64">
                  <c:v>5</c:v>
                </c:pt>
                <c:pt idx="65">
                  <c:v>8</c:v>
                </c:pt>
                <c:pt idx="66">
                  <c:v>6</c:v>
                </c:pt>
                <c:pt idx="67">
                  <c:v>9</c:v>
                </c:pt>
                <c:pt idx="68">
                  <c:v>11</c:v>
                </c:pt>
                <c:pt idx="69">
                  <c:v>3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18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16</c:v>
                </c:pt>
                <c:pt idx="78">
                  <c:v>11</c:v>
                </c:pt>
                <c:pt idx="79">
                  <c:v>0</c:v>
                </c:pt>
                <c:pt idx="80">
                  <c:v>3</c:v>
                </c:pt>
                <c:pt idx="81">
                  <c:v>5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0</c:v>
                </c:pt>
                <c:pt idx="86">
                  <c:v>6</c:v>
                </c:pt>
                <c:pt idx="87">
                  <c:v>1</c:v>
                </c:pt>
                <c:pt idx="88">
                  <c:v>10</c:v>
                </c:pt>
                <c:pt idx="89">
                  <c:v>7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7</c:v>
                </c:pt>
                <c:pt idx="94">
                  <c:v>3</c:v>
                </c:pt>
                <c:pt idx="95">
                  <c:v>5</c:v>
                </c:pt>
                <c:pt idx="96">
                  <c:v>1</c:v>
                </c:pt>
                <c:pt idx="97">
                  <c:v>9</c:v>
                </c:pt>
                <c:pt idx="98">
                  <c:v>6</c:v>
                </c:pt>
                <c:pt idx="99">
                  <c:v>14</c:v>
                </c:pt>
                <c:pt idx="100">
                  <c:v>19</c:v>
                </c:pt>
                <c:pt idx="101">
                  <c:v>13</c:v>
                </c:pt>
                <c:pt idx="102">
                  <c:v>39</c:v>
                </c:pt>
                <c:pt idx="103">
                  <c:v>11</c:v>
                </c:pt>
                <c:pt idx="104">
                  <c:v>1</c:v>
                </c:pt>
                <c:pt idx="105">
                  <c:v>3</c:v>
                </c:pt>
                <c:pt idx="106">
                  <c:v>9</c:v>
                </c:pt>
                <c:pt idx="107">
                  <c:v>0</c:v>
                </c:pt>
                <c:pt idx="108">
                  <c:v>2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2</c:v>
                </c:pt>
                <c:pt idx="115">
                  <c:v>0</c:v>
                </c:pt>
                <c:pt idx="116">
                  <c:v>2</c:v>
                </c:pt>
                <c:pt idx="117">
                  <c:v>1</c:v>
                </c:pt>
                <c:pt idx="118">
                  <c:v>14</c:v>
                </c:pt>
                <c:pt idx="119">
                  <c:v>9</c:v>
                </c:pt>
                <c:pt idx="120">
                  <c:v>13</c:v>
                </c:pt>
                <c:pt idx="121">
                  <c:v>0</c:v>
                </c:pt>
                <c:pt idx="122">
                  <c:v>13</c:v>
                </c:pt>
                <c:pt idx="123">
                  <c:v>29</c:v>
                </c:pt>
                <c:pt idx="124">
                  <c:v>16</c:v>
                </c:pt>
                <c:pt idx="125">
                  <c:v>10</c:v>
                </c:pt>
                <c:pt idx="126">
                  <c:v>8</c:v>
                </c:pt>
                <c:pt idx="127">
                  <c:v>20</c:v>
                </c:pt>
                <c:pt idx="128">
                  <c:v>15</c:v>
                </c:pt>
                <c:pt idx="129">
                  <c:v>9</c:v>
                </c:pt>
                <c:pt idx="130">
                  <c:v>9</c:v>
                </c:pt>
                <c:pt idx="131">
                  <c:v>5</c:v>
                </c:pt>
                <c:pt idx="132">
                  <c:v>14</c:v>
                </c:pt>
                <c:pt idx="133">
                  <c:v>16</c:v>
                </c:pt>
                <c:pt idx="134">
                  <c:v>25</c:v>
                </c:pt>
                <c:pt idx="135">
                  <c:v>31</c:v>
                </c:pt>
                <c:pt idx="136">
                  <c:v>29</c:v>
                </c:pt>
                <c:pt idx="137">
                  <c:v>39</c:v>
                </c:pt>
                <c:pt idx="138">
                  <c:v>7</c:v>
                </c:pt>
                <c:pt idx="139">
                  <c:v>3</c:v>
                </c:pt>
                <c:pt idx="140">
                  <c:v>5</c:v>
                </c:pt>
                <c:pt idx="141">
                  <c:v>4</c:v>
                </c:pt>
                <c:pt idx="142">
                  <c:v>11</c:v>
                </c:pt>
                <c:pt idx="143">
                  <c:v>16</c:v>
                </c:pt>
                <c:pt idx="144">
                  <c:v>10</c:v>
                </c:pt>
                <c:pt idx="145">
                  <c:v>4</c:v>
                </c:pt>
                <c:pt idx="146">
                  <c:v>2</c:v>
                </c:pt>
                <c:pt idx="147">
                  <c:v>3</c:v>
                </c:pt>
                <c:pt idx="148">
                  <c:v>0</c:v>
                </c:pt>
                <c:pt idx="149">
                  <c:v>6</c:v>
                </c:pt>
                <c:pt idx="150">
                  <c:v>26</c:v>
                </c:pt>
                <c:pt idx="151">
                  <c:v>17</c:v>
                </c:pt>
                <c:pt idx="152">
                  <c:v>9</c:v>
                </c:pt>
                <c:pt idx="153">
                  <c:v>5</c:v>
                </c:pt>
                <c:pt idx="154">
                  <c:v>4</c:v>
                </c:pt>
                <c:pt idx="155">
                  <c:v>8</c:v>
                </c:pt>
                <c:pt idx="156">
                  <c:v>10</c:v>
                </c:pt>
                <c:pt idx="157">
                  <c:v>7</c:v>
                </c:pt>
                <c:pt idx="158">
                  <c:v>5</c:v>
                </c:pt>
                <c:pt idx="159">
                  <c:v>11</c:v>
                </c:pt>
                <c:pt idx="160">
                  <c:v>16</c:v>
                </c:pt>
                <c:pt idx="161">
                  <c:v>13</c:v>
                </c:pt>
                <c:pt idx="162">
                  <c:v>25</c:v>
                </c:pt>
                <c:pt idx="163">
                  <c:v>13</c:v>
                </c:pt>
                <c:pt idx="164">
                  <c:v>13</c:v>
                </c:pt>
                <c:pt idx="165">
                  <c:v>9</c:v>
                </c:pt>
                <c:pt idx="166">
                  <c:v>3</c:v>
                </c:pt>
                <c:pt idx="167">
                  <c:v>8</c:v>
                </c:pt>
                <c:pt idx="168">
                  <c:v>12</c:v>
                </c:pt>
                <c:pt idx="169">
                  <c:v>11</c:v>
                </c:pt>
                <c:pt idx="170">
                  <c:v>21</c:v>
                </c:pt>
                <c:pt idx="171">
                  <c:v>17</c:v>
                </c:pt>
                <c:pt idx="172">
                  <c:v>9</c:v>
                </c:pt>
                <c:pt idx="173">
                  <c:v>7</c:v>
                </c:pt>
                <c:pt idx="174">
                  <c:v>9</c:v>
                </c:pt>
                <c:pt idx="175">
                  <c:v>19</c:v>
                </c:pt>
                <c:pt idx="176">
                  <c:v>14</c:v>
                </c:pt>
                <c:pt idx="177">
                  <c:v>39</c:v>
                </c:pt>
                <c:pt idx="178">
                  <c:v>20</c:v>
                </c:pt>
                <c:pt idx="179">
                  <c:v>17</c:v>
                </c:pt>
                <c:pt idx="180">
                  <c:v>15</c:v>
                </c:pt>
                <c:pt idx="181">
                  <c:v>61</c:v>
                </c:pt>
                <c:pt idx="182">
                  <c:v>35</c:v>
                </c:pt>
                <c:pt idx="183">
                  <c:v>16</c:v>
                </c:pt>
                <c:pt idx="184">
                  <c:v>22</c:v>
                </c:pt>
                <c:pt idx="185">
                  <c:v>11</c:v>
                </c:pt>
                <c:pt idx="186">
                  <c:v>4</c:v>
                </c:pt>
                <c:pt idx="187">
                  <c:v>8</c:v>
                </c:pt>
                <c:pt idx="188">
                  <c:v>11</c:v>
                </c:pt>
                <c:pt idx="189">
                  <c:v>11</c:v>
                </c:pt>
                <c:pt idx="190">
                  <c:v>17</c:v>
                </c:pt>
                <c:pt idx="191">
                  <c:v>22</c:v>
                </c:pt>
                <c:pt idx="192">
                  <c:v>10</c:v>
                </c:pt>
                <c:pt idx="193">
                  <c:v>16</c:v>
                </c:pt>
                <c:pt idx="194">
                  <c:v>6</c:v>
                </c:pt>
                <c:pt idx="195">
                  <c:v>9</c:v>
                </c:pt>
                <c:pt idx="196">
                  <c:v>8</c:v>
                </c:pt>
                <c:pt idx="197">
                  <c:v>9</c:v>
                </c:pt>
                <c:pt idx="198">
                  <c:v>18</c:v>
                </c:pt>
                <c:pt idx="199">
                  <c:v>13</c:v>
                </c:pt>
                <c:pt idx="200">
                  <c:v>26</c:v>
                </c:pt>
                <c:pt idx="201">
                  <c:v>105</c:v>
                </c:pt>
                <c:pt idx="202">
                  <c:v>30</c:v>
                </c:pt>
                <c:pt idx="203">
                  <c:v>4</c:v>
                </c:pt>
                <c:pt idx="204">
                  <c:v>5</c:v>
                </c:pt>
                <c:pt idx="205">
                  <c:v>11</c:v>
                </c:pt>
                <c:pt idx="206">
                  <c:v>83</c:v>
                </c:pt>
                <c:pt idx="207">
                  <c:v>87</c:v>
                </c:pt>
                <c:pt idx="208">
                  <c:v>184</c:v>
                </c:pt>
                <c:pt idx="209">
                  <c:v>99</c:v>
                </c:pt>
                <c:pt idx="210">
                  <c:v>108</c:v>
                </c:pt>
                <c:pt idx="211">
                  <c:v>1368</c:v>
                </c:pt>
                <c:pt idx="212">
                  <c:v>135</c:v>
                </c:pt>
                <c:pt idx="213">
                  <c:v>282</c:v>
                </c:pt>
                <c:pt idx="214">
                  <c:v>2</c:v>
                </c:pt>
                <c:pt idx="215">
                  <c:v>3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326</c:v>
                </c:pt>
                <c:pt idx="223">
                  <c:v>6</c:v>
                </c:pt>
                <c:pt idx="224">
                  <c:v>9</c:v>
                </c:pt>
                <c:pt idx="225">
                  <c:v>15</c:v>
                </c:pt>
                <c:pt idx="226">
                  <c:v>20</c:v>
                </c:pt>
                <c:pt idx="227">
                  <c:v>3</c:v>
                </c:pt>
                <c:pt idx="228">
                  <c:v>8</c:v>
                </c:pt>
                <c:pt idx="229">
                  <c:v>4</c:v>
                </c:pt>
                <c:pt idx="230">
                  <c:v>0</c:v>
                </c:pt>
                <c:pt idx="231">
                  <c:v>2</c:v>
                </c:pt>
                <c:pt idx="232">
                  <c:v>4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8</c:v>
                </c:pt>
                <c:pt idx="237">
                  <c:v>6</c:v>
                </c:pt>
                <c:pt idx="238">
                  <c:v>9</c:v>
                </c:pt>
                <c:pt idx="239">
                  <c:v>13</c:v>
                </c:pt>
                <c:pt idx="240">
                  <c:v>37</c:v>
                </c:pt>
                <c:pt idx="241">
                  <c:v>21</c:v>
                </c:pt>
                <c:pt idx="242">
                  <c:v>67</c:v>
                </c:pt>
                <c:pt idx="243">
                  <c:v>10</c:v>
                </c:pt>
                <c:pt idx="244">
                  <c:v>12</c:v>
                </c:pt>
                <c:pt idx="245">
                  <c:v>17</c:v>
                </c:pt>
                <c:pt idx="246">
                  <c:v>11</c:v>
                </c:pt>
                <c:pt idx="247">
                  <c:v>20</c:v>
                </c:pt>
                <c:pt idx="248">
                  <c:v>51</c:v>
                </c:pt>
                <c:pt idx="249">
                  <c:v>18</c:v>
                </c:pt>
                <c:pt idx="250">
                  <c:v>32</c:v>
                </c:pt>
                <c:pt idx="251">
                  <c:v>21</c:v>
                </c:pt>
                <c:pt idx="252">
                  <c:v>20</c:v>
                </c:pt>
                <c:pt idx="253">
                  <c:v>310</c:v>
                </c:pt>
                <c:pt idx="254">
                  <c:v>746</c:v>
                </c:pt>
                <c:pt idx="255">
                  <c:v>28</c:v>
                </c:pt>
                <c:pt idx="256">
                  <c:v>38</c:v>
                </c:pt>
                <c:pt idx="257">
                  <c:v>49</c:v>
                </c:pt>
                <c:pt idx="258">
                  <c:v>62</c:v>
                </c:pt>
                <c:pt idx="259">
                  <c:v>44</c:v>
                </c:pt>
                <c:pt idx="260">
                  <c:v>26</c:v>
                </c:pt>
                <c:pt idx="261">
                  <c:v>21</c:v>
                </c:pt>
                <c:pt idx="262">
                  <c:v>21</c:v>
                </c:pt>
                <c:pt idx="263">
                  <c:v>24</c:v>
                </c:pt>
                <c:pt idx="264">
                  <c:v>40</c:v>
                </c:pt>
                <c:pt idx="265">
                  <c:v>67</c:v>
                </c:pt>
                <c:pt idx="266">
                  <c:v>57</c:v>
                </c:pt>
                <c:pt idx="267">
                  <c:v>49</c:v>
                </c:pt>
                <c:pt idx="268">
                  <c:v>51</c:v>
                </c:pt>
                <c:pt idx="269">
                  <c:v>73</c:v>
                </c:pt>
                <c:pt idx="270">
                  <c:v>77</c:v>
                </c:pt>
                <c:pt idx="271">
                  <c:v>40</c:v>
                </c:pt>
                <c:pt idx="272">
                  <c:v>32</c:v>
                </c:pt>
                <c:pt idx="273">
                  <c:v>19</c:v>
                </c:pt>
                <c:pt idx="274">
                  <c:v>17</c:v>
                </c:pt>
                <c:pt idx="275">
                  <c:v>45</c:v>
                </c:pt>
                <c:pt idx="276">
                  <c:v>47</c:v>
                </c:pt>
                <c:pt idx="277">
                  <c:v>34</c:v>
                </c:pt>
                <c:pt idx="278">
                  <c:v>28</c:v>
                </c:pt>
                <c:pt idx="279">
                  <c:v>28</c:v>
                </c:pt>
                <c:pt idx="280">
                  <c:v>47</c:v>
                </c:pt>
                <c:pt idx="281">
                  <c:v>49</c:v>
                </c:pt>
                <c:pt idx="282">
                  <c:v>58</c:v>
                </c:pt>
                <c:pt idx="283">
                  <c:v>60</c:v>
                </c:pt>
                <c:pt idx="284">
                  <c:v>38</c:v>
                </c:pt>
                <c:pt idx="285">
                  <c:v>107</c:v>
                </c:pt>
                <c:pt idx="286">
                  <c:v>71</c:v>
                </c:pt>
                <c:pt idx="287">
                  <c:v>40</c:v>
                </c:pt>
                <c:pt idx="288">
                  <c:v>149</c:v>
                </c:pt>
                <c:pt idx="289">
                  <c:v>38</c:v>
                </c:pt>
                <c:pt idx="290">
                  <c:v>33</c:v>
                </c:pt>
                <c:pt idx="291">
                  <c:v>22</c:v>
                </c:pt>
                <c:pt idx="292">
                  <c:v>21</c:v>
                </c:pt>
                <c:pt idx="293">
                  <c:v>17</c:v>
                </c:pt>
                <c:pt idx="294">
                  <c:v>21</c:v>
                </c:pt>
                <c:pt idx="295">
                  <c:v>10</c:v>
                </c:pt>
                <c:pt idx="296">
                  <c:v>14</c:v>
                </c:pt>
                <c:pt idx="297">
                  <c:v>49</c:v>
                </c:pt>
                <c:pt idx="298">
                  <c:v>36</c:v>
                </c:pt>
                <c:pt idx="299">
                  <c:v>78</c:v>
                </c:pt>
                <c:pt idx="300">
                  <c:v>59</c:v>
                </c:pt>
                <c:pt idx="301">
                  <c:v>22</c:v>
                </c:pt>
                <c:pt idx="302">
                  <c:v>20</c:v>
                </c:pt>
                <c:pt idx="303">
                  <c:v>24</c:v>
                </c:pt>
                <c:pt idx="304">
                  <c:v>18</c:v>
                </c:pt>
                <c:pt idx="305">
                  <c:v>5</c:v>
                </c:pt>
                <c:pt idx="306">
                  <c:v>6</c:v>
                </c:pt>
                <c:pt idx="307">
                  <c:v>24</c:v>
                </c:pt>
                <c:pt idx="308">
                  <c:v>3</c:v>
                </c:pt>
                <c:pt idx="309">
                  <c:v>38</c:v>
                </c:pt>
                <c:pt idx="310">
                  <c:v>22</c:v>
                </c:pt>
                <c:pt idx="311">
                  <c:v>40</c:v>
                </c:pt>
                <c:pt idx="312">
                  <c:v>8</c:v>
                </c:pt>
                <c:pt idx="313">
                  <c:v>13</c:v>
                </c:pt>
                <c:pt idx="314">
                  <c:v>10</c:v>
                </c:pt>
                <c:pt idx="315">
                  <c:v>13</c:v>
                </c:pt>
                <c:pt idx="316">
                  <c:v>13</c:v>
                </c:pt>
                <c:pt idx="317">
                  <c:v>10</c:v>
                </c:pt>
                <c:pt idx="318">
                  <c:v>10</c:v>
                </c:pt>
                <c:pt idx="319">
                  <c:v>16</c:v>
                </c:pt>
                <c:pt idx="320">
                  <c:v>27</c:v>
                </c:pt>
                <c:pt idx="321">
                  <c:v>8</c:v>
                </c:pt>
                <c:pt idx="322">
                  <c:v>13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6</c:v>
                </c:pt>
                <c:pt idx="327">
                  <c:v>10</c:v>
                </c:pt>
                <c:pt idx="328">
                  <c:v>36</c:v>
                </c:pt>
                <c:pt idx="329">
                  <c:v>26</c:v>
                </c:pt>
                <c:pt idx="330">
                  <c:v>17</c:v>
                </c:pt>
                <c:pt idx="331">
                  <c:v>19</c:v>
                </c:pt>
                <c:pt idx="332">
                  <c:v>22</c:v>
                </c:pt>
                <c:pt idx="333">
                  <c:v>45</c:v>
                </c:pt>
                <c:pt idx="334">
                  <c:v>11</c:v>
                </c:pt>
                <c:pt idx="335">
                  <c:v>4</c:v>
                </c:pt>
                <c:pt idx="336">
                  <c:v>9</c:v>
                </c:pt>
                <c:pt idx="337">
                  <c:v>11</c:v>
                </c:pt>
                <c:pt idx="338">
                  <c:v>17</c:v>
                </c:pt>
                <c:pt idx="339">
                  <c:v>13</c:v>
                </c:pt>
                <c:pt idx="340">
                  <c:v>6</c:v>
                </c:pt>
                <c:pt idx="341">
                  <c:v>12</c:v>
                </c:pt>
                <c:pt idx="342">
                  <c:v>14</c:v>
                </c:pt>
                <c:pt idx="343">
                  <c:v>10</c:v>
                </c:pt>
                <c:pt idx="344">
                  <c:v>8</c:v>
                </c:pt>
                <c:pt idx="345">
                  <c:v>7</c:v>
                </c:pt>
                <c:pt idx="346">
                  <c:v>1</c:v>
                </c:pt>
                <c:pt idx="347">
                  <c:v>9</c:v>
                </c:pt>
                <c:pt idx="348">
                  <c:v>7</c:v>
                </c:pt>
                <c:pt idx="349">
                  <c:v>34</c:v>
                </c:pt>
                <c:pt idx="350">
                  <c:v>8</c:v>
                </c:pt>
                <c:pt idx="351">
                  <c:v>4</c:v>
                </c:pt>
                <c:pt idx="352">
                  <c:v>18</c:v>
                </c:pt>
                <c:pt idx="353">
                  <c:v>31</c:v>
                </c:pt>
                <c:pt idx="354">
                  <c:v>30</c:v>
                </c:pt>
                <c:pt idx="355">
                  <c:v>6</c:v>
                </c:pt>
                <c:pt idx="356">
                  <c:v>15</c:v>
                </c:pt>
                <c:pt idx="357">
                  <c:v>28</c:v>
                </c:pt>
                <c:pt idx="358">
                  <c:v>7</c:v>
                </c:pt>
                <c:pt idx="359">
                  <c:v>5</c:v>
                </c:pt>
                <c:pt idx="360">
                  <c:v>7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2</c:v>
                </c:pt>
                <c:pt idx="365">
                  <c:v>3</c:v>
                </c:pt>
                <c:pt idx="366">
                  <c:v>854</c:v>
                </c:pt>
                <c:pt idx="367">
                  <c:v>48</c:v>
                </c:pt>
                <c:pt idx="368">
                  <c:v>33</c:v>
                </c:pt>
                <c:pt idx="369">
                  <c:v>6</c:v>
                </c:pt>
                <c:pt idx="370">
                  <c:v>2</c:v>
                </c:pt>
                <c:pt idx="371">
                  <c:v>5</c:v>
                </c:pt>
                <c:pt idx="372">
                  <c:v>7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3</c:v>
                </c:pt>
                <c:pt idx="378">
                  <c:v>1</c:v>
                </c:pt>
                <c:pt idx="379">
                  <c:v>1</c:v>
                </c:pt>
                <c:pt idx="380">
                  <c:v>19</c:v>
                </c:pt>
                <c:pt idx="381">
                  <c:v>8</c:v>
                </c:pt>
                <c:pt idx="382">
                  <c:v>14</c:v>
                </c:pt>
                <c:pt idx="383">
                  <c:v>165</c:v>
                </c:pt>
                <c:pt idx="384">
                  <c:v>43</c:v>
                </c:pt>
                <c:pt idx="385">
                  <c:v>2</c:v>
                </c:pt>
                <c:pt idx="386">
                  <c:v>7</c:v>
                </c:pt>
                <c:pt idx="387">
                  <c:v>10</c:v>
                </c:pt>
                <c:pt idx="388">
                  <c:v>6</c:v>
                </c:pt>
                <c:pt idx="389">
                  <c:v>19</c:v>
                </c:pt>
                <c:pt idx="390">
                  <c:v>20</c:v>
                </c:pt>
                <c:pt idx="391">
                  <c:v>25</c:v>
                </c:pt>
                <c:pt idx="392">
                  <c:v>26</c:v>
                </c:pt>
                <c:pt idx="393">
                  <c:v>54</c:v>
                </c:pt>
                <c:pt idx="394">
                  <c:v>101</c:v>
                </c:pt>
                <c:pt idx="395">
                  <c:v>35</c:v>
                </c:pt>
                <c:pt idx="396">
                  <c:v>6</c:v>
                </c:pt>
                <c:pt idx="397">
                  <c:v>12</c:v>
                </c:pt>
                <c:pt idx="398">
                  <c:v>17</c:v>
                </c:pt>
                <c:pt idx="399">
                  <c:v>26</c:v>
                </c:pt>
                <c:pt idx="400">
                  <c:v>65</c:v>
                </c:pt>
                <c:pt idx="401">
                  <c:v>22</c:v>
                </c:pt>
                <c:pt idx="402">
                  <c:v>7</c:v>
                </c:pt>
                <c:pt idx="403">
                  <c:v>11</c:v>
                </c:pt>
                <c:pt idx="404">
                  <c:v>6</c:v>
                </c:pt>
                <c:pt idx="405">
                  <c:v>6</c:v>
                </c:pt>
                <c:pt idx="406">
                  <c:v>19</c:v>
                </c:pt>
                <c:pt idx="407">
                  <c:v>11</c:v>
                </c:pt>
                <c:pt idx="408">
                  <c:v>6</c:v>
                </c:pt>
                <c:pt idx="409">
                  <c:v>27</c:v>
                </c:pt>
                <c:pt idx="410">
                  <c:v>6</c:v>
                </c:pt>
                <c:pt idx="411">
                  <c:v>11</c:v>
                </c:pt>
                <c:pt idx="412">
                  <c:v>7</c:v>
                </c:pt>
                <c:pt idx="413">
                  <c:v>17</c:v>
                </c:pt>
                <c:pt idx="414">
                  <c:v>30</c:v>
                </c:pt>
                <c:pt idx="415">
                  <c:v>162</c:v>
                </c:pt>
                <c:pt idx="416">
                  <c:v>15</c:v>
                </c:pt>
                <c:pt idx="417">
                  <c:v>25</c:v>
                </c:pt>
                <c:pt idx="418">
                  <c:v>16</c:v>
                </c:pt>
                <c:pt idx="419">
                  <c:v>207</c:v>
                </c:pt>
                <c:pt idx="420">
                  <c:v>37</c:v>
                </c:pt>
                <c:pt idx="421">
                  <c:v>62</c:v>
                </c:pt>
                <c:pt idx="422">
                  <c:v>9</c:v>
                </c:pt>
                <c:pt idx="423">
                  <c:v>13</c:v>
                </c:pt>
                <c:pt idx="424">
                  <c:v>20</c:v>
                </c:pt>
                <c:pt idx="425">
                  <c:v>30</c:v>
                </c:pt>
                <c:pt idx="426">
                  <c:v>111</c:v>
                </c:pt>
                <c:pt idx="427">
                  <c:v>91</c:v>
                </c:pt>
                <c:pt idx="428">
                  <c:v>18</c:v>
                </c:pt>
                <c:pt idx="429">
                  <c:v>9</c:v>
                </c:pt>
                <c:pt idx="430">
                  <c:v>52</c:v>
                </c:pt>
                <c:pt idx="431">
                  <c:v>41</c:v>
                </c:pt>
                <c:pt idx="432">
                  <c:v>3</c:v>
                </c:pt>
                <c:pt idx="433">
                  <c:v>10</c:v>
                </c:pt>
                <c:pt idx="434">
                  <c:v>7</c:v>
                </c:pt>
                <c:pt idx="435">
                  <c:v>16</c:v>
                </c:pt>
                <c:pt idx="436">
                  <c:v>26</c:v>
                </c:pt>
                <c:pt idx="437">
                  <c:v>27</c:v>
                </c:pt>
                <c:pt idx="438">
                  <c:v>26</c:v>
                </c:pt>
                <c:pt idx="439">
                  <c:v>29</c:v>
                </c:pt>
                <c:pt idx="440">
                  <c:v>29</c:v>
                </c:pt>
                <c:pt idx="441">
                  <c:v>45</c:v>
                </c:pt>
                <c:pt idx="442">
                  <c:v>4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7</c:v>
                </c:pt>
                <c:pt idx="448">
                  <c:v>9</c:v>
                </c:pt>
                <c:pt idx="449">
                  <c:v>7</c:v>
                </c:pt>
                <c:pt idx="450">
                  <c:v>21</c:v>
                </c:pt>
                <c:pt idx="451">
                  <c:v>4</c:v>
                </c:pt>
                <c:pt idx="452">
                  <c:v>1</c:v>
                </c:pt>
                <c:pt idx="453">
                  <c:v>4</c:v>
                </c:pt>
                <c:pt idx="454">
                  <c:v>18</c:v>
                </c:pt>
                <c:pt idx="455">
                  <c:v>7</c:v>
                </c:pt>
                <c:pt idx="456">
                  <c:v>3</c:v>
                </c:pt>
                <c:pt idx="457">
                  <c:v>12</c:v>
                </c:pt>
                <c:pt idx="458">
                  <c:v>47</c:v>
                </c:pt>
                <c:pt idx="459">
                  <c:v>34</c:v>
                </c:pt>
                <c:pt idx="460">
                  <c:v>13</c:v>
                </c:pt>
                <c:pt idx="461">
                  <c:v>6</c:v>
                </c:pt>
                <c:pt idx="462">
                  <c:v>5</c:v>
                </c:pt>
                <c:pt idx="463">
                  <c:v>12</c:v>
                </c:pt>
                <c:pt idx="464">
                  <c:v>8</c:v>
                </c:pt>
                <c:pt idx="465">
                  <c:v>5</c:v>
                </c:pt>
                <c:pt idx="466">
                  <c:v>2</c:v>
                </c:pt>
                <c:pt idx="467">
                  <c:v>14</c:v>
                </c:pt>
                <c:pt idx="468">
                  <c:v>6</c:v>
                </c:pt>
                <c:pt idx="469">
                  <c:v>11</c:v>
                </c:pt>
                <c:pt idx="470">
                  <c:v>11</c:v>
                </c:pt>
                <c:pt idx="471">
                  <c:v>8</c:v>
                </c:pt>
                <c:pt idx="472">
                  <c:v>7</c:v>
                </c:pt>
                <c:pt idx="473">
                  <c:v>31</c:v>
                </c:pt>
                <c:pt idx="474">
                  <c:v>47</c:v>
                </c:pt>
                <c:pt idx="475">
                  <c:v>46</c:v>
                </c:pt>
                <c:pt idx="476">
                  <c:v>12</c:v>
                </c:pt>
                <c:pt idx="477">
                  <c:v>29</c:v>
                </c:pt>
                <c:pt idx="478">
                  <c:v>33</c:v>
                </c:pt>
                <c:pt idx="479">
                  <c:v>43</c:v>
                </c:pt>
                <c:pt idx="480">
                  <c:v>19</c:v>
                </c:pt>
                <c:pt idx="481">
                  <c:v>19</c:v>
                </c:pt>
                <c:pt idx="482">
                  <c:v>30</c:v>
                </c:pt>
                <c:pt idx="483">
                  <c:v>2902</c:v>
                </c:pt>
                <c:pt idx="484">
                  <c:v>168</c:v>
                </c:pt>
                <c:pt idx="485">
                  <c:v>13</c:v>
                </c:pt>
                <c:pt idx="486">
                  <c:v>2</c:v>
                </c:pt>
                <c:pt idx="487">
                  <c:v>11</c:v>
                </c:pt>
                <c:pt idx="488">
                  <c:v>2</c:v>
                </c:pt>
                <c:pt idx="489">
                  <c:v>9</c:v>
                </c:pt>
                <c:pt idx="490">
                  <c:v>5</c:v>
                </c:pt>
                <c:pt idx="491">
                  <c:v>2</c:v>
                </c:pt>
                <c:pt idx="492">
                  <c:v>10</c:v>
                </c:pt>
                <c:pt idx="493">
                  <c:v>11</c:v>
                </c:pt>
                <c:pt idx="494">
                  <c:v>12</c:v>
                </c:pt>
                <c:pt idx="495">
                  <c:v>18</c:v>
                </c:pt>
                <c:pt idx="496">
                  <c:v>11</c:v>
                </c:pt>
                <c:pt idx="497">
                  <c:v>18</c:v>
                </c:pt>
                <c:pt idx="498">
                  <c:v>9</c:v>
                </c:pt>
                <c:pt idx="499">
                  <c:v>11</c:v>
                </c:pt>
                <c:pt idx="500">
                  <c:v>11</c:v>
                </c:pt>
                <c:pt idx="501">
                  <c:v>0</c:v>
                </c:pt>
                <c:pt idx="502">
                  <c:v>9</c:v>
                </c:pt>
                <c:pt idx="503">
                  <c:v>3</c:v>
                </c:pt>
                <c:pt idx="504">
                  <c:v>17</c:v>
                </c:pt>
                <c:pt idx="505">
                  <c:v>12</c:v>
                </c:pt>
                <c:pt idx="506">
                  <c:v>4</c:v>
                </c:pt>
                <c:pt idx="507">
                  <c:v>5</c:v>
                </c:pt>
                <c:pt idx="508">
                  <c:v>9</c:v>
                </c:pt>
                <c:pt idx="509">
                  <c:v>15</c:v>
                </c:pt>
                <c:pt idx="510">
                  <c:v>19</c:v>
                </c:pt>
                <c:pt idx="511">
                  <c:v>12</c:v>
                </c:pt>
                <c:pt idx="512">
                  <c:v>2</c:v>
                </c:pt>
                <c:pt idx="513">
                  <c:v>12</c:v>
                </c:pt>
                <c:pt idx="514">
                  <c:v>5</c:v>
                </c:pt>
                <c:pt idx="515">
                  <c:v>3</c:v>
                </c:pt>
                <c:pt idx="516">
                  <c:v>2</c:v>
                </c:pt>
                <c:pt idx="517">
                  <c:v>6</c:v>
                </c:pt>
                <c:pt idx="518">
                  <c:v>5</c:v>
                </c:pt>
                <c:pt idx="519">
                  <c:v>15</c:v>
                </c:pt>
                <c:pt idx="520">
                  <c:v>6</c:v>
                </c:pt>
                <c:pt idx="521">
                  <c:v>9</c:v>
                </c:pt>
                <c:pt idx="522">
                  <c:v>13</c:v>
                </c:pt>
                <c:pt idx="523">
                  <c:v>20</c:v>
                </c:pt>
                <c:pt idx="524">
                  <c:v>19</c:v>
                </c:pt>
                <c:pt idx="525">
                  <c:v>1</c:v>
                </c:pt>
                <c:pt idx="526">
                  <c:v>19</c:v>
                </c:pt>
                <c:pt idx="527">
                  <c:v>6</c:v>
                </c:pt>
                <c:pt idx="528">
                  <c:v>3</c:v>
                </c:pt>
                <c:pt idx="529">
                  <c:v>5</c:v>
                </c:pt>
                <c:pt idx="530">
                  <c:v>5</c:v>
                </c:pt>
                <c:pt idx="531">
                  <c:v>6</c:v>
                </c:pt>
                <c:pt idx="532">
                  <c:v>9</c:v>
                </c:pt>
                <c:pt idx="533">
                  <c:v>7</c:v>
                </c:pt>
                <c:pt idx="534">
                  <c:v>12</c:v>
                </c:pt>
                <c:pt idx="535">
                  <c:v>4</c:v>
                </c:pt>
                <c:pt idx="536">
                  <c:v>7</c:v>
                </c:pt>
                <c:pt idx="537">
                  <c:v>6</c:v>
                </c:pt>
                <c:pt idx="538">
                  <c:v>14</c:v>
                </c:pt>
                <c:pt idx="539">
                  <c:v>13</c:v>
                </c:pt>
                <c:pt idx="540">
                  <c:v>18</c:v>
                </c:pt>
                <c:pt idx="541">
                  <c:v>25</c:v>
                </c:pt>
                <c:pt idx="542">
                  <c:v>8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9</c:v>
                </c:pt>
                <c:pt idx="547">
                  <c:v>10</c:v>
                </c:pt>
                <c:pt idx="548">
                  <c:v>1</c:v>
                </c:pt>
                <c:pt idx="549">
                  <c:v>15</c:v>
                </c:pt>
                <c:pt idx="550">
                  <c:v>12</c:v>
                </c:pt>
                <c:pt idx="551">
                  <c:v>7</c:v>
                </c:pt>
                <c:pt idx="552">
                  <c:v>9</c:v>
                </c:pt>
                <c:pt idx="553">
                  <c:v>6</c:v>
                </c:pt>
                <c:pt idx="554">
                  <c:v>9</c:v>
                </c:pt>
                <c:pt idx="555">
                  <c:v>6</c:v>
                </c:pt>
                <c:pt idx="556">
                  <c:v>2</c:v>
                </c:pt>
                <c:pt idx="557">
                  <c:v>3</c:v>
                </c:pt>
                <c:pt idx="558">
                  <c:v>8</c:v>
                </c:pt>
                <c:pt idx="559">
                  <c:v>2</c:v>
                </c:pt>
                <c:pt idx="560">
                  <c:v>12</c:v>
                </c:pt>
                <c:pt idx="561">
                  <c:v>5</c:v>
                </c:pt>
                <c:pt idx="562">
                  <c:v>5</c:v>
                </c:pt>
                <c:pt idx="563">
                  <c:v>15</c:v>
                </c:pt>
                <c:pt idx="564">
                  <c:v>4</c:v>
                </c:pt>
                <c:pt idx="565">
                  <c:v>2</c:v>
                </c:pt>
                <c:pt idx="566">
                  <c:v>10</c:v>
                </c:pt>
                <c:pt idx="567">
                  <c:v>14</c:v>
                </c:pt>
                <c:pt idx="568">
                  <c:v>14</c:v>
                </c:pt>
                <c:pt idx="569">
                  <c:v>2</c:v>
                </c:pt>
                <c:pt idx="570">
                  <c:v>8</c:v>
                </c:pt>
                <c:pt idx="571">
                  <c:v>8</c:v>
                </c:pt>
                <c:pt idx="572">
                  <c:v>14</c:v>
                </c:pt>
                <c:pt idx="573">
                  <c:v>9</c:v>
                </c:pt>
                <c:pt idx="574">
                  <c:v>12</c:v>
                </c:pt>
                <c:pt idx="575">
                  <c:v>7</c:v>
                </c:pt>
                <c:pt idx="576">
                  <c:v>25</c:v>
                </c:pt>
                <c:pt idx="577">
                  <c:v>22</c:v>
                </c:pt>
                <c:pt idx="578">
                  <c:v>47</c:v>
                </c:pt>
                <c:pt idx="579">
                  <c:v>7</c:v>
                </c:pt>
                <c:pt idx="580">
                  <c:v>7</c:v>
                </c:pt>
                <c:pt idx="581">
                  <c:v>7</c:v>
                </c:pt>
                <c:pt idx="582">
                  <c:v>5</c:v>
                </c:pt>
                <c:pt idx="583">
                  <c:v>6</c:v>
                </c:pt>
                <c:pt idx="584">
                  <c:v>7</c:v>
                </c:pt>
                <c:pt idx="585">
                  <c:v>11</c:v>
                </c:pt>
                <c:pt idx="586">
                  <c:v>7</c:v>
                </c:pt>
                <c:pt idx="587">
                  <c:v>4</c:v>
                </c:pt>
                <c:pt idx="588">
                  <c:v>8</c:v>
                </c:pt>
                <c:pt idx="589">
                  <c:v>26</c:v>
                </c:pt>
                <c:pt idx="590">
                  <c:v>12</c:v>
                </c:pt>
                <c:pt idx="591">
                  <c:v>24</c:v>
                </c:pt>
                <c:pt idx="592">
                  <c:v>13</c:v>
                </c:pt>
                <c:pt idx="593">
                  <c:v>9</c:v>
                </c:pt>
                <c:pt idx="594">
                  <c:v>24</c:v>
                </c:pt>
                <c:pt idx="595">
                  <c:v>7</c:v>
                </c:pt>
                <c:pt idx="596">
                  <c:v>10</c:v>
                </c:pt>
                <c:pt idx="597">
                  <c:v>24</c:v>
                </c:pt>
                <c:pt idx="598">
                  <c:v>15</c:v>
                </c:pt>
                <c:pt idx="599">
                  <c:v>10</c:v>
                </c:pt>
                <c:pt idx="600">
                  <c:v>8</c:v>
                </c:pt>
                <c:pt idx="601">
                  <c:v>7</c:v>
                </c:pt>
                <c:pt idx="602">
                  <c:v>7</c:v>
                </c:pt>
                <c:pt idx="603">
                  <c:v>28</c:v>
                </c:pt>
                <c:pt idx="604">
                  <c:v>6</c:v>
                </c:pt>
                <c:pt idx="605">
                  <c:v>5</c:v>
                </c:pt>
                <c:pt idx="606">
                  <c:v>8</c:v>
                </c:pt>
                <c:pt idx="607">
                  <c:v>9</c:v>
                </c:pt>
                <c:pt idx="608">
                  <c:v>10</c:v>
                </c:pt>
                <c:pt idx="609">
                  <c:v>15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17</c:v>
                </c:pt>
                <c:pt idx="614">
                  <c:v>11</c:v>
                </c:pt>
                <c:pt idx="615">
                  <c:v>8</c:v>
                </c:pt>
                <c:pt idx="616">
                  <c:v>7</c:v>
                </c:pt>
                <c:pt idx="617">
                  <c:v>17</c:v>
                </c:pt>
                <c:pt idx="618">
                  <c:v>8</c:v>
                </c:pt>
                <c:pt idx="619">
                  <c:v>10</c:v>
                </c:pt>
                <c:pt idx="620">
                  <c:v>6</c:v>
                </c:pt>
                <c:pt idx="621">
                  <c:v>10</c:v>
                </c:pt>
                <c:pt idx="622">
                  <c:v>0</c:v>
                </c:pt>
                <c:pt idx="623">
                  <c:v>9</c:v>
                </c:pt>
                <c:pt idx="624">
                  <c:v>10</c:v>
                </c:pt>
                <c:pt idx="625">
                  <c:v>36</c:v>
                </c:pt>
                <c:pt idx="626">
                  <c:v>33</c:v>
                </c:pt>
                <c:pt idx="627">
                  <c:v>20</c:v>
                </c:pt>
                <c:pt idx="628">
                  <c:v>99</c:v>
                </c:pt>
                <c:pt idx="629">
                  <c:v>34</c:v>
                </c:pt>
                <c:pt idx="630">
                  <c:v>5</c:v>
                </c:pt>
                <c:pt idx="631">
                  <c:v>6</c:v>
                </c:pt>
                <c:pt idx="632">
                  <c:v>14</c:v>
                </c:pt>
                <c:pt idx="633">
                  <c:v>6</c:v>
                </c:pt>
                <c:pt idx="634">
                  <c:v>7</c:v>
                </c:pt>
                <c:pt idx="635">
                  <c:v>7</c:v>
                </c:pt>
                <c:pt idx="636">
                  <c:v>14</c:v>
                </c:pt>
                <c:pt idx="637">
                  <c:v>26</c:v>
                </c:pt>
                <c:pt idx="638">
                  <c:v>12</c:v>
                </c:pt>
                <c:pt idx="639">
                  <c:v>8</c:v>
                </c:pt>
                <c:pt idx="640">
                  <c:v>12</c:v>
                </c:pt>
                <c:pt idx="641">
                  <c:v>11</c:v>
                </c:pt>
                <c:pt idx="642">
                  <c:v>29</c:v>
                </c:pt>
                <c:pt idx="643">
                  <c:v>26</c:v>
                </c:pt>
                <c:pt idx="644">
                  <c:v>24</c:v>
                </c:pt>
                <c:pt idx="645">
                  <c:v>36</c:v>
                </c:pt>
                <c:pt idx="646">
                  <c:v>25</c:v>
                </c:pt>
                <c:pt idx="647">
                  <c:v>8</c:v>
                </c:pt>
                <c:pt idx="648">
                  <c:v>6</c:v>
                </c:pt>
                <c:pt idx="649">
                  <c:v>8</c:v>
                </c:pt>
                <c:pt idx="650">
                  <c:v>15</c:v>
                </c:pt>
                <c:pt idx="651">
                  <c:v>6</c:v>
                </c:pt>
                <c:pt idx="652">
                  <c:v>2</c:v>
                </c:pt>
                <c:pt idx="653">
                  <c:v>3</c:v>
                </c:pt>
                <c:pt idx="654">
                  <c:v>25</c:v>
                </c:pt>
                <c:pt idx="655">
                  <c:v>19</c:v>
                </c:pt>
                <c:pt idx="656">
                  <c:v>12</c:v>
                </c:pt>
                <c:pt idx="657">
                  <c:v>12</c:v>
                </c:pt>
                <c:pt idx="658">
                  <c:v>2</c:v>
                </c:pt>
                <c:pt idx="659">
                  <c:v>7</c:v>
                </c:pt>
                <c:pt idx="660">
                  <c:v>6</c:v>
                </c:pt>
                <c:pt idx="661">
                  <c:v>1</c:v>
                </c:pt>
                <c:pt idx="662">
                  <c:v>9</c:v>
                </c:pt>
                <c:pt idx="663">
                  <c:v>56</c:v>
                </c:pt>
                <c:pt idx="664">
                  <c:v>19</c:v>
                </c:pt>
                <c:pt idx="665">
                  <c:v>71</c:v>
                </c:pt>
                <c:pt idx="666">
                  <c:v>57</c:v>
                </c:pt>
                <c:pt idx="667">
                  <c:v>30</c:v>
                </c:pt>
                <c:pt idx="668">
                  <c:v>23</c:v>
                </c:pt>
                <c:pt idx="669">
                  <c:v>11</c:v>
                </c:pt>
                <c:pt idx="670">
                  <c:v>5</c:v>
                </c:pt>
                <c:pt idx="671">
                  <c:v>2</c:v>
                </c:pt>
                <c:pt idx="672">
                  <c:v>40</c:v>
                </c:pt>
                <c:pt idx="673">
                  <c:v>12</c:v>
                </c:pt>
                <c:pt idx="674">
                  <c:v>28</c:v>
                </c:pt>
                <c:pt idx="675">
                  <c:v>35</c:v>
                </c:pt>
                <c:pt idx="676">
                  <c:v>60</c:v>
                </c:pt>
                <c:pt idx="677">
                  <c:v>123</c:v>
                </c:pt>
                <c:pt idx="678">
                  <c:v>22</c:v>
                </c:pt>
                <c:pt idx="679">
                  <c:v>14</c:v>
                </c:pt>
                <c:pt idx="680">
                  <c:v>23</c:v>
                </c:pt>
                <c:pt idx="681">
                  <c:v>10</c:v>
                </c:pt>
                <c:pt idx="682">
                  <c:v>8</c:v>
                </c:pt>
                <c:pt idx="683">
                  <c:v>10</c:v>
                </c:pt>
                <c:pt idx="684">
                  <c:v>10</c:v>
                </c:pt>
                <c:pt idx="685">
                  <c:v>22</c:v>
                </c:pt>
                <c:pt idx="686">
                  <c:v>16</c:v>
                </c:pt>
                <c:pt idx="687">
                  <c:v>21</c:v>
                </c:pt>
                <c:pt idx="688">
                  <c:v>4</c:v>
                </c:pt>
                <c:pt idx="689">
                  <c:v>5</c:v>
                </c:pt>
                <c:pt idx="690">
                  <c:v>1</c:v>
                </c:pt>
                <c:pt idx="691">
                  <c:v>21</c:v>
                </c:pt>
                <c:pt idx="692">
                  <c:v>82</c:v>
                </c:pt>
                <c:pt idx="693">
                  <c:v>21</c:v>
                </c:pt>
                <c:pt idx="694">
                  <c:v>7</c:v>
                </c:pt>
                <c:pt idx="695">
                  <c:v>5</c:v>
                </c:pt>
                <c:pt idx="696">
                  <c:v>9</c:v>
                </c:pt>
                <c:pt idx="697">
                  <c:v>7</c:v>
                </c:pt>
                <c:pt idx="698">
                  <c:v>2</c:v>
                </c:pt>
                <c:pt idx="699">
                  <c:v>6</c:v>
                </c:pt>
                <c:pt idx="700">
                  <c:v>22</c:v>
                </c:pt>
                <c:pt idx="701">
                  <c:v>10</c:v>
                </c:pt>
                <c:pt idx="702">
                  <c:v>15</c:v>
                </c:pt>
                <c:pt idx="703">
                  <c:v>14</c:v>
                </c:pt>
                <c:pt idx="704">
                  <c:v>14</c:v>
                </c:pt>
                <c:pt idx="705">
                  <c:v>23</c:v>
                </c:pt>
                <c:pt idx="706">
                  <c:v>133</c:v>
                </c:pt>
                <c:pt idx="707">
                  <c:v>8</c:v>
                </c:pt>
                <c:pt idx="708">
                  <c:v>4</c:v>
                </c:pt>
                <c:pt idx="709">
                  <c:v>13</c:v>
                </c:pt>
                <c:pt idx="710">
                  <c:v>5</c:v>
                </c:pt>
                <c:pt idx="711">
                  <c:v>16</c:v>
                </c:pt>
                <c:pt idx="712">
                  <c:v>17</c:v>
                </c:pt>
                <c:pt idx="713">
                  <c:v>14</c:v>
                </c:pt>
                <c:pt idx="714">
                  <c:v>16</c:v>
                </c:pt>
                <c:pt idx="715">
                  <c:v>41</c:v>
                </c:pt>
                <c:pt idx="716">
                  <c:v>18</c:v>
                </c:pt>
                <c:pt idx="717">
                  <c:v>12</c:v>
                </c:pt>
                <c:pt idx="718">
                  <c:v>13</c:v>
                </c:pt>
                <c:pt idx="719">
                  <c:v>12</c:v>
                </c:pt>
                <c:pt idx="720">
                  <c:v>10</c:v>
                </c:pt>
                <c:pt idx="721">
                  <c:v>10</c:v>
                </c:pt>
                <c:pt idx="722">
                  <c:v>14</c:v>
                </c:pt>
                <c:pt idx="723">
                  <c:v>9</c:v>
                </c:pt>
                <c:pt idx="724">
                  <c:v>7</c:v>
                </c:pt>
                <c:pt idx="725">
                  <c:v>17</c:v>
                </c:pt>
                <c:pt idx="726">
                  <c:v>19</c:v>
                </c:pt>
                <c:pt idx="727">
                  <c:v>15</c:v>
                </c:pt>
                <c:pt idx="728">
                  <c:v>30</c:v>
                </c:pt>
                <c:pt idx="729">
                  <c:v>37</c:v>
                </c:pt>
                <c:pt idx="730">
                  <c:v>52</c:v>
                </c:pt>
                <c:pt idx="731">
                  <c:v>54</c:v>
                </c:pt>
                <c:pt idx="732">
                  <c:v>39</c:v>
                </c:pt>
                <c:pt idx="733">
                  <c:v>52</c:v>
                </c:pt>
                <c:pt idx="734">
                  <c:v>63</c:v>
                </c:pt>
                <c:pt idx="735">
                  <c:v>54</c:v>
                </c:pt>
                <c:pt idx="73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4-4CB6-80A4-549F8E272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35664"/>
        <c:axId val="1"/>
      </c:lineChart>
      <c:catAx>
        <c:axId val="581935664"/>
        <c:scaling>
          <c:orientation val="minMax"/>
        </c:scaling>
        <c:delete val="0"/>
        <c:axPos val="b"/>
        <c:numFmt formatCode="yyyy/mm/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5819356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8697274909602"/>
          <c:y val="2.0231974679635601E-2"/>
          <c:w val="0.396733813445733"/>
          <c:h val="3.17928825073336E-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25400">
              <a:noFill/>
            </a:ln>
            <a:effectLst/>
          </c:spPr>
          <c:invertIfNegative val="0"/>
          <c:cat>
            <c:strRef>
              <c:f>涨停行业分布!$B$2:$B$20</c:f>
              <c:strCache>
                <c:ptCount val="19"/>
                <c:pt idx="0">
                  <c:v>通用设备</c:v>
                </c:pt>
                <c:pt idx="1">
                  <c:v>汽车零部件</c:v>
                </c:pt>
                <c:pt idx="2">
                  <c:v>专用设备</c:v>
                </c:pt>
                <c:pt idx="3">
                  <c:v>房地产开发</c:v>
                </c:pt>
                <c:pt idx="4">
                  <c:v>消费电子</c:v>
                </c:pt>
                <c:pt idx="5">
                  <c:v>光学光电子</c:v>
                </c:pt>
                <c:pt idx="6">
                  <c:v>电网设备</c:v>
                </c:pt>
                <c:pt idx="7">
                  <c:v>家居用品</c:v>
                </c:pt>
                <c:pt idx="8">
                  <c:v>电力</c:v>
                </c:pt>
                <c:pt idx="9">
                  <c:v>装修装饰Ⅱ</c:v>
                </c:pt>
                <c:pt idx="10">
                  <c:v>服装家纺</c:v>
                </c:pt>
                <c:pt idx="11">
                  <c:v>基础建设</c:v>
                </c:pt>
                <c:pt idx="12">
                  <c:v>化学制品</c:v>
                </c:pt>
                <c:pt idx="13">
                  <c:v>食品加工</c:v>
                </c:pt>
                <c:pt idx="14">
                  <c:v>纺织制造</c:v>
                </c:pt>
                <c:pt idx="15">
                  <c:v>游戏Ⅱ</c:v>
                </c:pt>
                <c:pt idx="16">
                  <c:v>军工电子Ⅱ</c:v>
                </c:pt>
                <c:pt idx="17">
                  <c:v>包装印刷</c:v>
                </c:pt>
                <c:pt idx="18">
                  <c:v>计算机设备</c:v>
                </c:pt>
              </c:strCache>
            </c:strRef>
          </c:cat>
          <c:val>
            <c:numRef>
              <c:f>涨停行业分布!$C$2:$C$20</c:f>
              <c:numCache>
                <c:formatCode>#,##0</c:formatCode>
                <c:ptCount val="19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F-4A1A-82DB-2E2A7C6D6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487129952"/>
        <c:axId val="487130432"/>
      </c:barChart>
      <c:catAx>
        <c:axId val="4871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defRPr>
            </a:pPr>
            <a:endParaRPr lang="zh-CN"/>
          </a:p>
        </c:txPr>
        <c:crossAx val="487130432"/>
        <c:crosses val="autoZero"/>
        <c:auto val="1"/>
        <c:lblAlgn val="ctr"/>
        <c:lblOffset val="100"/>
        <c:noMultiLvlLbl val="0"/>
      </c:catAx>
      <c:valAx>
        <c:axId val="4871304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defRPr>
            </a:pPr>
            <a:endParaRPr lang="zh-CN"/>
          </a:p>
        </c:txPr>
        <c:crossAx val="487129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>
          <a:latin typeface="宋体" panose="02010600030101010101" pitchFamily="7" charset="-122"/>
          <a:ea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374559053154841E-2"/>
          <c:y val="9.5855687185115834E-2"/>
          <c:w val="0.93250946205126972"/>
          <c:h val="0.862357298969111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连板个股!$A$3</c:f>
              <c:strCache>
                <c:ptCount val="1"/>
                <c:pt idx="0">
                  <c:v>最高板</c:v>
                </c:pt>
              </c:strCache>
            </c:strRef>
          </c:tx>
          <c:spPr>
            <a:solidFill>
              <a:srgbClr val="FF8080"/>
            </a:solidFill>
            <a:ln w="25400">
              <a:solidFill>
                <a:srgbClr val="FF8080"/>
              </a:solidFill>
            </a:ln>
            <a:effectLst/>
          </c:spPr>
          <c:invertIfNegative val="0"/>
          <c:dPt>
            <c:idx val="196"/>
            <c:invertIfNegative val="0"/>
            <c:bubble3D val="0"/>
            <c:spPr>
              <a:solidFill>
                <a:srgbClr val="FF8080"/>
              </a:solidFill>
              <a:ln w="38100">
                <a:solidFill>
                  <a:srgbClr val="FF8080"/>
                </a:solidFill>
              </a:ln>
              <a:effectLst/>
              <a:sp3d contourW="38100"/>
            </c:spPr>
            <c:extLst>
              <c:ext xmlns:c16="http://schemas.microsoft.com/office/drawing/2014/chart" uri="{C3380CC4-5D6E-409C-BE32-E72D297353CC}">
                <c16:uniqueId val="{00000001-A5C6-4F38-8CA3-272277F2F4E7}"/>
              </c:ext>
            </c:extLst>
          </c:dPt>
          <c:cat>
            <c:numRef>
              <c:f>连板个股!$GJ$1:$ACT$1</c:f>
              <c:numCache>
                <c:formatCode>yyyy\-mm\-dd</c:formatCode>
                <c:ptCount val="583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</c:numCache>
            </c:numRef>
          </c:cat>
          <c:val>
            <c:numRef>
              <c:f>连板个股!$GJ$3:$ACT$3</c:f>
              <c:numCache>
                <c:formatCode>General</c:formatCode>
                <c:ptCount val="583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7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8</c:v>
                </c:pt>
                <c:pt idx="83">
                  <c:v>8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5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6</c:v>
                </c:pt>
                <c:pt idx="100">
                  <c:v>7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7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5</c:v>
                </c:pt>
                <c:pt idx="123">
                  <c:v>6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6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4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4</c:v>
                </c:pt>
                <c:pt idx="163">
                  <c:v>3</c:v>
                </c:pt>
                <c:pt idx="164">
                  <c:v>4</c:v>
                </c:pt>
                <c:pt idx="165">
                  <c:v>5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6</c:v>
                </c:pt>
                <c:pt idx="176">
                  <c:v>7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5</c:v>
                </c:pt>
                <c:pt idx="184">
                  <c:v>6</c:v>
                </c:pt>
                <c:pt idx="185">
                  <c:v>7</c:v>
                </c:pt>
                <c:pt idx="186">
                  <c:v>8</c:v>
                </c:pt>
                <c:pt idx="187">
                  <c:v>9</c:v>
                </c:pt>
                <c:pt idx="188">
                  <c:v>10</c:v>
                </c:pt>
                <c:pt idx="189">
                  <c:v>11</c:v>
                </c:pt>
                <c:pt idx="190">
                  <c:v>6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4</c:v>
                </c:pt>
                <c:pt idx="201">
                  <c:v>5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10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5</c:v>
                </c:pt>
                <c:pt idx="215">
                  <c:v>4</c:v>
                </c:pt>
                <c:pt idx="216">
                  <c:v>4</c:v>
                </c:pt>
                <c:pt idx="217">
                  <c:v>5</c:v>
                </c:pt>
                <c:pt idx="218">
                  <c:v>6</c:v>
                </c:pt>
                <c:pt idx="219">
                  <c:v>4</c:v>
                </c:pt>
                <c:pt idx="220">
                  <c:v>5</c:v>
                </c:pt>
                <c:pt idx="221">
                  <c:v>6</c:v>
                </c:pt>
                <c:pt idx="222">
                  <c:v>7</c:v>
                </c:pt>
                <c:pt idx="223">
                  <c:v>8</c:v>
                </c:pt>
                <c:pt idx="224">
                  <c:v>9</c:v>
                </c:pt>
                <c:pt idx="225">
                  <c:v>10</c:v>
                </c:pt>
                <c:pt idx="226">
                  <c:v>11</c:v>
                </c:pt>
                <c:pt idx="227">
                  <c:v>12</c:v>
                </c:pt>
                <c:pt idx="228">
                  <c:v>13</c:v>
                </c:pt>
                <c:pt idx="229">
                  <c:v>14</c:v>
                </c:pt>
                <c:pt idx="230">
                  <c:v>8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5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9</c:v>
                </c:pt>
                <c:pt idx="240">
                  <c:v>10</c:v>
                </c:pt>
                <c:pt idx="241">
                  <c:v>11</c:v>
                </c:pt>
                <c:pt idx="242">
                  <c:v>12</c:v>
                </c:pt>
                <c:pt idx="243">
                  <c:v>9</c:v>
                </c:pt>
                <c:pt idx="244">
                  <c:v>10</c:v>
                </c:pt>
                <c:pt idx="245">
                  <c:v>11</c:v>
                </c:pt>
                <c:pt idx="246">
                  <c:v>12</c:v>
                </c:pt>
                <c:pt idx="247">
                  <c:v>13</c:v>
                </c:pt>
                <c:pt idx="248">
                  <c:v>14</c:v>
                </c:pt>
                <c:pt idx="249">
                  <c:v>10</c:v>
                </c:pt>
                <c:pt idx="250">
                  <c:v>11</c:v>
                </c:pt>
                <c:pt idx="251">
                  <c:v>7</c:v>
                </c:pt>
                <c:pt idx="252">
                  <c:v>7</c:v>
                </c:pt>
                <c:pt idx="253">
                  <c:v>6</c:v>
                </c:pt>
                <c:pt idx="254">
                  <c:v>7</c:v>
                </c:pt>
                <c:pt idx="255">
                  <c:v>8</c:v>
                </c:pt>
                <c:pt idx="256">
                  <c:v>9</c:v>
                </c:pt>
                <c:pt idx="257">
                  <c:v>10</c:v>
                </c:pt>
                <c:pt idx="258">
                  <c:v>11</c:v>
                </c:pt>
                <c:pt idx="259">
                  <c:v>12</c:v>
                </c:pt>
                <c:pt idx="260">
                  <c:v>13</c:v>
                </c:pt>
                <c:pt idx="261">
                  <c:v>10</c:v>
                </c:pt>
                <c:pt idx="262">
                  <c:v>11</c:v>
                </c:pt>
                <c:pt idx="263">
                  <c:v>7</c:v>
                </c:pt>
                <c:pt idx="264">
                  <c:v>8</c:v>
                </c:pt>
                <c:pt idx="265">
                  <c:v>9</c:v>
                </c:pt>
                <c:pt idx="266">
                  <c:v>10</c:v>
                </c:pt>
                <c:pt idx="267">
                  <c:v>11</c:v>
                </c:pt>
                <c:pt idx="268">
                  <c:v>12</c:v>
                </c:pt>
                <c:pt idx="269">
                  <c:v>9</c:v>
                </c:pt>
                <c:pt idx="270">
                  <c:v>8</c:v>
                </c:pt>
                <c:pt idx="271">
                  <c:v>9</c:v>
                </c:pt>
                <c:pt idx="272">
                  <c:v>10</c:v>
                </c:pt>
                <c:pt idx="273">
                  <c:v>11</c:v>
                </c:pt>
                <c:pt idx="274">
                  <c:v>12</c:v>
                </c:pt>
                <c:pt idx="275">
                  <c:v>7</c:v>
                </c:pt>
                <c:pt idx="276">
                  <c:v>6</c:v>
                </c:pt>
                <c:pt idx="277">
                  <c:v>7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4</c:v>
                </c:pt>
                <c:pt idx="289">
                  <c:v>6</c:v>
                </c:pt>
                <c:pt idx="290">
                  <c:v>7</c:v>
                </c:pt>
                <c:pt idx="291">
                  <c:v>4</c:v>
                </c:pt>
                <c:pt idx="292">
                  <c:v>5</c:v>
                </c:pt>
                <c:pt idx="293">
                  <c:v>6</c:v>
                </c:pt>
                <c:pt idx="294">
                  <c:v>7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6</c:v>
                </c:pt>
                <c:pt idx="300">
                  <c:v>7</c:v>
                </c:pt>
                <c:pt idx="301">
                  <c:v>5</c:v>
                </c:pt>
                <c:pt idx="302">
                  <c:v>6</c:v>
                </c:pt>
                <c:pt idx="303">
                  <c:v>7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5</c:v>
                </c:pt>
                <c:pt idx="308">
                  <c:v>6</c:v>
                </c:pt>
                <c:pt idx="309">
                  <c:v>10</c:v>
                </c:pt>
                <c:pt idx="310">
                  <c:v>8</c:v>
                </c:pt>
                <c:pt idx="311">
                  <c:v>9</c:v>
                </c:pt>
                <c:pt idx="312">
                  <c:v>10</c:v>
                </c:pt>
                <c:pt idx="313">
                  <c:v>7</c:v>
                </c:pt>
                <c:pt idx="314">
                  <c:v>8</c:v>
                </c:pt>
                <c:pt idx="315">
                  <c:v>9</c:v>
                </c:pt>
                <c:pt idx="316">
                  <c:v>6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6</c:v>
                </c:pt>
                <c:pt idx="321">
                  <c:v>5</c:v>
                </c:pt>
                <c:pt idx="322">
                  <c:v>4</c:v>
                </c:pt>
                <c:pt idx="323">
                  <c:v>5</c:v>
                </c:pt>
                <c:pt idx="324">
                  <c:v>6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7</c:v>
                </c:pt>
                <c:pt idx="333">
                  <c:v>8</c:v>
                </c:pt>
                <c:pt idx="334">
                  <c:v>9</c:v>
                </c:pt>
                <c:pt idx="335">
                  <c:v>5</c:v>
                </c:pt>
                <c:pt idx="336">
                  <c:v>6</c:v>
                </c:pt>
                <c:pt idx="337">
                  <c:v>6</c:v>
                </c:pt>
                <c:pt idx="338">
                  <c:v>7</c:v>
                </c:pt>
                <c:pt idx="339">
                  <c:v>7</c:v>
                </c:pt>
                <c:pt idx="340">
                  <c:v>5</c:v>
                </c:pt>
                <c:pt idx="341">
                  <c:v>3</c:v>
                </c:pt>
                <c:pt idx="342">
                  <c:v>4</c:v>
                </c:pt>
                <c:pt idx="343">
                  <c:v>5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5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7</c:v>
                </c:pt>
                <c:pt idx="355">
                  <c:v>4</c:v>
                </c:pt>
                <c:pt idx="356">
                  <c:v>5</c:v>
                </c:pt>
                <c:pt idx="357">
                  <c:v>6</c:v>
                </c:pt>
                <c:pt idx="358">
                  <c:v>5</c:v>
                </c:pt>
                <c:pt idx="359">
                  <c:v>6</c:v>
                </c:pt>
                <c:pt idx="360">
                  <c:v>6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5</c:v>
                </c:pt>
                <c:pt idx="368">
                  <c:v>6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7</c:v>
                </c:pt>
                <c:pt idx="375">
                  <c:v>8</c:v>
                </c:pt>
                <c:pt idx="376">
                  <c:v>9</c:v>
                </c:pt>
                <c:pt idx="377">
                  <c:v>4</c:v>
                </c:pt>
                <c:pt idx="378">
                  <c:v>5</c:v>
                </c:pt>
                <c:pt idx="379">
                  <c:v>4</c:v>
                </c:pt>
                <c:pt idx="380">
                  <c:v>5</c:v>
                </c:pt>
                <c:pt idx="381">
                  <c:v>4</c:v>
                </c:pt>
                <c:pt idx="382">
                  <c:v>5</c:v>
                </c:pt>
                <c:pt idx="383">
                  <c:v>5</c:v>
                </c:pt>
                <c:pt idx="384">
                  <c:v>6</c:v>
                </c:pt>
                <c:pt idx="385">
                  <c:v>4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5</c:v>
                </c:pt>
                <c:pt idx="390">
                  <c:v>6</c:v>
                </c:pt>
                <c:pt idx="391">
                  <c:v>7</c:v>
                </c:pt>
                <c:pt idx="392">
                  <c:v>6</c:v>
                </c:pt>
                <c:pt idx="393">
                  <c:v>7</c:v>
                </c:pt>
                <c:pt idx="394">
                  <c:v>5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7</c:v>
                </c:pt>
                <c:pt idx="403">
                  <c:v>5</c:v>
                </c:pt>
                <c:pt idx="404">
                  <c:v>4</c:v>
                </c:pt>
                <c:pt idx="405">
                  <c:v>5</c:v>
                </c:pt>
                <c:pt idx="406">
                  <c:v>4</c:v>
                </c:pt>
                <c:pt idx="407">
                  <c:v>5</c:v>
                </c:pt>
                <c:pt idx="408">
                  <c:v>6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5</c:v>
                </c:pt>
                <c:pt idx="415">
                  <c:v>4</c:v>
                </c:pt>
                <c:pt idx="416">
                  <c:v>5</c:v>
                </c:pt>
                <c:pt idx="417">
                  <c:v>6</c:v>
                </c:pt>
                <c:pt idx="418">
                  <c:v>7</c:v>
                </c:pt>
                <c:pt idx="419">
                  <c:v>8</c:v>
                </c:pt>
                <c:pt idx="420">
                  <c:v>9</c:v>
                </c:pt>
                <c:pt idx="421">
                  <c:v>10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6</c:v>
                </c:pt>
                <c:pt idx="426">
                  <c:v>7</c:v>
                </c:pt>
                <c:pt idx="427">
                  <c:v>8</c:v>
                </c:pt>
                <c:pt idx="428">
                  <c:v>9</c:v>
                </c:pt>
                <c:pt idx="429">
                  <c:v>3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4</c:v>
                </c:pt>
                <c:pt idx="439">
                  <c:v>5</c:v>
                </c:pt>
                <c:pt idx="440">
                  <c:v>6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6</c:v>
                </c:pt>
                <c:pt idx="446">
                  <c:v>7</c:v>
                </c:pt>
                <c:pt idx="447">
                  <c:v>4</c:v>
                </c:pt>
                <c:pt idx="448">
                  <c:v>5</c:v>
                </c:pt>
                <c:pt idx="449">
                  <c:v>6</c:v>
                </c:pt>
                <c:pt idx="450">
                  <c:v>7</c:v>
                </c:pt>
                <c:pt idx="451">
                  <c:v>8</c:v>
                </c:pt>
                <c:pt idx="452">
                  <c:v>9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10</c:v>
                </c:pt>
                <c:pt idx="457">
                  <c:v>11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12</c:v>
                </c:pt>
                <c:pt idx="464">
                  <c:v>13</c:v>
                </c:pt>
                <c:pt idx="465">
                  <c:v>14</c:v>
                </c:pt>
                <c:pt idx="466">
                  <c:v>15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6</c:v>
                </c:pt>
                <c:pt idx="471">
                  <c:v>7</c:v>
                </c:pt>
                <c:pt idx="472">
                  <c:v>4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4</c:v>
                </c:pt>
                <c:pt idx="479">
                  <c:v>5</c:v>
                </c:pt>
                <c:pt idx="480">
                  <c:v>3</c:v>
                </c:pt>
                <c:pt idx="481">
                  <c:v>7</c:v>
                </c:pt>
                <c:pt idx="482">
                  <c:v>8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6</c:v>
                </c:pt>
                <c:pt idx="487">
                  <c:v>7</c:v>
                </c:pt>
                <c:pt idx="488">
                  <c:v>8</c:v>
                </c:pt>
                <c:pt idx="489">
                  <c:v>5</c:v>
                </c:pt>
                <c:pt idx="490">
                  <c:v>6</c:v>
                </c:pt>
                <c:pt idx="491">
                  <c:v>7</c:v>
                </c:pt>
                <c:pt idx="492">
                  <c:v>8</c:v>
                </c:pt>
                <c:pt idx="493">
                  <c:v>9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6</c:v>
                </c:pt>
                <c:pt idx="501">
                  <c:v>6</c:v>
                </c:pt>
                <c:pt idx="502">
                  <c:v>7</c:v>
                </c:pt>
                <c:pt idx="503">
                  <c:v>6</c:v>
                </c:pt>
                <c:pt idx="504">
                  <c:v>7</c:v>
                </c:pt>
                <c:pt idx="505">
                  <c:v>5</c:v>
                </c:pt>
                <c:pt idx="506">
                  <c:v>5</c:v>
                </c:pt>
                <c:pt idx="507">
                  <c:v>4</c:v>
                </c:pt>
                <c:pt idx="508">
                  <c:v>5</c:v>
                </c:pt>
                <c:pt idx="509">
                  <c:v>6</c:v>
                </c:pt>
                <c:pt idx="510">
                  <c:v>7</c:v>
                </c:pt>
                <c:pt idx="511">
                  <c:v>6</c:v>
                </c:pt>
                <c:pt idx="512">
                  <c:v>4</c:v>
                </c:pt>
                <c:pt idx="513">
                  <c:v>4</c:v>
                </c:pt>
                <c:pt idx="514">
                  <c:v>5</c:v>
                </c:pt>
                <c:pt idx="515">
                  <c:v>6</c:v>
                </c:pt>
                <c:pt idx="516">
                  <c:v>6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4</c:v>
                </c:pt>
                <c:pt idx="521">
                  <c:v>5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8</c:v>
                </c:pt>
                <c:pt idx="526">
                  <c:v>9</c:v>
                </c:pt>
                <c:pt idx="527">
                  <c:v>10</c:v>
                </c:pt>
                <c:pt idx="528">
                  <c:v>11</c:v>
                </c:pt>
                <c:pt idx="529">
                  <c:v>12</c:v>
                </c:pt>
                <c:pt idx="530">
                  <c:v>10</c:v>
                </c:pt>
                <c:pt idx="531">
                  <c:v>6</c:v>
                </c:pt>
                <c:pt idx="532">
                  <c:v>7</c:v>
                </c:pt>
                <c:pt idx="533">
                  <c:v>13</c:v>
                </c:pt>
                <c:pt idx="534">
                  <c:v>14</c:v>
                </c:pt>
                <c:pt idx="535">
                  <c:v>10</c:v>
                </c:pt>
                <c:pt idx="536">
                  <c:v>11</c:v>
                </c:pt>
                <c:pt idx="537">
                  <c:v>12</c:v>
                </c:pt>
                <c:pt idx="538">
                  <c:v>13</c:v>
                </c:pt>
                <c:pt idx="539">
                  <c:v>5</c:v>
                </c:pt>
                <c:pt idx="540">
                  <c:v>4</c:v>
                </c:pt>
                <c:pt idx="541">
                  <c:v>5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17</c:v>
                </c:pt>
                <c:pt idx="546">
                  <c:v>18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8</c:v>
                </c:pt>
                <c:pt idx="551">
                  <c:v>5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5</c:v>
                </c:pt>
                <c:pt idx="558">
                  <c:v>3</c:v>
                </c:pt>
                <c:pt idx="559">
                  <c:v>4</c:v>
                </c:pt>
                <c:pt idx="560">
                  <c:v>4</c:v>
                </c:pt>
                <c:pt idx="561">
                  <c:v>5</c:v>
                </c:pt>
                <c:pt idx="562">
                  <c:v>4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2</c:v>
                </c:pt>
                <c:pt idx="570">
                  <c:v>3</c:v>
                </c:pt>
                <c:pt idx="571">
                  <c:v>4</c:v>
                </c:pt>
                <c:pt idx="572">
                  <c:v>5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3</c:v>
                </c:pt>
                <c:pt idx="577">
                  <c:v>4</c:v>
                </c:pt>
                <c:pt idx="578">
                  <c:v>5</c:v>
                </c:pt>
                <c:pt idx="579">
                  <c:v>4</c:v>
                </c:pt>
                <c:pt idx="580">
                  <c:v>5</c:v>
                </c:pt>
                <c:pt idx="581">
                  <c:v>6</c:v>
                </c:pt>
                <c:pt idx="58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6-4F38-8CA3-272277F2F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4790095"/>
        <c:axId val="1094774735"/>
      </c:barChart>
      <c:lineChart>
        <c:grouping val="standard"/>
        <c:varyColors val="0"/>
        <c:ser>
          <c:idx val="0"/>
          <c:order val="0"/>
          <c:tx>
            <c:strRef>
              <c:f>连板个股!$A$2</c:f>
              <c:strCache>
                <c:ptCount val="1"/>
                <c:pt idx="0">
                  <c:v>四板以上个股数量五日平均值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连板个股!$GJ$1:$ACT$1</c:f>
              <c:numCache>
                <c:formatCode>yyyy\-mm\-dd</c:formatCode>
                <c:ptCount val="583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</c:numCache>
            </c:numRef>
          </c:cat>
          <c:val>
            <c:numRef>
              <c:f>连板个股!$GJ$2:$ACT$2</c:f>
              <c:numCache>
                <c:formatCode>General</c:formatCode>
                <c:ptCount val="583"/>
                <c:pt idx="0">
                  <c:v>4</c:v>
                </c:pt>
                <c:pt idx="1">
                  <c:v>4.4000000000000004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4.5999999999999996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4.2</c:v>
                </c:pt>
                <c:pt idx="9">
                  <c:v>4.4000000000000004</c:v>
                </c:pt>
                <c:pt idx="10">
                  <c:v>3.8</c:v>
                </c:pt>
                <c:pt idx="11">
                  <c:v>3.6</c:v>
                </c:pt>
                <c:pt idx="12">
                  <c:v>3.8</c:v>
                </c:pt>
                <c:pt idx="13">
                  <c:v>3.6</c:v>
                </c:pt>
                <c:pt idx="14">
                  <c:v>3.2</c:v>
                </c:pt>
                <c:pt idx="15">
                  <c:v>3.6</c:v>
                </c:pt>
                <c:pt idx="16">
                  <c:v>3.8</c:v>
                </c:pt>
                <c:pt idx="17">
                  <c:v>4.2</c:v>
                </c:pt>
                <c:pt idx="18">
                  <c:v>5</c:v>
                </c:pt>
                <c:pt idx="19">
                  <c:v>5.6</c:v>
                </c:pt>
                <c:pt idx="20">
                  <c:v>5.2</c:v>
                </c:pt>
                <c:pt idx="21">
                  <c:v>5</c:v>
                </c:pt>
                <c:pt idx="22">
                  <c:v>4.5999999999999996</c:v>
                </c:pt>
                <c:pt idx="23">
                  <c:v>3.6</c:v>
                </c:pt>
                <c:pt idx="24">
                  <c:v>2.8</c:v>
                </c:pt>
                <c:pt idx="25">
                  <c:v>3</c:v>
                </c:pt>
                <c:pt idx="26">
                  <c:v>3.4</c:v>
                </c:pt>
                <c:pt idx="27">
                  <c:v>3.8</c:v>
                </c:pt>
                <c:pt idx="28">
                  <c:v>4.4000000000000004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3.6</c:v>
                </c:pt>
                <c:pt idx="32">
                  <c:v>3</c:v>
                </c:pt>
                <c:pt idx="33">
                  <c:v>2.4</c:v>
                </c:pt>
                <c:pt idx="34">
                  <c:v>2.2000000000000002</c:v>
                </c:pt>
                <c:pt idx="35">
                  <c:v>2.4</c:v>
                </c:pt>
                <c:pt idx="36">
                  <c:v>3</c:v>
                </c:pt>
                <c:pt idx="37">
                  <c:v>2.6</c:v>
                </c:pt>
                <c:pt idx="38">
                  <c:v>2.2000000000000002</c:v>
                </c:pt>
                <c:pt idx="39">
                  <c:v>1.8</c:v>
                </c:pt>
                <c:pt idx="40">
                  <c:v>1.4</c:v>
                </c:pt>
                <c:pt idx="41">
                  <c:v>1</c:v>
                </c:pt>
                <c:pt idx="42">
                  <c:v>1.2</c:v>
                </c:pt>
                <c:pt idx="43">
                  <c:v>1.8</c:v>
                </c:pt>
                <c:pt idx="44">
                  <c:v>2</c:v>
                </c:pt>
                <c:pt idx="45">
                  <c:v>2.4</c:v>
                </c:pt>
                <c:pt idx="46">
                  <c:v>3.2</c:v>
                </c:pt>
                <c:pt idx="47">
                  <c:v>4.2</c:v>
                </c:pt>
                <c:pt idx="48">
                  <c:v>4.5999999999999996</c:v>
                </c:pt>
                <c:pt idx="49">
                  <c:v>4.4000000000000004</c:v>
                </c:pt>
                <c:pt idx="50">
                  <c:v>3.8</c:v>
                </c:pt>
                <c:pt idx="51">
                  <c:v>3.6</c:v>
                </c:pt>
                <c:pt idx="52">
                  <c:v>3.2</c:v>
                </c:pt>
                <c:pt idx="53">
                  <c:v>2.4</c:v>
                </c:pt>
                <c:pt idx="54">
                  <c:v>2.4</c:v>
                </c:pt>
                <c:pt idx="55">
                  <c:v>2.6</c:v>
                </c:pt>
                <c:pt idx="56">
                  <c:v>2</c:v>
                </c:pt>
                <c:pt idx="57">
                  <c:v>1.6</c:v>
                </c:pt>
                <c:pt idx="58">
                  <c:v>1.4</c:v>
                </c:pt>
                <c:pt idx="59">
                  <c:v>1.6</c:v>
                </c:pt>
                <c:pt idx="60">
                  <c:v>1.8</c:v>
                </c:pt>
                <c:pt idx="61">
                  <c:v>2.8</c:v>
                </c:pt>
                <c:pt idx="62">
                  <c:v>3.4</c:v>
                </c:pt>
                <c:pt idx="63">
                  <c:v>3.6</c:v>
                </c:pt>
                <c:pt idx="64">
                  <c:v>3.6</c:v>
                </c:pt>
                <c:pt idx="65">
                  <c:v>5.4</c:v>
                </c:pt>
                <c:pt idx="66">
                  <c:v>6</c:v>
                </c:pt>
                <c:pt idx="67">
                  <c:v>5.6</c:v>
                </c:pt>
                <c:pt idx="68">
                  <c:v>5.4</c:v>
                </c:pt>
                <c:pt idx="69">
                  <c:v>5.2</c:v>
                </c:pt>
                <c:pt idx="70">
                  <c:v>3</c:v>
                </c:pt>
                <c:pt idx="71">
                  <c:v>1.4</c:v>
                </c:pt>
                <c:pt idx="72">
                  <c:v>1.2</c:v>
                </c:pt>
                <c:pt idx="73">
                  <c:v>1.2</c:v>
                </c:pt>
                <c:pt idx="74">
                  <c:v>1.4</c:v>
                </c:pt>
                <c:pt idx="75">
                  <c:v>1.6</c:v>
                </c:pt>
                <c:pt idx="76">
                  <c:v>2</c:v>
                </c:pt>
                <c:pt idx="77">
                  <c:v>3.4</c:v>
                </c:pt>
                <c:pt idx="78">
                  <c:v>7.6</c:v>
                </c:pt>
                <c:pt idx="79">
                  <c:v>11.6</c:v>
                </c:pt>
                <c:pt idx="80">
                  <c:v>15.4</c:v>
                </c:pt>
                <c:pt idx="81">
                  <c:v>17.600000000000001</c:v>
                </c:pt>
                <c:pt idx="82">
                  <c:v>16.8</c:v>
                </c:pt>
                <c:pt idx="83">
                  <c:v>13</c:v>
                </c:pt>
                <c:pt idx="84">
                  <c:v>9.4</c:v>
                </c:pt>
                <c:pt idx="85">
                  <c:v>5.8</c:v>
                </c:pt>
                <c:pt idx="86">
                  <c:v>3.8</c:v>
                </c:pt>
                <c:pt idx="87">
                  <c:v>3.6</c:v>
                </c:pt>
                <c:pt idx="88">
                  <c:v>3.4</c:v>
                </c:pt>
                <c:pt idx="89">
                  <c:v>3.4</c:v>
                </c:pt>
                <c:pt idx="90">
                  <c:v>3.6</c:v>
                </c:pt>
                <c:pt idx="91">
                  <c:v>3.4</c:v>
                </c:pt>
                <c:pt idx="92">
                  <c:v>3.4</c:v>
                </c:pt>
                <c:pt idx="93">
                  <c:v>3.6</c:v>
                </c:pt>
                <c:pt idx="94">
                  <c:v>3.6</c:v>
                </c:pt>
                <c:pt idx="95">
                  <c:v>3.4</c:v>
                </c:pt>
                <c:pt idx="96">
                  <c:v>3.8</c:v>
                </c:pt>
                <c:pt idx="97">
                  <c:v>4.4000000000000004</c:v>
                </c:pt>
                <c:pt idx="98">
                  <c:v>5.2</c:v>
                </c:pt>
                <c:pt idx="99">
                  <c:v>4.8</c:v>
                </c:pt>
                <c:pt idx="100">
                  <c:v>4.8</c:v>
                </c:pt>
                <c:pt idx="101">
                  <c:v>4.5999999999999996</c:v>
                </c:pt>
                <c:pt idx="102">
                  <c:v>4</c:v>
                </c:pt>
                <c:pt idx="103">
                  <c:v>3.4</c:v>
                </c:pt>
                <c:pt idx="104">
                  <c:v>3.4</c:v>
                </c:pt>
                <c:pt idx="105">
                  <c:v>3.8</c:v>
                </c:pt>
                <c:pt idx="106">
                  <c:v>4.2</c:v>
                </c:pt>
                <c:pt idx="107">
                  <c:v>4.4000000000000004</c:v>
                </c:pt>
                <c:pt idx="108">
                  <c:v>4</c:v>
                </c:pt>
                <c:pt idx="109">
                  <c:v>4</c:v>
                </c:pt>
                <c:pt idx="110">
                  <c:v>3.4</c:v>
                </c:pt>
                <c:pt idx="111">
                  <c:v>2.6</c:v>
                </c:pt>
                <c:pt idx="112">
                  <c:v>1.8</c:v>
                </c:pt>
                <c:pt idx="113">
                  <c:v>1.6</c:v>
                </c:pt>
                <c:pt idx="114">
                  <c:v>1.2</c:v>
                </c:pt>
                <c:pt idx="115">
                  <c:v>1.2</c:v>
                </c:pt>
                <c:pt idx="116">
                  <c:v>1.4</c:v>
                </c:pt>
                <c:pt idx="117">
                  <c:v>1.6</c:v>
                </c:pt>
                <c:pt idx="118">
                  <c:v>1.8</c:v>
                </c:pt>
                <c:pt idx="119">
                  <c:v>2</c:v>
                </c:pt>
                <c:pt idx="120">
                  <c:v>1.8</c:v>
                </c:pt>
                <c:pt idx="121">
                  <c:v>1.8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2.2000000000000002</c:v>
                </c:pt>
                <c:pt idx="126">
                  <c:v>2</c:v>
                </c:pt>
                <c:pt idx="127">
                  <c:v>2</c:v>
                </c:pt>
                <c:pt idx="128">
                  <c:v>2.2000000000000002</c:v>
                </c:pt>
                <c:pt idx="129">
                  <c:v>2.4</c:v>
                </c:pt>
                <c:pt idx="130">
                  <c:v>2</c:v>
                </c:pt>
                <c:pt idx="131">
                  <c:v>1.8</c:v>
                </c:pt>
                <c:pt idx="132">
                  <c:v>1.4</c:v>
                </c:pt>
                <c:pt idx="133">
                  <c:v>1</c:v>
                </c:pt>
                <c:pt idx="134">
                  <c:v>1</c:v>
                </c:pt>
                <c:pt idx="135">
                  <c:v>1.2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0.6</c:v>
                </c:pt>
                <c:pt idx="144">
                  <c:v>0.4</c:v>
                </c:pt>
                <c:pt idx="145">
                  <c:v>0.4</c:v>
                </c:pt>
                <c:pt idx="146">
                  <c:v>0.6</c:v>
                </c:pt>
                <c:pt idx="147">
                  <c:v>0.4</c:v>
                </c:pt>
                <c:pt idx="148">
                  <c:v>0.6</c:v>
                </c:pt>
                <c:pt idx="149">
                  <c:v>0.6</c:v>
                </c:pt>
                <c:pt idx="150">
                  <c:v>1</c:v>
                </c:pt>
                <c:pt idx="151">
                  <c:v>1</c:v>
                </c:pt>
                <c:pt idx="152">
                  <c:v>1.4</c:v>
                </c:pt>
                <c:pt idx="153">
                  <c:v>1.4</c:v>
                </c:pt>
                <c:pt idx="154">
                  <c:v>1.4</c:v>
                </c:pt>
                <c:pt idx="155">
                  <c:v>1.2</c:v>
                </c:pt>
                <c:pt idx="156">
                  <c:v>1.4</c:v>
                </c:pt>
                <c:pt idx="157">
                  <c:v>1.6</c:v>
                </c:pt>
                <c:pt idx="158">
                  <c:v>1.6</c:v>
                </c:pt>
                <c:pt idx="159">
                  <c:v>1.4</c:v>
                </c:pt>
                <c:pt idx="160">
                  <c:v>1.4</c:v>
                </c:pt>
                <c:pt idx="161">
                  <c:v>1.4</c:v>
                </c:pt>
                <c:pt idx="162">
                  <c:v>1</c:v>
                </c:pt>
                <c:pt idx="163">
                  <c:v>0.8</c:v>
                </c:pt>
                <c:pt idx="164">
                  <c:v>1.2</c:v>
                </c:pt>
                <c:pt idx="165">
                  <c:v>1.4</c:v>
                </c:pt>
                <c:pt idx="166">
                  <c:v>1.4</c:v>
                </c:pt>
                <c:pt idx="167">
                  <c:v>1.2</c:v>
                </c:pt>
                <c:pt idx="168">
                  <c:v>1.6</c:v>
                </c:pt>
                <c:pt idx="169">
                  <c:v>1.2</c:v>
                </c:pt>
                <c:pt idx="170">
                  <c:v>1</c:v>
                </c:pt>
                <c:pt idx="171">
                  <c:v>0.6</c:v>
                </c:pt>
                <c:pt idx="172">
                  <c:v>0.8</c:v>
                </c:pt>
                <c:pt idx="173">
                  <c:v>0.8</c:v>
                </c:pt>
                <c:pt idx="174">
                  <c:v>1.2</c:v>
                </c:pt>
                <c:pt idx="175">
                  <c:v>1.2</c:v>
                </c:pt>
                <c:pt idx="176">
                  <c:v>1.4</c:v>
                </c:pt>
                <c:pt idx="177">
                  <c:v>1.2</c:v>
                </c:pt>
                <c:pt idx="178">
                  <c:v>0.8</c:v>
                </c:pt>
                <c:pt idx="179">
                  <c:v>0.6</c:v>
                </c:pt>
                <c:pt idx="180">
                  <c:v>0.4</c:v>
                </c:pt>
                <c:pt idx="181">
                  <c:v>0.2</c:v>
                </c:pt>
                <c:pt idx="182">
                  <c:v>0.6</c:v>
                </c:pt>
                <c:pt idx="183">
                  <c:v>1</c:v>
                </c:pt>
                <c:pt idx="184">
                  <c:v>1.2</c:v>
                </c:pt>
                <c:pt idx="185">
                  <c:v>2.4</c:v>
                </c:pt>
                <c:pt idx="186">
                  <c:v>3.4</c:v>
                </c:pt>
                <c:pt idx="187">
                  <c:v>4.2</c:v>
                </c:pt>
                <c:pt idx="188">
                  <c:v>4.8</c:v>
                </c:pt>
                <c:pt idx="189">
                  <c:v>5.2</c:v>
                </c:pt>
                <c:pt idx="190">
                  <c:v>4.5999999999999996</c:v>
                </c:pt>
                <c:pt idx="191">
                  <c:v>4</c:v>
                </c:pt>
                <c:pt idx="192">
                  <c:v>3.2</c:v>
                </c:pt>
                <c:pt idx="193">
                  <c:v>2.4</c:v>
                </c:pt>
                <c:pt idx="194">
                  <c:v>1.6</c:v>
                </c:pt>
                <c:pt idx="195">
                  <c:v>1.2</c:v>
                </c:pt>
                <c:pt idx="196">
                  <c:v>1</c:v>
                </c:pt>
                <c:pt idx="197">
                  <c:v>0.6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1.2</c:v>
                </c:pt>
                <c:pt idx="203">
                  <c:v>1</c:v>
                </c:pt>
                <c:pt idx="204">
                  <c:v>1.2</c:v>
                </c:pt>
                <c:pt idx="205">
                  <c:v>1.2</c:v>
                </c:pt>
                <c:pt idx="206">
                  <c:v>1.4</c:v>
                </c:pt>
                <c:pt idx="207">
                  <c:v>1.4</c:v>
                </c:pt>
                <c:pt idx="208">
                  <c:v>1.4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2</c:v>
                </c:pt>
                <c:pt idx="213">
                  <c:v>2.8</c:v>
                </c:pt>
                <c:pt idx="214">
                  <c:v>3</c:v>
                </c:pt>
                <c:pt idx="215">
                  <c:v>3</c:v>
                </c:pt>
                <c:pt idx="216">
                  <c:v>2.8</c:v>
                </c:pt>
                <c:pt idx="217">
                  <c:v>2.4</c:v>
                </c:pt>
                <c:pt idx="218">
                  <c:v>1.8</c:v>
                </c:pt>
                <c:pt idx="219">
                  <c:v>1.4</c:v>
                </c:pt>
                <c:pt idx="220">
                  <c:v>1.4</c:v>
                </c:pt>
                <c:pt idx="221">
                  <c:v>1.8</c:v>
                </c:pt>
                <c:pt idx="222">
                  <c:v>2.2000000000000002</c:v>
                </c:pt>
                <c:pt idx="223">
                  <c:v>2.8</c:v>
                </c:pt>
                <c:pt idx="224">
                  <c:v>3.2</c:v>
                </c:pt>
                <c:pt idx="225">
                  <c:v>4</c:v>
                </c:pt>
                <c:pt idx="226">
                  <c:v>5.6</c:v>
                </c:pt>
                <c:pt idx="227">
                  <c:v>7.6</c:v>
                </c:pt>
                <c:pt idx="228">
                  <c:v>11.8</c:v>
                </c:pt>
                <c:pt idx="229">
                  <c:v>13.2</c:v>
                </c:pt>
                <c:pt idx="230">
                  <c:v>12.4</c:v>
                </c:pt>
                <c:pt idx="231">
                  <c:v>10.199999999999999</c:v>
                </c:pt>
                <c:pt idx="232">
                  <c:v>7.6</c:v>
                </c:pt>
                <c:pt idx="233">
                  <c:v>2.4</c:v>
                </c:pt>
                <c:pt idx="234">
                  <c:v>0.8</c:v>
                </c:pt>
                <c:pt idx="235">
                  <c:v>2.2000000000000002</c:v>
                </c:pt>
                <c:pt idx="236">
                  <c:v>4</c:v>
                </c:pt>
                <c:pt idx="237">
                  <c:v>6.2</c:v>
                </c:pt>
                <c:pt idx="238">
                  <c:v>8.6</c:v>
                </c:pt>
                <c:pt idx="239">
                  <c:v>10.4</c:v>
                </c:pt>
                <c:pt idx="240">
                  <c:v>10.8</c:v>
                </c:pt>
                <c:pt idx="241">
                  <c:v>11.8</c:v>
                </c:pt>
                <c:pt idx="242">
                  <c:v>12.6</c:v>
                </c:pt>
                <c:pt idx="243">
                  <c:v>13.8</c:v>
                </c:pt>
                <c:pt idx="244">
                  <c:v>17</c:v>
                </c:pt>
                <c:pt idx="245">
                  <c:v>21.2</c:v>
                </c:pt>
                <c:pt idx="246">
                  <c:v>20.8</c:v>
                </c:pt>
                <c:pt idx="247">
                  <c:v>18.399999999999999</c:v>
                </c:pt>
                <c:pt idx="248">
                  <c:v>18</c:v>
                </c:pt>
                <c:pt idx="249">
                  <c:v>15.4</c:v>
                </c:pt>
                <c:pt idx="250">
                  <c:v>11.4</c:v>
                </c:pt>
                <c:pt idx="251">
                  <c:v>11.2</c:v>
                </c:pt>
                <c:pt idx="252">
                  <c:v>11.4</c:v>
                </c:pt>
                <c:pt idx="253">
                  <c:v>8.8000000000000007</c:v>
                </c:pt>
                <c:pt idx="254">
                  <c:v>6.4</c:v>
                </c:pt>
                <c:pt idx="255">
                  <c:v>4.5999999999999996</c:v>
                </c:pt>
                <c:pt idx="256">
                  <c:v>2.8</c:v>
                </c:pt>
                <c:pt idx="257">
                  <c:v>3.2</c:v>
                </c:pt>
                <c:pt idx="258">
                  <c:v>3.4</c:v>
                </c:pt>
                <c:pt idx="259">
                  <c:v>4.5999999999999996</c:v>
                </c:pt>
                <c:pt idx="260">
                  <c:v>6.6</c:v>
                </c:pt>
                <c:pt idx="261">
                  <c:v>9.4</c:v>
                </c:pt>
                <c:pt idx="262">
                  <c:v>11.4</c:v>
                </c:pt>
                <c:pt idx="263">
                  <c:v>12.4</c:v>
                </c:pt>
                <c:pt idx="264">
                  <c:v>12.2</c:v>
                </c:pt>
                <c:pt idx="265">
                  <c:v>11</c:v>
                </c:pt>
                <c:pt idx="266">
                  <c:v>10</c:v>
                </c:pt>
                <c:pt idx="267">
                  <c:v>9.6</c:v>
                </c:pt>
                <c:pt idx="268">
                  <c:v>10.4</c:v>
                </c:pt>
                <c:pt idx="269">
                  <c:v>12</c:v>
                </c:pt>
                <c:pt idx="270">
                  <c:v>13.6</c:v>
                </c:pt>
                <c:pt idx="271">
                  <c:v>13.4</c:v>
                </c:pt>
                <c:pt idx="272">
                  <c:v>11.8</c:v>
                </c:pt>
                <c:pt idx="273">
                  <c:v>11</c:v>
                </c:pt>
                <c:pt idx="274">
                  <c:v>9.4</c:v>
                </c:pt>
                <c:pt idx="275">
                  <c:v>8.4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7.2</c:v>
                </c:pt>
                <c:pt idx="279">
                  <c:v>6.8</c:v>
                </c:pt>
                <c:pt idx="280">
                  <c:v>5.8</c:v>
                </c:pt>
                <c:pt idx="281">
                  <c:v>4.4000000000000004</c:v>
                </c:pt>
                <c:pt idx="282">
                  <c:v>3.4</c:v>
                </c:pt>
                <c:pt idx="283">
                  <c:v>3.2</c:v>
                </c:pt>
                <c:pt idx="284">
                  <c:v>2.8</c:v>
                </c:pt>
                <c:pt idx="285">
                  <c:v>2.4</c:v>
                </c:pt>
                <c:pt idx="286">
                  <c:v>2.2000000000000002</c:v>
                </c:pt>
                <c:pt idx="287">
                  <c:v>2.2000000000000002</c:v>
                </c:pt>
                <c:pt idx="288">
                  <c:v>2</c:v>
                </c:pt>
                <c:pt idx="289">
                  <c:v>2</c:v>
                </c:pt>
                <c:pt idx="290">
                  <c:v>2.2000000000000002</c:v>
                </c:pt>
                <c:pt idx="291">
                  <c:v>2.4</c:v>
                </c:pt>
                <c:pt idx="292">
                  <c:v>2.4</c:v>
                </c:pt>
                <c:pt idx="293">
                  <c:v>3.4</c:v>
                </c:pt>
                <c:pt idx="294">
                  <c:v>4.8</c:v>
                </c:pt>
                <c:pt idx="295">
                  <c:v>4.8</c:v>
                </c:pt>
                <c:pt idx="296">
                  <c:v>4.5999999999999996</c:v>
                </c:pt>
                <c:pt idx="297">
                  <c:v>5</c:v>
                </c:pt>
                <c:pt idx="298">
                  <c:v>4.4000000000000004</c:v>
                </c:pt>
                <c:pt idx="299">
                  <c:v>3.2</c:v>
                </c:pt>
                <c:pt idx="300">
                  <c:v>4.2</c:v>
                </c:pt>
                <c:pt idx="301">
                  <c:v>4.5999999999999996</c:v>
                </c:pt>
                <c:pt idx="302">
                  <c:v>4.4000000000000004</c:v>
                </c:pt>
                <c:pt idx="303">
                  <c:v>4.5999999999999996</c:v>
                </c:pt>
                <c:pt idx="304">
                  <c:v>4.5999999999999996</c:v>
                </c:pt>
                <c:pt idx="305">
                  <c:v>3.8</c:v>
                </c:pt>
                <c:pt idx="306">
                  <c:v>3.6</c:v>
                </c:pt>
                <c:pt idx="307">
                  <c:v>3.2</c:v>
                </c:pt>
                <c:pt idx="308">
                  <c:v>2.6</c:v>
                </c:pt>
                <c:pt idx="309">
                  <c:v>3.4</c:v>
                </c:pt>
                <c:pt idx="310">
                  <c:v>4.2</c:v>
                </c:pt>
                <c:pt idx="311">
                  <c:v>6</c:v>
                </c:pt>
                <c:pt idx="312">
                  <c:v>7.4</c:v>
                </c:pt>
                <c:pt idx="313">
                  <c:v>7.8</c:v>
                </c:pt>
                <c:pt idx="314">
                  <c:v>7.2</c:v>
                </c:pt>
                <c:pt idx="315">
                  <c:v>6.4</c:v>
                </c:pt>
                <c:pt idx="316">
                  <c:v>4.8</c:v>
                </c:pt>
                <c:pt idx="317">
                  <c:v>3.4</c:v>
                </c:pt>
                <c:pt idx="318">
                  <c:v>3.8</c:v>
                </c:pt>
                <c:pt idx="319">
                  <c:v>3.2</c:v>
                </c:pt>
                <c:pt idx="320">
                  <c:v>3.4</c:v>
                </c:pt>
                <c:pt idx="321">
                  <c:v>3</c:v>
                </c:pt>
                <c:pt idx="322">
                  <c:v>4</c:v>
                </c:pt>
                <c:pt idx="323">
                  <c:v>3.8</c:v>
                </c:pt>
                <c:pt idx="324">
                  <c:v>3.6</c:v>
                </c:pt>
                <c:pt idx="325">
                  <c:v>2.8</c:v>
                </c:pt>
                <c:pt idx="326">
                  <c:v>2.8</c:v>
                </c:pt>
                <c:pt idx="327">
                  <c:v>1.8</c:v>
                </c:pt>
                <c:pt idx="328">
                  <c:v>1.2</c:v>
                </c:pt>
                <c:pt idx="329">
                  <c:v>1.6</c:v>
                </c:pt>
                <c:pt idx="330">
                  <c:v>1.6</c:v>
                </c:pt>
                <c:pt idx="331">
                  <c:v>2</c:v>
                </c:pt>
                <c:pt idx="332">
                  <c:v>2.4</c:v>
                </c:pt>
                <c:pt idx="333">
                  <c:v>2.8</c:v>
                </c:pt>
                <c:pt idx="334">
                  <c:v>2.6</c:v>
                </c:pt>
                <c:pt idx="335">
                  <c:v>3</c:v>
                </c:pt>
                <c:pt idx="336">
                  <c:v>3.6</c:v>
                </c:pt>
                <c:pt idx="337">
                  <c:v>3.6</c:v>
                </c:pt>
                <c:pt idx="338">
                  <c:v>4.2</c:v>
                </c:pt>
                <c:pt idx="339">
                  <c:v>4.5999999999999996</c:v>
                </c:pt>
                <c:pt idx="340">
                  <c:v>4.5999999999999996</c:v>
                </c:pt>
                <c:pt idx="341">
                  <c:v>3.4</c:v>
                </c:pt>
                <c:pt idx="342">
                  <c:v>3.2</c:v>
                </c:pt>
                <c:pt idx="343">
                  <c:v>2.2000000000000002</c:v>
                </c:pt>
                <c:pt idx="344">
                  <c:v>1.4</c:v>
                </c:pt>
                <c:pt idx="345">
                  <c:v>1</c:v>
                </c:pt>
                <c:pt idx="346">
                  <c:v>1.2</c:v>
                </c:pt>
                <c:pt idx="347">
                  <c:v>1.2</c:v>
                </c:pt>
                <c:pt idx="348">
                  <c:v>0.8</c:v>
                </c:pt>
                <c:pt idx="349">
                  <c:v>1</c:v>
                </c:pt>
                <c:pt idx="350">
                  <c:v>1.2</c:v>
                </c:pt>
                <c:pt idx="351">
                  <c:v>2.4</c:v>
                </c:pt>
                <c:pt idx="352">
                  <c:v>2.8</c:v>
                </c:pt>
                <c:pt idx="353">
                  <c:v>3.6</c:v>
                </c:pt>
                <c:pt idx="354">
                  <c:v>3.8</c:v>
                </c:pt>
                <c:pt idx="355">
                  <c:v>3.8</c:v>
                </c:pt>
                <c:pt idx="356">
                  <c:v>2.8</c:v>
                </c:pt>
                <c:pt idx="357">
                  <c:v>2.8</c:v>
                </c:pt>
                <c:pt idx="358">
                  <c:v>3</c:v>
                </c:pt>
                <c:pt idx="359">
                  <c:v>3.6</c:v>
                </c:pt>
                <c:pt idx="360">
                  <c:v>4.2</c:v>
                </c:pt>
                <c:pt idx="361">
                  <c:v>4.2</c:v>
                </c:pt>
                <c:pt idx="362">
                  <c:v>4.2</c:v>
                </c:pt>
                <c:pt idx="363">
                  <c:v>3.6</c:v>
                </c:pt>
                <c:pt idx="364">
                  <c:v>2.8</c:v>
                </c:pt>
                <c:pt idx="365">
                  <c:v>2</c:v>
                </c:pt>
                <c:pt idx="366">
                  <c:v>2</c:v>
                </c:pt>
                <c:pt idx="367">
                  <c:v>1.4</c:v>
                </c:pt>
                <c:pt idx="368">
                  <c:v>1.6</c:v>
                </c:pt>
                <c:pt idx="369">
                  <c:v>1.8</c:v>
                </c:pt>
                <c:pt idx="370">
                  <c:v>2.2000000000000002</c:v>
                </c:pt>
                <c:pt idx="371">
                  <c:v>2.6</c:v>
                </c:pt>
                <c:pt idx="372">
                  <c:v>3</c:v>
                </c:pt>
                <c:pt idx="373">
                  <c:v>3.2</c:v>
                </c:pt>
                <c:pt idx="374">
                  <c:v>3.4</c:v>
                </c:pt>
                <c:pt idx="375">
                  <c:v>4</c:v>
                </c:pt>
                <c:pt idx="376">
                  <c:v>4</c:v>
                </c:pt>
                <c:pt idx="377">
                  <c:v>3.8</c:v>
                </c:pt>
                <c:pt idx="378">
                  <c:v>3.6</c:v>
                </c:pt>
                <c:pt idx="379">
                  <c:v>4</c:v>
                </c:pt>
                <c:pt idx="380">
                  <c:v>3</c:v>
                </c:pt>
                <c:pt idx="381">
                  <c:v>2.4</c:v>
                </c:pt>
                <c:pt idx="382">
                  <c:v>2.8</c:v>
                </c:pt>
                <c:pt idx="383">
                  <c:v>2.6</c:v>
                </c:pt>
                <c:pt idx="384">
                  <c:v>2.6</c:v>
                </c:pt>
                <c:pt idx="385">
                  <c:v>2.8</c:v>
                </c:pt>
                <c:pt idx="386">
                  <c:v>3.2</c:v>
                </c:pt>
                <c:pt idx="387">
                  <c:v>2.6</c:v>
                </c:pt>
                <c:pt idx="388">
                  <c:v>2.4</c:v>
                </c:pt>
                <c:pt idx="389">
                  <c:v>2</c:v>
                </c:pt>
                <c:pt idx="390">
                  <c:v>2.4</c:v>
                </c:pt>
                <c:pt idx="391">
                  <c:v>2.2000000000000002</c:v>
                </c:pt>
                <c:pt idx="392">
                  <c:v>2.6</c:v>
                </c:pt>
                <c:pt idx="393">
                  <c:v>3</c:v>
                </c:pt>
                <c:pt idx="394">
                  <c:v>2.6</c:v>
                </c:pt>
                <c:pt idx="395">
                  <c:v>2</c:v>
                </c:pt>
                <c:pt idx="396">
                  <c:v>1.6</c:v>
                </c:pt>
                <c:pt idx="397">
                  <c:v>2</c:v>
                </c:pt>
                <c:pt idx="398">
                  <c:v>1.8</c:v>
                </c:pt>
                <c:pt idx="399">
                  <c:v>2</c:v>
                </c:pt>
                <c:pt idx="400">
                  <c:v>2.4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2.6</c:v>
                </c:pt>
                <c:pt idx="407">
                  <c:v>1.8</c:v>
                </c:pt>
                <c:pt idx="408">
                  <c:v>2</c:v>
                </c:pt>
                <c:pt idx="409">
                  <c:v>2</c:v>
                </c:pt>
                <c:pt idx="410">
                  <c:v>1.4</c:v>
                </c:pt>
                <c:pt idx="411">
                  <c:v>2</c:v>
                </c:pt>
                <c:pt idx="412">
                  <c:v>2.8</c:v>
                </c:pt>
                <c:pt idx="413">
                  <c:v>3.2</c:v>
                </c:pt>
                <c:pt idx="414">
                  <c:v>3.4</c:v>
                </c:pt>
                <c:pt idx="415">
                  <c:v>3.8</c:v>
                </c:pt>
                <c:pt idx="416">
                  <c:v>3.2</c:v>
                </c:pt>
                <c:pt idx="417">
                  <c:v>3.2</c:v>
                </c:pt>
                <c:pt idx="418">
                  <c:v>2.8</c:v>
                </c:pt>
                <c:pt idx="419">
                  <c:v>2.6</c:v>
                </c:pt>
                <c:pt idx="420">
                  <c:v>2.4</c:v>
                </c:pt>
                <c:pt idx="421">
                  <c:v>3</c:v>
                </c:pt>
                <c:pt idx="422">
                  <c:v>2.2000000000000002</c:v>
                </c:pt>
                <c:pt idx="423">
                  <c:v>4.2</c:v>
                </c:pt>
                <c:pt idx="424">
                  <c:v>4.4000000000000004</c:v>
                </c:pt>
                <c:pt idx="425">
                  <c:v>4.5999999999999996</c:v>
                </c:pt>
                <c:pt idx="426">
                  <c:v>4</c:v>
                </c:pt>
                <c:pt idx="427">
                  <c:v>4</c:v>
                </c:pt>
                <c:pt idx="428">
                  <c:v>1.8</c:v>
                </c:pt>
                <c:pt idx="429">
                  <c:v>1.2</c:v>
                </c:pt>
                <c:pt idx="430">
                  <c:v>1</c:v>
                </c:pt>
                <c:pt idx="431">
                  <c:v>1.2</c:v>
                </c:pt>
                <c:pt idx="432">
                  <c:v>1.4</c:v>
                </c:pt>
                <c:pt idx="433">
                  <c:v>2</c:v>
                </c:pt>
                <c:pt idx="434">
                  <c:v>2.8</c:v>
                </c:pt>
                <c:pt idx="435">
                  <c:v>2.6</c:v>
                </c:pt>
                <c:pt idx="436">
                  <c:v>2.4</c:v>
                </c:pt>
                <c:pt idx="437">
                  <c:v>2.6</c:v>
                </c:pt>
                <c:pt idx="438">
                  <c:v>1.8</c:v>
                </c:pt>
                <c:pt idx="439">
                  <c:v>1.2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2.4</c:v>
                </c:pt>
                <c:pt idx="444">
                  <c:v>3</c:v>
                </c:pt>
                <c:pt idx="445">
                  <c:v>2.4</c:v>
                </c:pt>
                <c:pt idx="446">
                  <c:v>2.4</c:v>
                </c:pt>
                <c:pt idx="447">
                  <c:v>2</c:v>
                </c:pt>
                <c:pt idx="448">
                  <c:v>1.8</c:v>
                </c:pt>
                <c:pt idx="449">
                  <c:v>1.4</c:v>
                </c:pt>
                <c:pt idx="450">
                  <c:v>1.6</c:v>
                </c:pt>
                <c:pt idx="451">
                  <c:v>1.8</c:v>
                </c:pt>
                <c:pt idx="452">
                  <c:v>1.8</c:v>
                </c:pt>
                <c:pt idx="453">
                  <c:v>1.6</c:v>
                </c:pt>
                <c:pt idx="454">
                  <c:v>1.4</c:v>
                </c:pt>
                <c:pt idx="455">
                  <c:v>1</c:v>
                </c:pt>
                <c:pt idx="456">
                  <c:v>1.2</c:v>
                </c:pt>
                <c:pt idx="457">
                  <c:v>1.4</c:v>
                </c:pt>
                <c:pt idx="458">
                  <c:v>1.4</c:v>
                </c:pt>
                <c:pt idx="459">
                  <c:v>1.8</c:v>
                </c:pt>
                <c:pt idx="460">
                  <c:v>1.8</c:v>
                </c:pt>
                <c:pt idx="461">
                  <c:v>1.4</c:v>
                </c:pt>
                <c:pt idx="462">
                  <c:v>1.8</c:v>
                </c:pt>
                <c:pt idx="463">
                  <c:v>3.2</c:v>
                </c:pt>
                <c:pt idx="464">
                  <c:v>3.2</c:v>
                </c:pt>
                <c:pt idx="465">
                  <c:v>3.6</c:v>
                </c:pt>
                <c:pt idx="466">
                  <c:v>4</c:v>
                </c:pt>
                <c:pt idx="467">
                  <c:v>3.4</c:v>
                </c:pt>
                <c:pt idx="468">
                  <c:v>2.6</c:v>
                </c:pt>
                <c:pt idx="469">
                  <c:v>2.2000000000000002</c:v>
                </c:pt>
                <c:pt idx="470">
                  <c:v>1.8</c:v>
                </c:pt>
                <c:pt idx="471">
                  <c:v>1.6</c:v>
                </c:pt>
                <c:pt idx="472">
                  <c:v>1.6</c:v>
                </c:pt>
                <c:pt idx="473">
                  <c:v>1</c:v>
                </c:pt>
                <c:pt idx="474">
                  <c:v>1</c:v>
                </c:pt>
                <c:pt idx="475">
                  <c:v>1.2</c:v>
                </c:pt>
                <c:pt idx="476">
                  <c:v>0.8</c:v>
                </c:pt>
                <c:pt idx="477">
                  <c:v>0.6</c:v>
                </c:pt>
                <c:pt idx="478">
                  <c:v>1</c:v>
                </c:pt>
                <c:pt idx="479">
                  <c:v>1.4</c:v>
                </c:pt>
                <c:pt idx="480">
                  <c:v>1.2</c:v>
                </c:pt>
                <c:pt idx="481">
                  <c:v>1.4</c:v>
                </c:pt>
                <c:pt idx="482">
                  <c:v>2.2000000000000002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2.8</c:v>
                </c:pt>
                <c:pt idx="486">
                  <c:v>3.2</c:v>
                </c:pt>
                <c:pt idx="487">
                  <c:v>2.8</c:v>
                </c:pt>
                <c:pt idx="488">
                  <c:v>3</c:v>
                </c:pt>
                <c:pt idx="489">
                  <c:v>2.6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2.2000000000000002</c:v>
                </c:pt>
                <c:pt idx="495">
                  <c:v>2.4</c:v>
                </c:pt>
                <c:pt idx="496">
                  <c:v>2.4</c:v>
                </c:pt>
                <c:pt idx="497">
                  <c:v>3.4</c:v>
                </c:pt>
                <c:pt idx="498">
                  <c:v>4.2</c:v>
                </c:pt>
                <c:pt idx="499">
                  <c:v>5.2</c:v>
                </c:pt>
                <c:pt idx="500">
                  <c:v>5.8</c:v>
                </c:pt>
                <c:pt idx="501">
                  <c:v>6.2</c:v>
                </c:pt>
                <c:pt idx="502">
                  <c:v>5.6</c:v>
                </c:pt>
                <c:pt idx="503">
                  <c:v>4.5999999999999996</c:v>
                </c:pt>
                <c:pt idx="504">
                  <c:v>3.8</c:v>
                </c:pt>
                <c:pt idx="505">
                  <c:v>3.2</c:v>
                </c:pt>
                <c:pt idx="506">
                  <c:v>3</c:v>
                </c:pt>
                <c:pt idx="507">
                  <c:v>2.6</c:v>
                </c:pt>
                <c:pt idx="508">
                  <c:v>2.6</c:v>
                </c:pt>
                <c:pt idx="509">
                  <c:v>2.6</c:v>
                </c:pt>
                <c:pt idx="510">
                  <c:v>3.4</c:v>
                </c:pt>
                <c:pt idx="511">
                  <c:v>3.4</c:v>
                </c:pt>
                <c:pt idx="512">
                  <c:v>3.2</c:v>
                </c:pt>
                <c:pt idx="513">
                  <c:v>3.2</c:v>
                </c:pt>
                <c:pt idx="514">
                  <c:v>3.4</c:v>
                </c:pt>
                <c:pt idx="515">
                  <c:v>3</c:v>
                </c:pt>
                <c:pt idx="516">
                  <c:v>2.8</c:v>
                </c:pt>
                <c:pt idx="517">
                  <c:v>3.2</c:v>
                </c:pt>
                <c:pt idx="518">
                  <c:v>3</c:v>
                </c:pt>
                <c:pt idx="519">
                  <c:v>2.4</c:v>
                </c:pt>
                <c:pt idx="520">
                  <c:v>2.2000000000000002</c:v>
                </c:pt>
                <c:pt idx="521">
                  <c:v>2</c:v>
                </c:pt>
                <c:pt idx="522">
                  <c:v>2</c:v>
                </c:pt>
                <c:pt idx="523">
                  <c:v>2.2000000000000002</c:v>
                </c:pt>
                <c:pt idx="524">
                  <c:v>2.8</c:v>
                </c:pt>
                <c:pt idx="525">
                  <c:v>3</c:v>
                </c:pt>
                <c:pt idx="526">
                  <c:v>3.4</c:v>
                </c:pt>
                <c:pt idx="527">
                  <c:v>4.2</c:v>
                </c:pt>
                <c:pt idx="528">
                  <c:v>4.8</c:v>
                </c:pt>
                <c:pt idx="529">
                  <c:v>5.4</c:v>
                </c:pt>
                <c:pt idx="530">
                  <c:v>5.6</c:v>
                </c:pt>
                <c:pt idx="531">
                  <c:v>5.4</c:v>
                </c:pt>
                <c:pt idx="532">
                  <c:v>4.4000000000000004</c:v>
                </c:pt>
                <c:pt idx="533">
                  <c:v>4.4000000000000004</c:v>
                </c:pt>
                <c:pt idx="534">
                  <c:v>4</c:v>
                </c:pt>
                <c:pt idx="535">
                  <c:v>4.8</c:v>
                </c:pt>
                <c:pt idx="536">
                  <c:v>5.6</c:v>
                </c:pt>
                <c:pt idx="537">
                  <c:v>6.8</c:v>
                </c:pt>
                <c:pt idx="538">
                  <c:v>6.8</c:v>
                </c:pt>
                <c:pt idx="539">
                  <c:v>6.8</c:v>
                </c:pt>
                <c:pt idx="540">
                  <c:v>5.4</c:v>
                </c:pt>
                <c:pt idx="541">
                  <c:v>4.2</c:v>
                </c:pt>
                <c:pt idx="542">
                  <c:v>3</c:v>
                </c:pt>
                <c:pt idx="543">
                  <c:v>2.2000000000000002</c:v>
                </c:pt>
                <c:pt idx="544">
                  <c:v>1.6</c:v>
                </c:pt>
                <c:pt idx="545">
                  <c:v>1.6</c:v>
                </c:pt>
                <c:pt idx="546">
                  <c:v>2</c:v>
                </c:pt>
                <c:pt idx="547">
                  <c:v>1.8</c:v>
                </c:pt>
                <c:pt idx="548">
                  <c:v>1.8</c:v>
                </c:pt>
                <c:pt idx="549">
                  <c:v>2.4</c:v>
                </c:pt>
                <c:pt idx="550">
                  <c:v>3</c:v>
                </c:pt>
                <c:pt idx="551">
                  <c:v>2.6</c:v>
                </c:pt>
                <c:pt idx="552">
                  <c:v>2.4</c:v>
                </c:pt>
                <c:pt idx="553">
                  <c:v>2.8</c:v>
                </c:pt>
                <c:pt idx="554">
                  <c:v>2.2000000000000002</c:v>
                </c:pt>
                <c:pt idx="555">
                  <c:v>1.4</c:v>
                </c:pt>
                <c:pt idx="556">
                  <c:v>1.4</c:v>
                </c:pt>
                <c:pt idx="557">
                  <c:v>2</c:v>
                </c:pt>
                <c:pt idx="558">
                  <c:v>1.4</c:v>
                </c:pt>
                <c:pt idx="559">
                  <c:v>1.2</c:v>
                </c:pt>
                <c:pt idx="560">
                  <c:v>1.8</c:v>
                </c:pt>
                <c:pt idx="561">
                  <c:v>1.8</c:v>
                </c:pt>
                <c:pt idx="562">
                  <c:v>1.6</c:v>
                </c:pt>
                <c:pt idx="563">
                  <c:v>2</c:v>
                </c:pt>
                <c:pt idx="564">
                  <c:v>2.2000000000000002</c:v>
                </c:pt>
                <c:pt idx="565">
                  <c:v>1.8</c:v>
                </c:pt>
                <c:pt idx="566">
                  <c:v>1.6</c:v>
                </c:pt>
                <c:pt idx="567">
                  <c:v>1.2</c:v>
                </c:pt>
                <c:pt idx="568">
                  <c:v>1.2</c:v>
                </c:pt>
                <c:pt idx="569">
                  <c:v>0.8</c:v>
                </c:pt>
                <c:pt idx="570">
                  <c:v>0.4</c:v>
                </c:pt>
                <c:pt idx="571">
                  <c:v>0.8</c:v>
                </c:pt>
                <c:pt idx="572">
                  <c:v>1</c:v>
                </c:pt>
                <c:pt idx="573">
                  <c:v>0.8</c:v>
                </c:pt>
                <c:pt idx="574">
                  <c:v>1</c:v>
                </c:pt>
                <c:pt idx="575">
                  <c:v>1.4</c:v>
                </c:pt>
                <c:pt idx="576">
                  <c:v>1</c:v>
                </c:pt>
                <c:pt idx="577">
                  <c:v>1.2</c:v>
                </c:pt>
                <c:pt idx="578">
                  <c:v>1.2</c:v>
                </c:pt>
                <c:pt idx="579">
                  <c:v>1.4</c:v>
                </c:pt>
                <c:pt idx="580">
                  <c:v>1.4</c:v>
                </c:pt>
                <c:pt idx="581">
                  <c:v>1.8</c:v>
                </c:pt>
                <c:pt idx="582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6-4F38-8CA3-272277F2F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783855"/>
        <c:axId val="1094788655"/>
      </c:lineChart>
      <c:dateAx>
        <c:axId val="1094790095"/>
        <c:scaling>
          <c:orientation val="minMax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74735"/>
        <c:crosses val="autoZero"/>
        <c:auto val="1"/>
        <c:lblOffset val="100"/>
        <c:baseTimeUnit val="days"/>
        <c:majorUnit val="2"/>
        <c:majorTimeUnit val="months"/>
        <c:minorUnit val="4"/>
        <c:minorTimeUnit val="days"/>
      </c:dateAx>
      <c:valAx>
        <c:axId val="109477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90095"/>
        <c:crosses val="autoZero"/>
        <c:crossBetween val="between"/>
      </c:valAx>
      <c:dateAx>
        <c:axId val="109478385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094788655"/>
        <c:crosses val="autoZero"/>
        <c:auto val="1"/>
        <c:lblOffset val="100"/>
        <c:baseTimeUnit val="days"/>
      </c:dateAx>
      <c:valAx>
        <c:axId val="1094788655"/>
        <c:scaling>
          <c:orientation val="minMax"/>
          <c:max val="2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83855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0941677197144703E-2"/>
          <c:y val="0.103179327631632"/>
          <c:w val="0.91163397337545105"/>
          <c:h val="0.7061189416271830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连板个股!$A$3</c:f>
              <c:strCache>
                <c:ptCount val="1"/>
                <c:pt idx="0">
                  <c:v>最高板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dPt>
            <c:idx val="19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38100">
                <a:solidFill>
                  <a:schemeClr val="accent4">
                    <a:lumMod val="75000"/>
                  </a:schemeClr>
                </a:solidFill>
              </a:ln>
              <a:effectLst/>
              <a:sp3d contourW="38100"/>
            </c:spPr>
            <c:extLst>
              <c:ext xmlns:c16="http://schemas.microsoft.com/office/drawing/2014/chart" uri="{C3380CC4-5D6E-409C-BE32-E72D297353CC}">
                <c16:uniqueId val="{00000001-1D12-4315-BEBC-CA974530E38E}"/>
              </c:ext>
            </c:extLst>
          </c:dPt>
          <c:cat>
            <c:numRef>
              <c:f>连板个股!$II$1:$VX$1</c:f>
              <c:numCache>
                <c:formatCode>yyyy\-mm\-dd</c:formatCode>
                <c:ptCount val="354"/>
                <c:pt idx="0">
                  <c:v>45362</c:v>
                </c:pt>
                <c:pt idx="1">
                  <c:v>45363</c:v>
                </c:pt>
                <c:pt idx="2">
                  <c:v>45364</c:v>
                </c:pt>
                <c:pt idx="3" formatCode="yyyy/mm/dd">
                  <c:v>45302</c:v>
                </c:pt>
                <c:pt idx="4" formatCode="yyyy/mm/dd">
                  <c:v>45303</c:v>
                </c:pt>
                <c:pt idx="5" formatCode="yyyy/mm/dd">
                  <c:v>45306</c:v>
                </c:pt>
                <c:pt idx="6" formatCode="yyyy/mm/dd">
                  <c:v>45307</c:v>
                </c:pt>
                <c:pt idx="7" formatCode="yyyy/mm/dd">
                  <c:v>45308</c:v>
                </c:pt>
                <c:pt idx="8" formatCode="yyyy/mm/dd">
                  <c:v>45309</c:v>
                </c:pt>
                <c:pt idx="9" formatCode="yyyy/mm/dd">
                  <c:v>45310</c:v>
                </c:pt>
                <c:pt idx="10" formatCode="yyyy/mm/dd">
                  <c:v>45313</c:v>
                </c:pt>
                <c:pt idx="11" formatCode="yyyy/mm/dd">
                  <c:v>45314</c:v>
                </c:pt>
                <c:pt idx="12" formatCode="yyyy/mm/dd">
                  <c:v>45315</c:v>
                </c:pt>
                <c:pt idx="13" formatCode="yyyy/mm/dd">
                  <c:v>45316</c:v>
                </c:pt>
                <c:pt idx="14" formatCode="yyyy/mm/dd">
                  <c:v>45317</c:v>
                </c:pt>
                <c:pt idx="15" formatCode="yyyy/mm/dd">
                  <c:v>45320</c:v>
                </c:pt>
                <c:pt idx="16" formatCode="yyyy/mm/dd">
                  <c:v>45321</c:v>
                </c:pt>
                <c:pt idx="17" formatCode="yyyy/mm/dd">
                  <c:v>45322</c:v>
                </c:pt>
                <c:pt idx="18" formatCode="yyyy/mm/dd">
                  <c:v>45323</c:v>
                </c:pt>
                <c:pt idx="19" formatCode="yyyy/mm/dd">
                  <c:v>45324</c:v>
                </c:pt>
                <c:pt idx="20" formatCode="yyyy/mm/dd">
                  <c:v>45327</c:v>
                </c:pt>
                <c:pt idx="21" formatCode="yyyy/mm/dd">
                  <c:v>45328</c:v>
                </c:pt>
                <c:pt idx="22" formatCode="yyyy/mm/dd">
                  <c:v>45329</c:v>
                </c:pt>
                <c:pt idx="23" formatCode="yyyy/mm/dd">
                  <c:v>45330</c:v>
                </c:pt>
                <c:pt idx="24" formatCode="yyyy/mm/dd">
                  <c:v>45341</c:v>
                </c:pt>
                <c:pt idx="25" formatCode="yyyy/mm/dd">
                  <c:v>45342</c:v>
                </c:pt>
                <c:pt idx="26" formatCode="yyyy/mm/dd">
                  <c:v>45343</c:v>
                </c:pt>
                <c:pt idx="27" formatCode="yyyy/mm/dd">
                  <c:v>45344</c:v>
                </c:pt>
                <c:pt idx="28" formatCode="yyyy/mm/dd">
                  <c:v>45345</c:v>
                </c:pt>
                <c:pt idx="29" formatCode="yyyy/mm/dd">
                  <c:v>45348</c:v>
                </c:pt>
                <c:pt idx="30" formatCode="yyyy/mm/dd">
                  <c:v>45349</c:v>
                </c:pt>
                <c:pt idx="31" formatCode="yyyy/mm/dd">
                  <c:v>45350</c:v>
                </c:pt>
                <c:pt idx="32" formatCode="yyyy/mm/dd">
                  <c:v>45351</c:v>
                </c:pt>
                <c:pt idx="33" formatCode="yyyy/mm/dd">
                  <c:v>45352</c:v>
                </c:pt>
                <c:pt idx="34" formatCode="yyyy/mm/dd">
                  <c:v>45355</c:v>
                </c:pt>
                <c:pt idx="35" formatCode="yyyy/mm/dd">
                  <c:v>45356</c:v>
                </c:pt>
                <c:pt idx="36" formatCode="yyyy/mm/dd">
                  <c:v>45357</c:v>
                </c:pt>
                <c:pt idx="37" formatCode="yyyy/mm/dd">
                  <c:v>45358</c:v>
                </c:pt>
                <c:pt idx="38" formatCode="yyyy/mm/dd">
                  <c:v>45359</c:v>
                </c:pt>
                <c:pt idx="39" formatCode="yyyy/mm/dd">
                  <c:v>45362</c:v>
                </c:pt>
                <c:pt idx="40" formatCode="yyyy/mm/dd">
                  <c:v>45363</c:v>
                </c:pt>
                <c:pt idx="41" formatCode="yyyy/mm/dd">
                  <c:v>45364</c:v>
                </c:pt>
                <c:pt idx="42" formatCode="yyyy/mm/dd">
                  <c:v>45365</c:v>
                </c:pt>
                <c:pt idx="43" formatCode="yyyy/mm/dd">
                  <c:v>45366</c:v>
                </c:pt>
                <c:pt idx="44" formatCode="yyyy/mm/dd">
                  <c:v>45369</c:v>
                </c:pt>
                <c:pt idx="45" formatCode="yyyy/mm/dd">
                  <c:v>45370</c:v>
                </c:pt>
                <c:pt idx="46" formatCode="yyyy/mm/dd">
                  <c:v>45371</c:v>
                </c:pt>
                <c:pt idx="47" formatCode="yyyy/mm/dd">
                  <c:v>45372</c:v>
                </c:pt>
                <c:pt idx="48" formatCode="yyyy/mm/dd">
                  <c:v>45373</c:v>
                </c:pt>
                <c:pt idx="49" formatCode="yyyy/mm/dd">
                  <c:v>45376</c:v>
                </c:pt>
                <c:pt idx="50" formatCode="yyyy/mm/dd">
                  <c:v>45377</c:v>
                </c:pt>
                <c:pt idx="51" formatCode="yyyy/mm/dd">
                  <c:v>45378</c:v>
                </c:pt>
                <c:pt idx="52" formatCode="yyyy/mm/dd">
                  <c:v>45379</c:v>
                </c:pt>
                <c:pt idx="53" formatCode="yyyy/mm/dd">
                  <c:v>45380</c:v>
                </c:pt>
                <c:pt idx="54" formatCode="yyyy/mm/dd">
                  <c:v>45383</c:v>
                </c:pt>
                <c:pt idx="55" formatCode="yyyy/mm/dd">
                  <c:v>45384</c:v>
                </c:pt>
                <c:pt idx="56" formatCode="yyyy/mm/dd">
                  <c:v>45385</c:v>
                </c:pt>
                <c:pt idx="57" formatCode="yyyy/mm/dd">
                  <c:v>45390</c:v>
                </c:pt>
                <c:pt idx="58" formatCode="yyyy/mm/dd">
                  <c:v>45391</c:v>
                </c:pt>
                <c:pt idx="59" formatCode="yyyy/mm/dd">
                  <c:v>45392</c:v>
                </c:pt>
                <c:pt idx="60" formatCode="yyyy/mm/dd">
                  <c:v>45393</c:v>
                </c:pt>
                <c:pt idx="61" formatCode="yyyy/mm/dd">
                  <c:v>45394</c:v>
                </c:pt>
                <c:pt idx="62" formatCode="yyyy/mm/dd">
                  <c:v>45397</c:v>
                </c:pt>
                <c:pt idx="63" formatCode="yyyy/mm/dd">
                  <c:v>45398</c:v>
                </c:pt>
                <c:pt idx="64" formatCode="yyyy/mm/dd">
                  <c:v>45399</c:v>
                </c:pt>
                <c:pt idx="65" formatCode="yyyy/mm/dd">
                  <c:v>45400</c:v>
                </c:pt>
                <c:pt idx="66" formatCode="yyyy/mm/dd">
                  <c:v>45401</c:v>
                </c:pt>
                <c:pt idx="67" formatCode="yyyy/mm/dd">
                  <c:v>45404</c:v>
                </c:pt>
                <c:pt idx="68" formatCode="yyyy/mm/dd">
                  <c:v>45405</c:v>
                </c:pt>
                <c:pt idx="69" formatCode="yyyy/mm/dd">
                  <c:v>45406</c:v>
                </c:pt>
                <c:pt idx="70" formatCode="yyyy/mm/dd">
                  <c:v>45407</c:v>
                </c:pt>
                <c:pt idx="71" formatCode="yyyy/mm/dd">
                  <c:v>45408</c:v>
                </c:pt>
                <c:pt idx="72" formatCode="yyyy/mm/dd">
                  <c:v>45411</c:v>
                </c:pt>
                <c:pt idx="73" formatCode="yyyy/mm/dd">
                  <c:v>45412</c:v>
                </c:pt>
                <c:pt idx="74" formatCode="yyyy/mm/dd">
                  <c:v>45418</c:v>
                </c:pt>
                <c:pt idx="75" formatCode="yyyy/mm/dd">
                  <c:v>45419</c:v>
                </c:pt>
                <c:pt idx="76" formatCode="yyyy/mm/dd">
                  <c:v>45420</c:v>
                </c:pt>
                <c:pt idx="77" formatCode="yyyy/mm/dd">
                  <c:v>45421</c:v>
                </c:pt>
                <c:pt idx="78" formatCode="yyyy/mm/dd">
                  <c:v>45422</c:v>
                </c:pt>
                <c:pt idx="79" formatCode="m/d/yyyy">
                  <c:v>45425</c:v>
                </c:pt>
                <c:pt idx="80" formatCode="m/d/yyyy">
                  <c:v>45426</c:v>
                </c:pt>
                <c:pt idx="81" formatCode="m/d/yyyy">
                  <c:v>45427</c:v>
                </c:pt>
                <c:pt idx="82" formatCode="m/d/yyyy">
                  <c:v>45428</c:v>
                </c:pt>
                <c:pt idx="83" formatCode="m/d/yyyy">
                  <c:v>45429</c:v>
                </c:pt>
                <c:pt idx="84" formatCode="m/d/yyyy">
                  <c:v>45432</c:v>
                </c:pt>
                <c:pt idx="85" formatCode="m/d/yyyy">
                  <c:v>45433</c:v>
                </c:pt>
                <c:pt idx="86" formatCode="m/d/yyyy">
                  <c:v>45434</c:v>
                </c:pt>
                <c:pt idx="87" formatCode="m/d/yyyy">
                  <c:v>45435</c:v>
                </c:pt>
                <c:pt idx="88" formatCode="m/d/yyyy">
                  <c:v>45436</c:v>
                </c:pt>
                <c:pt idx="89" formatCode="m/d/yyyy">
                  <c:v>45439</c:v>
                </c:pt>
                <c:pt idx="90" formatCode="m/d/yyyy">
                  <c:v>45440</c:v>
                </c:pt>
                <c:pt idx="91" formatCode="m/d/yyyy">
                  <c:v>45441</c:v>
                </c:pt>
                <c:pt idx="92" formatCode="m/d/yyyy">
                  <c:v>45442</c:v>
                </c:pt>
                <c:pt idx="93" formatCode="m/d/yyyy">
                  <c:v>45443</c:v>
                </c:pt>
                <c:pt idx="94" formatCode="m/d/yyyy">
                  <c:v>45446</c:v>
                </c:pt>
                <c:pt idx="95" formatCode="m/d/yyyy">
                  <c:v>45447</c:v>
                </c:pt>
                <c:pt idx="96" formatCode="m/d/yyyy">
                  <c:v>45448</c:v>
                </c:pt>
                <c:pt idx="97" formatCode="m/d/yyyy">
                  <c:v>45449</c:v>
                </c:pt>
                <c:pt idx="98" formatCode="m/d/yyyy">
                  <c:v>45450</c:v>
                </c:pt>
                <c:pt idx="99" formatCode="m/d/yyyy">
                  <c:v>45454</c:v>
                </c:pt>
                <c:pt idx="100" formatCode="m/d/yyyy">
                  <c:v>45455</c:v>
                </c:pt>
                <c:pt idx="101" formatCode="m/d/yyyy">
                  <c:v>45456</c:v>
                </c:pt>
                <c:pt idx="102" formatCode="m/d/yyyy">
                  <c:v>45457</c:v>
                </c:pt>
                <c:pt idx="103" formatCode="m/d/yyyy">
                  <c:v>45460</c:v>
                </c:pt>
                <c:pt idx="104" formatCode="m/d/yyyy">
                  <c:v>45461</c:v>
                </c:pt>
                <c:pt idx="105" formatCode="m/d/yyyy">
                  <c:v>45462</c:v>
                </c:pt>
                <c:pt idx="106" formatCode="m/d/yyyy">
                  <c:v>45463</c:v>
                </c:pt>
                <c:pt idx="107" formatCode="m/d/yyyy">
                  <c:v>45464</c:v>
                </c:pt>
                <c:pt idx="108" formatCode="m/d/yyyy">
                  <c:v>45467</c:v>
                </c:pt>
                <c:pt idx="109" formatCode="m/d/yyyy">
                  <c:v>45468</c:v>
                </c:pt>
                <c:pt idx="110" formatCode="m/d/yyyy">
                  <c:v>45469</c:v>
                </c:pt>
                <c:pt idx="111" formatCode="m/d/yyyy">
                  <c:v>45470</c:v>
                </c:pt>
                <c:pt idx="112" formatCode="m/d/yyyy">
                  <c:v>45471</c:v>
                </c:pt>
                <c:pt idx="113" formatCode="m/d/yyyy">
                  <c:v>45474</c:v>
                </c:pt>
                <c:pt idx="114" formatCode="m/d/yyyy">
                  <c:v>45475</c:v>
                </c:pt>
                <c:pt idx="115" formatCode="m/d/yyyy">
                  <c:v>45476</c:v>
                </c:pt>
                <c:pt idx="116" formatCode="m/d/yyyy">
                  <c:v>45477</c:v>
                </c:pt>
                <c:pt idx="117" formatCode="m/d/yyyy">
                  <c:v>45478</c:v>
                </c:pt>
                <c:pt idx="118" formatCode="m/d/yyyy">
                  <c:v>45481</c:v>
                </c:pt>
                <c:pt idx="119" formatCode="m/d/yyyy">
                  <c:v>45482</c:v>
                </c:pt>
                <c:pt idx="120" formatCode="m/d/yyyy">
                  <c:v>45483</c:v>
                </c:pt>
                <c:pt idx="121" formatCode="m/d/yyyy">
                  <c:v>45484</c:v>
                </c:pt>
                <c:pt idx="122" formatCode="m/d/yyyy">
                  <c:v>45485</c:v>
                </c:pt>
                <c:pt idx="123" formatCode="m/d/yyyy">
                  <c:v>45488</c:v>
                </c:pt>
                <c:pt idx="124" formatCode="m/d/yyyy">
                  <c:v>45489</c:v>
                </c:pt>
                <c:pt idx="125" formatCode="m/d/yyyy">
                  <c:v>45490</c:v>
                </c:pt>
                <c:pt idx="126" formatCode="m/d/yyyy">
                  <c:v>45491</c:v>
                </c:pt>
                <c:pt idx="127" formatCode="m/d/yyyy">
                  <c:v>45492</c:v>
                </c:pt>
                <c:pt idx="128" formatCode="m/d/yyyy">
                  <c:v>45495</c:v>
                </c:pt>
                <c:pt idx="129" formatCode="m/d/yyyy">
                  <c:v>45496</c:v>
                </c:pt>
                <c:pt idx="130" formatCode="m/d/yyyy">
                  <c:v>45497</c:v>
                </c:pt>
                <c:pt idx="131" formatCode="m/d/yyyy">
                  <c:v>45498</c:v>
                </c:pt>
                <c:pt idx="132" formatCode="m/d/yyyy">
                  <c:v>45499</c:v>
                </c:pt>
                <c:pt idx="133" formatCode="m/d/yyyy">
                  <c:v>45502</c:v>
                </c:pt>
                <c:pt idx="134" formatCode="m/d/yyyy">
                  <c:v>45503</c:v>
                </c:pt>
                <c:pt idx="135" formatCode="m/d/yyyy">
                  <c:v>45504</c:v>
                </c:pt>
                <c:pt idx="136" formatCode="m/d/yyyy">
                  <c:v>45505</c:v>
                </c:pt>
                <c:pt idx="137" formatCode="m/d/yyyy">
                  <c:v>45506</c:v>
                </c:pt>
                <c:pt idx="138" formatCode="m/d/yyyy">
                  <c:v>45509</c:v>
                </c:pt>
                <c:pt idx="139" formatCode="m/d/yyyy">
                  <c:v>45510</c:v>
                </c:pt>
                <c:pt idx="140" formatCode="m/d/yyyy">
                  <c:v>45511</c:v>
                </c:pt>
                <c:pt idx="141" formatCode="m/d/yyyy">
                  <c:v>45512</c:v>
                </c:pt>
                <c:pt idx="142" formatCode="m/d/yyyy">
                  <c:v>45513</c:v>
                </c:pt>
                <c:pt idx="143" formatCode="m/d/yyyy">
                  <c:v>45516</c:v>
                </c:pt>
                <c:pt idx="144" formatCode="m/d/yyyy">
                  <c:v>45517</c:v>
                </c:pt>
                <c:pt idx="145" formatCode="m/d/yyyy">
                  <c:v>45518</c:v>
                </c:pt>
                <c:pt idx="146" formatCode="m/d/yyyy">
                  <c:v>45519</c:v>
                </c:pt>
                <c:pt idx="147" formatCode="m/d/yyyy">
                  <c:v>45520</c:v>
                </c:pt>
                <c:pt idx="148" formatCode="m/d/yyyy">
                  <c:v>45523</c:v>
                </c:pt>
                <c:pt idx="149" formatCode="m/d/yyyy">
                  <c:v>45524</c:v>
                </c:pt>
                <c:pt idx="150" formatCode="m/d/yyyy">
                  <c:v>45525</c:v>
                </c:pt>
                <c:pt idx="151" formatCode="m/d/yyyy">
                  <c:v>45526</c:v>
                </c:pt>
                <c:pt idx="152" formatCode="m/d/yyyy">
                  <c:v>45527</c:v>
                </c:pt>
                <c:pt idx="153" formatCode="m/d/yyyy">
                  <c:v>45530</c:v>
                </c:pt>
                <c:pt idx="154" formatCode="m/d/yyyy">
                  <c:v>45531</c:v>
                </c:pt>
                <c:pt idx="155" formatCode="m/d/yyyy">
                  <c:v>45532</c:v>
                </c:pt>
                <c:pt idx="156" formatCode="m/d/yyyy">
                  <c:v>45533</c:v>
                </c:pt>
                <c:pt idx="157" formatCode="m/d/yyyy">
                  <c:v>45534</c:v>
                </c:pt>
                <c:pt idx="158" formatCode="yyyy/mm/dd">
                  <c:v>45537</c:v>
                </c:pt>
                <c:pt idx="159" formatCode="yyyy/mm/dd">
                  <c:v>45538</c:v>
                </c:pt>
                <c:pt idx="160" formatCode="yyyy/mm/dd">
                  <c:v>45539</c:v>
                </c:pt>
                <c:pt idx="161" formatCode="yyyy/mm/dd">
                  <c:v>45540</c:v>
                </c:pt>
                <c:pt idx="162" formatCode="yyyy/mm/dd">
                  <c:v>45541</c:v>
                </c:pt>
                <c:pt idx="163" formatCode="yyyy/mm/dd">
                  <c:v>45544</c:v>
                </c:pt>
                <c:pt idx="164" formatCode="yyyy/mm/dd">
                  <c:v>45545</c:v>
                </c:pt>
                <c:pt idx="165" formatCode="yyyy/mm/dd">
                  <c:v>45546</c:v>
                </c:pt>
                <c:pt idx="166" formatCode="yyyy/mm/dd">
                  <c:v>45547</c:v>
                </c:pt>
                <c:pt idx="167" formatCode="yyyy/mm/dd">
                  <c:v>45548</c:v>
                </c:pt>
                <c:pt idx="168" formatCode="yyyy/mm/dd">
                  <c:v>45553</c:v>
                </c:pt>
                <c:pt idx="169" formatCode="yyyy/mm/dd">
                  <c:v>45554</c:v>
                </c:pt>
                <c:pt idx="170" formatCode="yyyy/mm/dd">
                  <c:v>45555</c:v>
                </c:pt>
                <c:pt idx="171" formatCode="yyyy/mm/dd">
                  <c:v>45558</c:v>
                </c:pt>
                <c:pt idx="172" formatCode="yyyy/mm/dd">
                  <c:v>45559</c:v>
                </c:pt>
                <c:pt idx="173" formatCode="yyyy/mm/dd">
                  <c:v>45560</c:v>
                </c:pt>
                <c:pt idx="174" formatCode="yyyy/mm/dd">
                  <c:v>45561</c:v>
                </c:pt>
                <c:pt idx="175" formatCode="yyyy/mm/dd">
                  <c:v>45562</c:v>
                </c:pt>
                <c:pt idx="176" formatCode="yyyy/mm/dd">
                  <c:v>45565</c:v>
                </c:pt>
                <c:pt idx="177" formatCode="yyyy/mm/dd">
                  <c:v>45573</c:v>
                </c:pt>
                <c:pt idx="178" formatCode="yyyy/mm/dd">
                  <c:v>45574</c:v>
                </c:pt>
                <c:pt idx="179" formatCode="yyyy/mm/dd">
                  <c:v>45575</c:v>
                </c:pt>
                <c:pt idx="180" formatCode="yyyy/mm/dd">
                  <c:v>45576</c:v>
                </c:pt>
                <c:pt idx="181" formatCode="yyyy/mm/dd">
                  <c:v>45579</c:v>
                </c:pt>
                <c:pt idx="182" formatCode="yyyy/mm/dd">
                  <c:v>45580</c:v>
                </c:pt>
                <c:pt idx="183" formatCode="yyyy/mm/dd">
                  <c:v>45581</c:v>
                </c:pt>
                <c:pt idx="184" formatCode="yyyy/mm/dd">
                  <c:v>45582</c:v>
                </c:pt>
                <c:pt idx="185" formatCode="yyyy/mm/dd">
                  <c:v>45583</c:v>
                </c:pt>
                <c:pt idx="186" formatCode="yyyy/mm/dd">
                  <c:v>45586</c:v>
                </c:pt>
                <c:pt idx="187" formatCode="yyyy/mm/dd">
                  <c:v>45587</c:v>
                </c:pt>
                <c:pt idx="188" formatCode="yyyy/mm/dd">
                  <c:v>45588</c:v>
                </c:pt>
                <c:pt idx="189" formatCode="yyyy/mm/dd">
                  <c:v>45589</c:v>
                </c:pt>
                <c:pt idx="190" formatCode="yyyy/mm/dd">
                  <c:v>45590</c:v>
                </c:pt>
                <c:pt idx="191" formatCode="yyyy/mm/dd">
                  <c:v>45593</c:v>
                </c:pt>
                <c:pt idx="192" formatCode="yyyy/mm/dd">
                  <c:v>45594</c:v>
                </c:pt>
                <c:pt idx="193" formatCode="yyyy/mm/dd">
                  <c:v>45595</c:v>
                </c:pt>
                <c:pt idx="194" formatCode="yyyy/mm/dd">
                  <c:v>45596</c:v>
                </c:pt>
                <c:pt idx="195" formatCode="yyyy/mm/dd">
                  <c:v>45597</c:v>
                </c:pt>
                <c:pt idx="196" formatCode="yyyy/mm/dd">
                  <c:v>45600</c:v>
                </c:pt>
                <c:pt idx="197" formatCode="yyyy/mm/dd">
                  <c:v>45601</c:v>
                </c:pt>
                <c:pt idx="198" formatCode="yyyy/mm/dd">
                  <c:v>45602</c:v>
                </c:pt>
                <c:pt idx="199" formatCode="yyyy/mm/dd">
                  <c:v>45603</c:v>
                </c:pt>
                <c:pt idx="200" formatCode="yyyy/mm/dd">
                  <c:v>45604</c:v>
                </c:pt>
                <c:pt idx="201" formatCode="yyyy/mm/dd">
                  <c:v>45607</c:v>
                </c:pt>
                <c:pt idx="202" formatCode="yyyy/mm/dd">
                  <c:v>45608</c:v>
                </c:pt>
                <c:pt idx="203" formatCode="yyyy/mm/dd">
                  <c:v>45609</c:v>
                </c:pt>
                <c:pt idx="204" formatCode="yyyy/mm/dd">
                  <c:v>45610</c:v>
                </c:pt>
                <c:pt idx="205" formatCode="yyyy/mm/dd">
                  <c:v>45611</c:v>
                </c:pt>
                <c:pt idx="206" formatCode="yyyy/mm/dd">
                  <c:v>45614</c:v>
                </c:pt>
                <c:pt idx="207" formatCode="yyyy/mm/dd">
                  <c:v>45615</c:v>
                </c:pt>
                <c:pt idx="208" formatCode="yyyy/mm/dd">
                  <c:v>45616</c:v>
                </c:pt>
                <c:pt idx="209" formatCode="yyyy/mm/dd">
                  <c:v>45617</c:v>
                </c:pt>
                <c:pt idx="210" formatCode="yyyy/mm/dd">
                  <c:v>45618</c:v>
                </c:pt>
                <c:pt idx="211" formatCode="yyyy/mm/dd">
                  <c:v>45621</c:v>
                </c:pt>
                <c:pt idx="212" formatCode="yyyy/mm/dd">
                  <c:v>45622</c:v>
                </c:pt>
                <c:pt idx="213" formatCode="yyyy/mm/dd">
                  <c:v>45623</c:v>
                </c:pt>
                <c:pt idx="214" formatCode="yyyy/mm/dd">
                  <c:v>45624</c:v>
                </c:pt>
                <c:pt idx="215" formatCode="yyyy/mm/dd">
                  <c:v>45625</c:v>
                </c:pt>
                <c:pt idx="216" formatCode="yyyy/mm/dd">
                  <c:v>45628</c:v>
                </c:pt>
                <c:pt idx="217" formatCode="yyyy/mm/dd">
                  <c:v>45629</c:v>
                </c:pt>
                <c:pt idx="218" formatCode="yyyy/mm/dd">
                  <c:v>45630</c:v>
                </c:pt>
                <c:pt idx="219" formatCode="yyyy/mm/dd">
                  <c:v>45631</c:v>
                </c:pt>
                <c:pt idx="220" formatCode="yyyy/mm/dd">
                  <c:v>45632</c:v>
                </c:pt>
                <c:pt idx="221" formatCode="m/d/yyyy">
                  <c:v>45635</c:v>
                </c:pt>
                <c:pt idx="222" formatCode="m/d/yyyy">
                  <c:v>45636</c:v>
                </c:pt>
                <c:pt idx="223" formatCode="m/d/yyyy">
                  <c:v>45637</c:v>
                </c:pt>
                <c:pt idx="224" formatCode="m/d/yyyy">
                  <c:v>45638</c:v>
                </c:pt>
                <c:pt idx="225" formatCode="m/d/yyyy">
                  <c:v>45639</c:v>
                </c:pt>
                <c:pt idx="226" formatCode="m/d/yyyy">
                  <c:v>45642</c:v>
                </c:pt>
                <c:pt idx="227" formatCode="m/d/yyyy">
                  <c:v>45643</c:v>
                </c:pt>
                <c:pt idx="228" formatCode="m/d/yyyy">
                  <c:v>45644</c:v>
                </c:pt>
                <c:pt idx="229" formatCode="m/d/yyyy">
                  <c:v>45645</c:v>
                </c:pt>
                <c:pt idx="230" formatCode="m/d/yyyy">
                  <c:v>45646</c:v>
                </c:pt>
                <c:pt idx="231" formatCode="m/d/yyyy">
                  <c:v>45649</c:v>
                </c:pt>
                <c:pt idx="232" formatCode="m/d/yyyy">
                  <c:v>45650</c:v>
                </c:pt>
                <c:pt idx="233" formatCode="m/d/yyyy">
                  <c:v>45651</c:v>
                </c:pt>
                <c:pt idx="234" formatCode="m/d/yyyy">
                  <c:v>45652</c:v>
                </c:pt>
                <c:pt idx="235" formatCode="m/d/yyyy">
                  <c:v>45653</c:v>
                </c:pt>
                <c:pt idx="236" formatCode="m/d/yyyy">
                  <c:v>45656</c:v>
                </c:pt>
                <c:pt idx="237" formatCode="m/d/yyyy">
                  <c:v>45657</c:v>
                </c:pt>
                <c:pt idx="238" formatCode="m/d/yyyy">
                  <c:v>45659</c:v>
                </c:pt>
                <c:pt idx="239" formatCode="m/d/yyyy">
                  <c:v>45660</c:v>
                </c:pt>
                <c:pt idx="240" formatCode="m/d/yyyy">
                  <c:v>45663</c:v>
                </c:pt>
                <c:pt idx="241" formatCode="m/d/yyyy">
                  <c:v>45664</c:v>
                </c:pt>
                <c:pt idx="242" formatCode="m/d/yyyy">
                  <c:v>45665</c:v>
                </c:pt>
                <c:pt idx="243" formatCode="m/d/yyyy">
                  <c:v>45666</c:v>
                </c:pt>
                <c:pt idx="244" formatCode="m/d/yyyy">
                  <c:v>45667</c:v>
                </c:pt>
                <c:pt idx="245" formatCode="m/d/yyyy">
                  <c:v>45670</c:v>
                </c:pt>
                <c:pt idx="246" formatCode="m/d/yyyy">
                  <c:v>45671</c:v>
                </c:pt>
                <c:pt idx="247" formatCode="m/d/yyyy">
                  <c:v>45672</c:v>
                </c:pt>
                <c:pt idx="248" formatCode="m/d/yyyy">
                  <c:v>45673</c:v>
                </c:pt>
                <c:pt idx="249" formatCode="m/d/yyyy">
                  <c:v>45674</c:v>
                </c:pt>
                <c:pt idx="250" formatCode="m/d/yyyy">
                  <c:v>45677</c:v>
                </c:pt>
                <c:pt idx="251" formatCode="m/d/yyyy">
                  <c:v>45678</c:v>
                </c:pt>
                <c:pt idx="252" formatCode="m/d/yyyy">
                  <c:v>45679</c:v>
                </c:pt>
                <c:pt idx="253" formatCode="m/d/yyyy">
                  <c:v>45680</c:v>
                </c:pt>
                <c:pt idx="254" formatCode="m/d/yyyy">
                  <c:v>45681</c:v>
                </c:pt>
                <c:pt idx="255" formatCode="m/d/yyyy">
                  <c:v>45684</c:v>
                </c:pt>
                <c:pt idx="256" formatCode="m/d/yyyy">
                  <c:v>45693</c:v>
                </c:pt>
                <c:pt idx="257" formatCode="m/d/yyyy">
                  <c:v>45694</c:v>
                </c:pt>
                <c:pt idx="258" formatCode="m/d/yyyy">
                  <c:v>45695</c:v>
                </c:pt>
                <c:pt idx="259" formatCode="m/d/yyyy">
                  <c:v>45698</c:v>
                </c:pt>
                <c:pt idx="260" formatCode="m/d/yyyy">
                  <c:v>45699</c:v>
                </c:pt>
                <c:pt idx="261" formatCode="m/d/yyyy">
                  <c:v>45700</c:v>
                </c:pt>
                <c:pt idx="262" formatCode="m/d/yyyy">
                  <c:v>45701</c:v>
                </c:pt>
                <c:pt idx="263" formatCode="m/d/yyyy">
                  <c:v>45702</c:v>
                </c:pt>
                <c:pt idx="264" formatCode="m/d/yyyy">
                  <c:v>45705</c:v>
                </c:pt>
                <c:pt idx="265" formatCode="m/d/yyyy">
                  <c:v>45706</c:v>
                </c:pt>
                <c:pt idx="266" formatCode="m/d/yyyy">
                  <c:v>45707</c:v>
                </c:pt>
                <c:pt idx="267" formatCode="m/d/yyyy">
                  <c:v>45708</c:v>
                </c:pt>
                <c:pt idx="268" formatCode="m/d/yyyy">
                  <c:v>45709</c:v>
                </c:pt>
                <c:pt idx="269" formatCode="m/d/yyyy">
                  <c:v>45712</c:v>
                </c:pt>
                <c:pt idx="270" formatCode="m/d/yyyy">
                  <c:v>45713</c:v>
                </c:pt>
                <c:pt idx="271" formatCode="m/d/yyyy">
                  <c:v>45714</c:v>
                </c:pt>
                <c:pt idx="272" formatCode="m/d/yyyy">
                  <c:v>45715</c:v>
                </c:pt>
                <c:pt idx="273" formatCode="m/d/yyyy">
                  <c:v>45716</c:v>
                </c:pt>
                <c:pt idx="274" formatCode="m/d/yyyy">
                  <c:v>45719</c:v>
                </c:pt>
                <c:pt idx="275" formatCode="m/d/yyyy">
                  <c:v>45720</c:v>
                </c:pt>
                <c:pt idx="276" formatCode="m/d/yyyy">
                  <c:v>45721</c:v>
                </c:pt>
                <c:pt idx="277" formatCode="m/d/yyyy">
                  <c:v>45722</c:v>
                </c:pt>
                <c:pt idx="278" formatCode="m/d/yyyy">
                  <c:v>45723</c:v>
                </c:pt>
                <c:pt idx="279" formatCode="m/d/yyyy">
                  <c:v>45726</c:v>
                </c:pt>
                <c:pt idx="280" formatCode="m/d/yyyy">
                  <c:v>45727</c:v>
                </c:pt>
                <c:pt idx="281" formatCode="m/d/yyyy">
                  <c:v>45728</c:v>
                </c:pt>
                <c:pt idx="282" formatCode="m/d/yyyy">
                  <c:v>45729</c:v>
                </c:pt>
                <c:pt idx="283" formatCode="m/d/yyyy">
                  <c:v>45730</c:v>
                </c:pt>
                <c:pt idx="284" formatCode="m/d/yyyy">
                  <c:v>45733</c:v>
                </c:pt>
                <c:pt idx="285" formatCode="m/d/yyyy">
                  <c:v>45734</c:v>
                </c:pt>
                <c:pt idx="286" formatCode="m/d/yyyy">
                  <c:v>45735</c:v>
                </c:pt>
                <c:pt idx="287" formatCode="m/d/yyyy">
                  <c:v>45736</c:v>
                </c:pt>
                <c:pt idx="288" formatCode="m/d/yyyy">
                  <c:v>45737</c:v>
                </c:pt>
                <c:pt idx="289" formatCode="m/d/yyyy">
                  <c:v>45740</c:v>
                </c:pt>
                <c:pt idx="290" formatCode="m/d/yyyy">
                  <c:v>45741</c:v>
                </c:pt>
                <c:pt idx="291" formatCode="m/d/yyyy">
                  <c:v>45742</c:v>
                </c:pt>
                <c:pt idx="292" formatCode="m/d/yyyy">
                  <c:v>45743</c:v>
                </c:pt>
                <c:pt idx="293" formatCode="m/d/yyyy">
                  <c:v>45744</c:v>
                </c:pt>
                <c:pt idx="294" formatCode="m/d/yyyy">
                  <c:v>45747</c:v>
                </c:pt>
                <c:pt idx="295" formatCode="m/d/yyyy">
                  <c:v>45748</c:v>
                </c:pt>
                <c:pt idx="296" formatCode="m/d/yyyy">
                  <c:v>45749</c:v>
                </c:pt>
                <c:pt idx="297" formatCode="m/d/yyyy">
                  <c:v>45750</c:v>
                </c:pt>
                <c:pt idx="298" formatCode="m/d/yyyy">
                  <c:v>45754</c:v>
                </c:pt>
                <c:pt idx="299" formatCode="m/d/yyyy">
                  <c:v>45755</c:v>
                </c:pt>
                <c:pt idx="300" formatCode="m/d/yyyy">
                  <c:v>45756</c:v>
                </c:pt>
                <c:pt idx="301" formatCode="m/d/yyyy">
                  <c:v>45757</c:v>
                </c:pt>
                <c:pt idx="302" formatCode="m/d/yyyy">
                  <c:v>45758</c:v>
                </c:pt>
                <c:pt idx="303" formatCode="m/d/yyyy">
                  <c:v>45761</c:v>
                </c:pt>
                <c:pt idx="304" formatCode="m/d/yyyy">
                  <c:v>45762</c:v>
                </c:pt>
                <c:pt idx="305" formatCode="m/d/yyyy">
                  <c:v>45763</c:v>
                </c:pt>
                <c:pt idx="306" formatCode="m/d/yyyy">
                  <c:v>45764</c:v>
                </c:pt>
                <c:pt idx="307" formatCode="m/d/yyyy">
                  <c:v>45765</c:v>
                </c:pt>
                <c:pt idx="308" formatCode="m/d/yyyy">
                  <c:v>45768</c:v>
                </c:pt>
                <c:pt idx="309" formatCode="m/d/yyyy">
                  <c:v>45769</c:v>
                </c:pt>
                <c:pt idx="310" formatCode="m/d/yyyy">
                  <c:v>45770</c:v>
                </c:pt>
                <c:pt idx="311" formatCode="m/d/yyyy">
                  <c:v>45771</c:v>
                </c:pt>
                <c:pt idx="312" formatCode="m/d/yyyy">
                  <c:v>45772</c:v>
                </c:pt>
                <c:pt idx="313" formatCode="m/d/yyyy">
                  <c:v>45775</c:v>
                </c:pt>
                <c:pt idx="314" formatCode="m/d/yyyy">
                  <c:v>45776</c:v>
                </c:pt>
                <c:pt idx="315" formatCode="m/d/yyyy">
                  <c:v>45777</c:v>
                </c:pt>
                <c:pt idx="316" formatCode="m/d/yyyy">
                  <c:v>45783</c:v>
                </c:pt>
                <c:pt idx="317" formatCode="m/d/yyyy">
                  <c:v>45784</c:v>
                </c:pt>
                <c:pt idx="318" formatCode="m/d/yyyy">
                  <c:v>45785</c:v>
                </c:pt>
                <c:pt idx="319" formatCode="m/d/yyyy">
                  <c:v>45786</c:v>
                </c:pt>
                <c:pt idx="320" formatCode="m/d/yyyy">
                  <c:v>45789</c:v>
                </c:pt>
                <c:pt idx="321" formatCode="m/d/yyyy">
                  <c:v>45790</c:v>
                </c:pt>
                <c:pt idx="322" formatCode="m/d/yyyy">
                  <c:v>45791</c:v>
                </c:pt>
                <c:pt idx="323" formatCode="m/d/yyyy">
                  <c:v>45792</c:v>
                </c:pt>
                <c:pt idx="324" formatCode="m/d/yyyy">
                  <c:v>45793</c:v>
                </c:pt>
                <c:pt idx="325" formatCode="m/d/yyyy">
                  <c:v>45796</c:v>
                </c:pt>
                <c:pt idx="326" formatCode="m/d/yyyy">
                  <c:v>45797</c:v>
                </c:pt>
                <c:pt idx="327" formatCode="m/d/yyyy">
                  <c:v>45798</c:v>
                </c:pt>
                <c:pt idx="328" formatCode="m/d/yyyy">
                  <c:v>45799</c:v>
                </c:pt>
                <c:pt idx="329" formatCode="m/d/yyyy">
                  <c:v>45800</c:v>
                </c:pt>
                <c:pt idx="330" formatCode="m/d/yyyy">
                  <c:v>45803</c:v>
                </c:pt>
                <c:pt idx="331" formatCode="m/d/yyyy">
                  <c:v>45804</c:v>
                </c:pt>
                <c:pt idx="332" formatCode="m/d/yyyy">
                  <c:v>45805</c:v>
                </c:pt>
                <c:pt idx="333" formatCode="m/d/yyyy">
                  <c:v>45806</c:v>
                </c:pt>
                <c:pt idx="334" formatCode="m/d/yyyy">
                  <c:v>45807</c:v>
                </c:pt>
                <c:pt idx="335" formatCode="m/d/yyyy">
                  <c:v>45811</c:v>
                </c:pt>
                <c:pt idx="336" formatCode="m/d/yyyy">
                  <c:v>45812</c:v>
                </c:pt>
                <c:pt idx="337" formatCode="m/d/yyyy">
                  <c:v>45813</c:v>
                </c:pt>
                <c:pt idx="338" formatCode="m/d/yyyy">
                  <c:v>45814</c:v>
                </c:pt>
                <c:pt idx="339" formatCode="m/d/yyyy">
                  <c:v>45817</c:v>
                </c:pt>
                <c:pt idx="340" formatCode="m/d/yyyy">
                  <c:v>45818</c:v>
                </c:pt>
                <c:pt idx="341" formatCode="m/d/yyyy">
                  <c:v>45819</c:v>
                </c:pt>
                <c:pt idx="342" formatCode="m/d/yyyy">
                  <c:v>45820</c:v>
                </c:pt>
                <c:pt idx="343" formatCode="m/d/yyyy">
                  <c:v>45821</c:v>
                </c:pt>
                <c:pt idx="344" formatCode="m/d/yyyy">
                  <c:v>45824</c:v>
                </c:pt>
                <c:pt idx="345" formatCode="m/d/yyyy">
                  <c:v>45825</c:v>
                </c:pt>
                <c:pt idx="346" formatCode="m/d/yyyy">
                  <c:v>45826</c:v>
                </c:pt>
                <c:pt idx="347" formatCode="m/d/yyyy">
                  <c:v>45827</c:v>
                </c:pt>
                <c:pt idx="348" formatCode="m/d/yyyy">
                  <c:v>45828</c:v>
                </c:pt>
                <c:pt idx="349" formatCode="m/d/yyyy">
                  <c:v>45831</c:v>
                </c:pt>
                <c:pt idx="350" formatCode="m/d/yyyy">
                  <c:v>45832</c:v>
                </c:pt>
                <c:pt idx="351" formatCode="m/d/yyyy">
                  <c:v>45833</c:v>
                </c:pt>
                <c:pt idx="352" formatCode="m/d/yyyy">
                  <c:v>45834</c:v>
                </c:pt>
                <c:pt idx="353" formatCode="m/d/yyyy">
                  <c:v>45835</c:v>
                </c:pt>
              </c:numCache>
            </c:numRef>
          </c:cat>
          <c:val>
            <c:numRef>
              <c:f>连板个股!$II$3:$VX$3</c:f>
              <c:numCache>
                <c:formatCode>General</c:formatCode>
                <c:ptCount val="35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  <c:pt idx="31">
                  <c:v>8</c:v>
                </c:pt>
                <c:pt idx="32">
                  <c:v>8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5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6</c:v>
                </c:pt>
                <c:pt idx="49">
                  <c:v>7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7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5</c:v>
                </c:pt>
                <c:pt idx="72">
                  <c:v>6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5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4</c:v>
                </c:pt>
                <c:pt idx="102">
                  <c:v>5</c:v>
                </c:pt>
                <c:pt idx="103">
                  <c:v>4</c:v>
                </c:pt>
                <c:pt idx="104">
                  <c:v>5</c:v>
                </c:pt>
                <c:pt idx="105">
                  <c:v>6</c:v>
                </c:pt>
                <c:pt idx="106">
                  <c:v>7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4</c:v>
                </c:pt>
                <c:pt idx="116">
                  <c:v>3</c:v>
                </c:pt>
                <c:pt idx="117">
                  <c:v>4</c:v>
                </c:pt>
                <c:pt idx="118">
                  <c:v>3</c:v>
                </c:pt>
                <c:pt idx="119">
                  <c:v>4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5</c:v>
                </c:pt>
                <c:pt idx="124">
                  <c:v>6</c:v>
                </c:pt>
                <c:pt idx="125">
                  <c:v>7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5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10</c:v>
                </c:pt>
                <c:pt idx="138">
                  <c:v>11</c:v>
                </c:pt>
                <c:pt idx="139">
                  <c:v>6</c:v>
                </c:pt>
                <c:pt idx="140">
                  <c:v>5</c:v>
                </c:pt>
                <c:pt idx="141">
                  <c:v>5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4</c:v>
                </c:pt>
                <c:pt idx="146">
                  <c:v>3</c:v>
                </c:pt>
                <c:pt idx="147">
                  <c:v>4</c:v>
                </c:pt>
                <c:pt idx="148">
                  <c:v>3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8</c:v>
                </c:pt>
                <c:pt idx="154">
                  <c:v>9</c:v>
                </c:pt>
                <c:pt idx="155">
                  <c:v>10</c:v>
                </c:pt>
                <c:pt idx="156">
                  <c:v>5</c:v>
                </c:pt>
                <c:pt idx="157">
                  <c:v>5</c:v>
                </c:pt>
                <c:pt idx="158">
                  <c:v>6</c:v>
                </c:pt>
                <c:pt idx="159">
                  <c:v>7</c:v>
                </c:pt>
                <c:pt idx="160">
                  <c:v>8</c:v>
                </c:pt>
                <c:pt idx="161">
                  <c:v>9</c:v>
                </c:pt>
                <c:pt idx="162">
                  <c:v>10</c:v>
                </c:pt>
                <c:pt idx="163">
                  <c:v>5</c:v>
                </c:pt>
                <c:pt idx="164">
                  <c:v>4</c:v>
                </c:pt>
                <c:pt idx="165">
                  <c:v>4</c:v>
                </c:pt>
                <c:pt idx="166">
                  <c:v>5</c:v>
                </c:pt>
                <c:pt idx="167">
                  <c:v>6</c:v>
                </c:pt>
                <c:pt idx="168">
                  <c:v>4</c:v>
                </c:pt>
                <c:pt idx="169">
                  <c:v>5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9</c:v>
                </c:pt>
                <c:pt idx="174">
                  <c:v>10</c:v>
                </c:pt>
                <c:pt idx="175">
                  <c:v>11</c:v>
                </c:pt>
                <c:pt idx="176">
                  <c:v>12</c:v>
                </c:pt>
                <c:pt idx="177">
                  <c:v>13</c:v>
                </c:pt>
                <c:pt idx="178">
                  <c:v>14</c:v>
                </c:pt>
                <c:pt idx="179">
                  <c:v>8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7</c:v>
                </c:pt>
                <c:pt idx="187">
                  <c:v>8</c:v>
                </c:pt>
                <c:pt idx="188">
                  <c:v>9</c:v>
                </c:pt>
                <c:pt idx="189">
                  <c:v>10</c:v>
                </c:pt>
                <c:pt idx="190">
                  <c:v>11</c:v>
                </c:pt>
                <c:pt idx="191">
                  <c:v>12</c:v>
                </c:pt>
                <c:pt idx="192">
                  <c:v>9</c:v>
                </c:pt>
                <c:pt idx="193">
                  <c:v>10</c:v>
                </c:pt>
                <c:pt idx="194">
                  <c:v>11</c:v>
                </c:pt>
                <c:pt idx="195">
                  <c:v>12</c:v>
                </c:pt>
                <c:pt idx="196">
                  <c:v>13</c:v>
                </c:pt>
                <c:pt idx="197">
                  <c:v>14</c:v>
                </c:pt>
                <c:pt idx="198">
                  <c:v>10</c:v>
                </c:pt>
                <c:pt idx="199">
                  <c:v>11</c:v>
                </c:pt>
                <c:pt idx="200">
                  <c:v>7</c:v>
                </c:pt>
                <c:pt idx="201">
                  <c:v>7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10</c:v>
                </c:pt>
                <c:pt idx="207">
                  <c:v>11</c:v>
                </c:pt>
                <c:pt idx="208">
                  <c:v>12</c:v>
                </c:pt>
                <c:pt idx="209">
                  <c:v>13</c:v>
                </c:pt>
                <c:pt idx="210">
                  <c:v>10</c:v>
                </c:pt>
                <c:pt idx="211">
                  <c:v>11</c:v>
                </c:pt>
                <c:pt idx="212">
                  <c:v>7</c:v>
                </c:pt>
                <c:pt idx="213">
                  <c:v>8</c:v>
                </c:pt>
                <c:pt idx="214">
                  <c:v>9</c:v>
                </c:pt>
                <c:pt idx="215">
                  <c:v>10</c:v>
                </c:pt>
                <c:pt idx="216">
                  <c:v>11</c:v>
                </c:pt>
                <c:pt idx="217">
                  <c:v>12</c:v>
                </c:pt>
                <c:pt idx="218">
                  <c:v>9</c:v>
                </c:pt>
                <c:pt idx="219">
                  <c:v>8</c:v>
                </c:pt>
                <c:pt idx="220">
                  <c:v>9</c:v>
                </c:pt>
                <c:pt idx="221">
                  <c:v>10</c:v>
                </c:pt>
                <c:pt idx="222">
                  <c:v>11</c:v>
                </c:pt>
                <c:pt idx="223">
                  <c:v>12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5</c:v>
                </c:pt>
                <c:pt idx="228">
                  <c:v>6</c:v>
                </c:pt>
                <c:pt idx="229">
                  <c:v>7</c:v>
                </c:pt>
                <c:pt idx="230">
                  <c:v>8</c:v>
                </c:pt>
                <c:pt idx="231">
                  <c:v>4</c:v>
                </c:pt>
                <c:pt idx="232">
                  <c:v>5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4</c:v>
                </c:pt>
                <c:pt idx="237">
                  <c:v>4</c:v>
                </c:pt>
                <c:pt idx="238">
                  <c:v>6</c:v>
                </c:pt>
                <c:pt idx="239">
                  <c:v>7</c:v>
                </c:pt>
                <c:pt idx="240">
                  <c:v>4</c:v>
                </c:pt>
                <c:pt idx="241">
                  <c:v>5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8</c:v>
                </c:pt>
                <c:pt idx="246">
                  <c:v>9</c:v>
                </c:pt>
                <c:pt idx="247">
                  <c:v>10</c:v>
                </c:pt>
                <c:pt idx="248">
                  <c:v>6</c:v>
                </c:pt>
                <c:pt idx="249">
                  <c:v>7</c:v>
                </c:pt>
                <c:pt idx="250">
                  <c:v>5</c:v>
                </c:pt>
                <c:pt idx="251">
                  <c:v>6</c:v>
                </c:pt>
                <c:pt idx="252">
                  <c:v>7</c:v>
                </c:pt>
                <c:pt idx="253">
                  <c:v>5</c:v>
                </c:pt>
                <c:pt idx="254">
                  <c:v>6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10</c:v>
                </c:pt>
                <c:pt idx="259">
                  <c:v>8</c:v>
                </c:pt>
                <c:pt idx="260">
                  <c:v>9</c:v>
                </c:pt>
                <c:pt idx="261">
                  <c:v>10</c:v>
                </c:pt>
                <c:pt idx="262">
                  <c:v>7</c:v>
                </c:pt>
                <c:pt idx="263">
                  <c:v>8</c:v>
                </c:pt>
                <c:pt idx="264">
                  <c:v>9</c:v>
                </c:pt>
                <c:pt idx="265">
                  <c:v>6</c:v>
                </c:pt>
                <c:pt idx="266">
                  <c:v>6</c:v>
                </c:pt>
                <c:pt idx="267">
                  <c:v>7</c:v>
                </c:pt>
                <c:pt idx="268">
                  <c:v>8</c:v>
                </c:pt>
                <c:pt idx="269">
                  <c:v>6</c:v>
                </c:pt>
                <c:pt idx="270">
                  <c:v>5</c:v>
                </c:pt>
                <c:pt idx="271">
                  <c:v>4</c:v>
                </c:pt>
                <c:pt idx="272">
                  <c:v>5</c:v>
                </c:pt>
                <c:pt idx="273">
                  <c:v>6</c:v>
                </c:pt>
                <c:pt idx="274">
                  <c:v>4</c:v>
                </c:pt>
                <c:pt idx="275">
                  <c:v>4</c:v>
                </c:pt>
                <c:pt idx="276">
                  <c:v>5</c:v>
                </c:pt>
                <c:pt idx="277">
                  <c:v>4</c:v>
                </c:pt>
                <c:pt idx="278">
                  <c:v>5</c:v>
                </c:pt>
                <c:pt idx="279">
                  <c:v>5</c:v>
                </c:pt>
                <c:pt idx="280">
                  <c:v>6</c:v>
                </c:pt>
                <c:pt idx="281">
                  <c:v>7</c:v>
                </c:pt>
                <c:pt idx="282">
                  <c:v>8</c:v>
                </c:pt>
                <c:pt idx="283">
                  <c:v>9</c:v>
                </c:pt>
                <c:pt idx="284">
                  <c:v>5</c:v>
                </c:pt>
                <c:pt idx="285">
                  <c:v>6</c:v>
                </c:pt>
                <c:pt idx="286">
                  <c:v>6</c:v>
                </c:pt>
                <c:pt idx="287">
                  <c:v>7</c:v>
                </c:pt>
                <c:pt idx="288">
                  <c:v>7</c:v>
                </c:pt>
                <c:pt idx="289">
                  <c:v>5</c:v>
                </c:pt>
                <c:pt idx="290">
                  <c:v>3</c:v>
                </c:pt>
                <c:pt idx="291">
                  <c:v>4</c:v>
                </c:pt>
                <c:pt idx="292">
                  <c:v>5</c:v>
                </c:pt>
                <c:pt idx="293">
                  <c:v>3</c:v>
                </c:pt>
                <c:pt idx="294">
                  <c:v>4</c:v>
                </c:pt>
                <c:pt idx="295">
                  <c:v>4</c:v>
                </c:pt>
                <c:pt idx="296">
                  <c:v>5</c:v>
                </c:pt>
                <c:pt idx="297">
                  <c:v>3</c:v>
                </c:pt>
                <c:pt idx="298">
                  <c:v>4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7</c:v>
                </c:pt>
                <c:pt idx="304">
                  <c:v>4</c:v>
                </c:pt>
                <c:pt idx="305">
                  <c:v>5</c:v>
                </c:pt>
                <c:pt idx="306">
                  <c:v>6</c:v>
                </c:pt>
                <c:pt idx="307">
                  <c:v>5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6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6</c:v>
                </c:pt>
                <c:pt idx="323">
                  <c:v>7</c:v>
                </c:pt>
                <c:pt idx="324">
                  <c:v>8</c:v>
                </c:pt>
                <c:pt idx="325">
                  <c:v>9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5</c:v>
                </c:pt>
                <c:pt idx="330">
                  <c:v>4</c:v>
                </c:pt>
                <c:pt idx="331">
                  <c:v>5</c:v>
                </c:pt>
                <c:pt idx="332">
                  <c:v>5</c:v>
                </c:pt>
                <c:pt idx="333">
                  <c:v>6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4</c:v>
                </c:pt>
                <c:pt idx="338">
                  <c:v>5</c:v>
                </c:pt>
                <c:pt idx="339">
                  <c:v>6</c:v>
                </c:pt>
                <c:pt idx="340">
                  <c:v>7</c:v>
                </c:pt>
                <c:pt idx="341">
                  <c:v>6</c:v>
                </c:pt>
                <c:pt idx="342">
                  <c:v>7</c:v>
                </c:pt>
                <c:pt idx="343">
                  <c:v>5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5</c:v>
                </c:pt>
                <c:pt idx="348">
                  <c:v>6</c:v>
                </c:pt>
                <c:pt idx="349">
                  <c:v>7</c:v>
                </c:pt>
                <c:pt idx="350">
                  <c:v>6</c:v>
                </c:pt>
                <c:pt idx="351">
                  <c:v>7</c:v>
                </c:pt>
                <c:pt idx="352">
                  <c:v>5</c:v>
                </c:pt>
                <c:pt idx="35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2-4315-BEBC-CA974530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4790095"/>
        <c:axId val="1094774735"/>
      </c:barChart>
      <c:lineChart>
        <c:grouping val="standard"/>
        <c:varyColors val="0"/>
        <c:ser>
          <c:idx val="0"/>
          <c:order val="0"/>
          <c:tx>
            <c:strRef>
              <c:f>连板个股!$A$2</c:f>
              <c:strCache>
                <c:ptCount val="1"/>
                <c:pt idx="0">
                  <c:v>四板以上个股数量五日平均值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连板个股!$II$1:$VX$1</c:f>
              <c:numCache>
                <c:formatCode>yyyy\-mm\-dd</c:formatCode>
                <c:ptCount val="354"/>
                <c:pt idx="0">
                  <c:v>45362</c:v>
                </c:pt>
                <c:pt idx="1">
                  <c:v>45363</c:v>
                </c:pt>
                <c:pt idx="2">
                  <c:v>45364</c:v>
                </c:pt>
                <c:pt idx="3" formatCode="yyyy/mm/dd">
                  <c:v>45302</c:v>
                </c:pt>
                <c:pt idx="4" formatCode="yyyy/mm/dd">
                  <c:v>45303</c:v>
                </c:pt>
                <c:pt idx="5" formatCode="yyyy/mm/dd">
                  <c:v>45306</c:v>
                </c:pt>
                <c:pt idx="6" formatCode="yyyy/mm/dd">
                  <c:v>45307</c:v>
                </c:pt>
                <c:pt idx="7" formatCode="yyyy/mm/dd">
                  <c:v>45308</c:v>
                </c:pt>
                <c:pt idx="8" formatCode="yyyy/mm/dd">
                  <c:v>45309</c:v>
                </c:pt>
                <c:pt idx="9" formatCode="yyyy/mm/dd">
                  <c:v>45310</c:v>
                </c:pt>
                <c:pt idx="10" formatCode="yyyy/mm/dd">
                  <c:v>45313</c:v>
                </c:pt>
                <c:pt idx="11" formatCode="yyyy/mm/dd">
                  <c:v>45314</c:v>
                </c:pt>
                <c:pt idx="12" formatCode="yyyy/mm/dd">
                  <c:v>45315</c:v>
                </c:pt>
                <c:pt idx="13" formatCode="yyyy/mm/dd">
                  <c:v>45316</c:v>
                </c:pt>
                <c:pt idx="14" formatCode="yyyy/mm/dd">
                  <c:v>45317</c:v>
                </c:pt>
                <c:pt idx="15" formatCode="yyyy/mm/dd">
                  <c:v>45320</c:v>
                </c:pt>
                <c:pt idx="16" formatCode="yyyy/mm/dd">
                  <c:v>45321</c:v>
                </c:pt>
                <c:pt idx="17" formatCode="yyyy/mm/dd">
                  <c:v>45322</c:v>
                </c:pt>
                <c:pt idx="18" formatCode="yyyy/mm/dd">
                  <c:v>45323</c:v>
                </c:pt>
                <c:pt idx="19" formatCode="yyyy/mm/dd">
                  <c:v>45324</c:v>
                </c:pt>
                <c:pt idx="20" formatCode="yyyy/mm/dd">
                  <c:v>45327</c:v>
                </c:pt>
                <c:pt idx="21" formatCode="yyyy/mm/dd">
                  <c:v>45328</c:v>
                </c:pt>
                <c:pt idx="22" formatCode="yyyy/mm/dd">
                  <c:v>45329</c:v>
                </c:pt>
                <c:pt idx="23" formatCode="yyyy/mm/dd">
                  <c:v>45330</c:v>
                </c:pt>
                <c:pt idx="24" formatCode="yyyy/mm/dd">
                  <c:v>45341</c:v>
                </c:pt>
                <c:pt idx="25" formatCode="yyyy/mm/dd">
                  <c:v>45342</c:v>
                </c:pt>
                <c:pt idx="26" formatCode="yyyy/mm/dd">
                  <c:v>45343</c:v>
                </c:pt>
                <c:pt idx="27" formatCode="yyyy/mm/dd">
                  <c:v>45344</c:v>
                </c:pt>
                <c:pt idx="28" formatCode="yyyy/mm/dd">
                  <c:v>45345</c:v>
                </c:pt>
                <c:pt idx="29" formatCode="yyyy/mm/dd">
                  <c:v>45348</c:v>
                </c:pt>
                <c:pt idx="30" formatCode="yyyy/mm/dd">
                  <c:v>45349</c:v>
                </c:pt>
                <c:pt idx="31" formatCode="yyyy/mm/dd">
                  <c:v>45350</c:v>
                </c:pt>
                <c:pt idx="32" formatCode="yyyy/mm/dd">
                  <c:v>45351</c:v>
                </c:pt>
                <c:pt idx="33" formatCode="yyyy/mm/dd">
                  <c:v>45352</c:v>
                </c:pt>
                <c:pt idx="34" formatCode="yyyy/mm/dd">
                  <c:v>45355</c:v>
                </c:pt>
                <c:pt idx="35" formatCode="yyyy/mm/dd">
                  <c:v>45356</c:v>
                </c:pt>
                <c:pt idx="36" formatCode="yyyy/mm/dd">
                  <c:v>45357</c:v>
                </c:pt>
                <c:pt idx="37" formatCode="yyyy/mm/dd">
                  <c:v>45358</c:v>
                </c:pt>
                <c:pt idx="38" formatCode="yyyy/mm/dd">
                  <c:v>45359</c:v>
                </c:pt>
                <c:pt idx="39" formatCode="yyyy/mm/dd">
                  <c:v>45362</c:v>
                </c:pt>
                <c:pt idx="40" formatCode="yyyy/mm/dd">
                  <c:v>45363</c:v>
                </c:pt>
                <c:pt idx="41" formatCode="yyyy/mm/dd">
                  <c:v>45364</c:v>
                </c:pt>
                <c:pt idx="42" formatCode="yyyy/mm/dd">
                  <c:v>45365</c:v>
                </c:pt>
                <c:pt idx="43" formatCode="yyyy/mm/dd">
                  <c:v>45366</c:v>
                </c:pt>
                <c:pt idx="44" formatCode="yyyy/mm/dd">
                  <c:v>45369</c:v>
                </c:pt>
                <c:pt idx="45" formatCode="yyyy/mm/dd">
                  <c:v>45370</c:v>
                </c:pt>
                <c:pt idx="46" formatCode="yyyy/mm/dd">
                  <c:v>45371</c:v>
                </c:pt>
                <c:pt idx="47" formatCode="yyyy/mm/dd">
                  <c:v>45372</c:v>
                </c:pt>
                <c:pt idx="48" formatCode="yyyy/mm/dd">
                  <c:v>45373</c:v>
                </c:pt>
                <c:pt idx="49" formatCode="yyyy/mm/dd">
                  <c:v>45376</c:v>
                </c:pt>
                <c:pt idx="50" formatCode="yyyy/mm/dd">
                  <c:v>45377</c:v>
                </c:pt>
                <c:pt idx="51" formatCode="yyyy/mm/dd">
                  <c:v>45378</c:v>
                </c:pt>
                <c:pt idx="52" formatCode="yyyy/mm/dd">
                  <c:v>45379</c:v>
                </c:pt>
                <c:pt idx="53" formatCode="yyyy/mm/dd">
                  <c:v>45380</c:v>
                </c:pt>
                <c:pt idx="54" formatCode="yyyy/mm/dd">
                  <c:v>45383</c:v>
                </c:pt>
                <c:pt idx="55" formatCode="yyyy/mm/dd">
                  <c:v>45384</c:v>
                </c:pt>
                <c:pt idx="56" formatCode="yyyy/mm/dd">
                  <c:v>45385</c:v>
                </c:pt>
                <c:pt idx="57" formatCode="yyyy/mm/dd">
                  <c:v>45390</c:v>
                </c:pt>
                <c:pt idx="58" formatCode="yyyy/mm/dd">
                  <c:v>45391</c:v>
                </c:pt>
                <c:pt idx="59" formatCode="yyyy/mm/dd">
                  <c:v>45392</c:v>
                </c:pt>
                <c:pt idx="60" formatCode="yyyy/mm/dd">
                  <c:v>45393</c:v>
                </c:pt>
                <c:pt idx="61" formatCode="yyyy/mm/dd">
                  <c:v>45394</c:v>
                </c:pt>
                <c:pt idx="62" formatCode="yyyy/mm/dd">
                  <c:v>45397</c:v>
                </c:pt>
                <c:pt idx="63" formatCode="yyyy/mm/dd">
                  <c:v>45398</c:v>
                </c:pt>
                <c:pt idx="64" formatCode="yyyy/mm/dd">
                  <c:v>45399</c:v>
                </c:pt>
                <c:pt idx="65" formatCode="yyyy/mm/dd">
                  <c:v>45400</c:v>
                </c:pt>
                <c:pt idx="66" formatCode="yyyy/mm/dd">
                  <c:v>45401</c:v>
                </c:pt>
                <c:pt idx="67" formatCode="yyyy/mm/dd">
                  <c:v>45404</c:v>
                </c:pt>
                <c:pt idx="68" formatCode="yyyy/mm/dd">
                  <c:v>45405</c:v>
                </c:pt>
                <c:pt idx="69" formatCode="yyyy/mm/dd">
                  <c:v>45406</c:v>
                </c:pt>
                <c:pt idx="70" formatCode="yyyy/mm/dd">
                  <c:v>45407</c:v>
                </c:pt>
                <c:pt idx="71" formatCode="yyyy/mm/dd">
                  <c:v>45408</c:v>
                </c:pt>
                <c:pt idx="72" formatCode="yyyy/mm/dd">
                  <c:v>45411</c:v>
                </c:pt>
                <c:pt idx="73" formatCode="yyyy/mm/dd">
                  <c:v>45412</c:v>
                </c:pt>
                <c:pt idx="74" formatCode="yyyy/mm/dd">
                  <c:v>45418</c:v>
                </c:pt>
                <c:pt idx="75" formatCode="yyyy/mm/dd">
                  <c:v>45419</c:v>
                </c:pt>
                <c:pt idx="76" formatCode="yyyy/mm/dd">
                  <c:v>45420</c:v>
                </c:pt>
                <c:pt idx="77" formatCode="yyyy/mm/dd">
                  <c:v>45421</c:v>
                </c:pt>
                <c:pt idx="78" formatCode="yyyy/mm/dd">
                  <c:v>45422</c:v>
                </c:pt>
                <c:pt idx="79" formatCode="m/d/yyyy">
                  <c:v>45425</c:v>
                </c:pt>
                <c:pt idx="80" formatCode="m/d/yyyy">
                  <c:v>45426</c:v>
                </c:pt>
                <c:pt idx="81" formatCode="m/d/yyyy">
                  <c:v>45427</c:v>
                </c:pt>
                <c:pt idx="82" formatCode="m/d/yyyy">
                  <c:v>45428</c:v>
                </c:pt>
                <c:pt idx="83" formatCode="m/d/yyyy">
                  <c:v>45429</c:v>
                </c:pt>
                <c:pt idx="84" formatCode="m/d/yyyy">
                  <c:v>45432</c:v>
                </c:pt>
                <c:pt idx="85" formatCode="m/d/yyyy">
                  <c:v>45433</c:v>
                </c:pt>
                <c:pt idx="86" formatCode="m/d/yyyy">
                  <c:v>45434</c:v>
                </c:pt>
                <c:pt idx="87" formatCode="m/d/yyyy">
                  <c:v>45435</c:v>
                </c:pt>
                <c:pt idx="88" formatCode="m/d/yyyy">
                  <c:v>45436</c:v>
                </c:pt>
                <c:pt idx="89" formatCode="m/d/yyyy">
                  <c:v>45439</c:v>
                </c:pt>
                <c:pt idx="90" formatCode="m/d/yyyy">
                  <c:v>45440</c:v>
                </c:pt>
                <c:pt idx="91" formatCode="m/d/yyyy">
                  <c:v>45441</c:v>
                </c:pt>
                <c:pt idx="92" formatCode="m/d/yyyy">
                  <c:v>45442</c:v>
                </c:pt>
                <c:pt idx="93" formatCode="m/d/yyyy">
                  <c:v>45443</c:v>
                </c:pt>
                <c:pt idx="94" formatCode="m/d/yyyy">
                  <c:v>45446</c:v>
                </c:pt>
                <c:pt idx="95" formatCode="m/d/yyyy">
                  <c:v>45447</c:v>
                </c:pt>
                <c:pt idx="96" formatCode="m/d/yyyy">
                  <c:v>45448</c:v>
                </c:pt>
                <c:pt idx="97" formatCode="m/d/yyyy">
                  <c:v>45449</c:v>
                </c:pt>
                <c:pt idx="98" formatCode="m/d/yyyy">
                  <c:v>45450</c:v>
                </c:pt>
                <c:pt idx="99" formatCode="m/d/yyyy">
                  <c:v>45454</c:v>
                </c:pt>
                <c:pt idx="100" formatCode="m/d/yyyy">
                  <c:v>45455</c:v>
                </c:pt>
                <c:pt idx="101" formatCode="m/d/yyyy">
                  <c:v>45456</c:v>
                </c:pt>
                <c:pt idx="102" formatCode="m/d/yyyy">
                  <c:v>45457</c:v>
                </c:pt>
                <c:pt idx="103" formatCode="m/d/yyyy">
                  <c:v>45460</c:v>
                </c:pt>
                <c:pt idx="104" formatCode="m/d/yyyy">
                  <c:v>45461</c:v>
                </c:pt>
                <c:pt idx="105" formatCode="m/d/yyyy">
                  <c:v>45462</c:v>
                </c:pt>
                <c:pt idx="106" formatCode="m/d/yyyy">
                  <c:v>45463</c:v>
                </c:pt>
                <c:pt idx="107" formatCode="m/d/yyyy">
                  <c:v>45464</c:v>
                </c:pt>
                <c:pt idx="108" formatCode="m/d/yyyy">
                  <c:v>45467</c:v>
                </c:pt>
                <c:pt idx="109" formatCode="m/d/yyyy">
                  <c:v>45468</c:v>
                </c:pt>
                <c:pt idx="110" formatCode="m/d/yyyy">
                  <c:v>45469</c:v>
                </c:pt>
                <c:pt idx="111" formatCode="m/d/yyyy">
                  <c:v>45470</c:v>
                </c:pt>
                <c:pt idx="112" formatCode="m/d/yyyy">
                  <c:v>45471</c:v>
                </c:pt>
                <c:pt idx="113" formatCode="m/d/yyyy">
                  <c:v>45474</c:v>
                </c:pt>
                <c:pt idx="114" formatCode="m/d/yyyy">
                  <c:v>45475</c:v>
                </c:pt>
                <c:pt idx="115" formatCode="m/d/yyyy">
                  <c:v>45476</c:v>
                </c:pt>
                <c:pt idx="116" formatCode="m/d/yyyy">
                  <c:v>45477</c:v>
                </c:pt>
                <c:pt idx="117" formatCode="m/d/yyyy">
                  <c:v>45478</c:v>
                </c:pt>
                <c:pt idx="118" formatCode="m/d/yyyy">
                  <c:v>45481</c:v>
                </c:pt>
                <c:pt idx="119" formatCode="m/d/yyyy">
                  <c:v>45482</c:v>
                </c:pt>
                <c:pt idx="120" formatCode="m/d/yyyy">
                  <c:v>45483</c:v>
                </c:pt>
                <c:pt idx="121" formatCode="m/d/yyyy">
                  <c:v>45484</c:v>
                </c:pt>
                <c:pt idx="122" formatCode="m/d/yyyy">
                  <c:v>45485</c:v>
                </c:pt>
                <c:pt idx="123" formatCode="m/d/yyyy">
                  <c:v>45488</c:v>
                </c:pt>
                <c:pt idx="124" formatCode="m/d/yyyy">
                  <c:v>45489</c:v>
                </c:pt>
                <c:pt idx="125" formatCode="m/d/yyyy">
                  <c:v>45490</c:v>
                </c:pt>
                <c:pt idx="126" formatCode="m/d/yyyy">
                  <c:v>45491</c:v>
                </c:pt>
                <c:pt idx="127" formatCode="m/d/yyyy">
                  <c:v>45492</c:v>
                </c:pt>
                <c:pt idx="128" formatCode="m/d/yyyy">
                  <c:v>45495</c:v>
                </c:pt>
                <c:pt idx="129" formatCode="m/d/yyyy">
                  <c:v>45496</c:v>
                </c:pt>
                <c:pt idx="130" formatCode="m/d/yyyy">
                  <c:v>45497</c:v>
                </c:pt>
                <c:pt idx="131" formatCode="m/d/yyyy">
                  <c:v>45498</c:v>
                </c:pt>
                <c:pt idx="132" formatCode="m/d/yyyy">
                  <c:v>45499</c:v>
                </c:pt>
                <c:pt idx="133" formatCode="m/d/yyyy">
                  <c:v>45502</c:v>
                </c:pt>
                <c:pt idx="134" formatCode="m/d/yyyy">
                  <c:v>45503</c:v>
                </c:pt>
                <c:pt idx="135" formatCode="m/d/yyyy">
                  <c:v>45504</c:v>
                </c:pt>
                <c:pt idx="136" formatCode="m/d/yyyy">
                  <c:v>45505</c:v>
                </c:pt>
                <c:pt idx="137" formatCode="m/d/yyyy">
                  <c:v>45506</c:v>
                </c:pt>
                <c:pt idx="138" formatCode="m/d/yyyy">
                  <c:v>45509</c:v>
                </c:pt>
                <c:pt idx="139" formatCode="m/d/yyyy">
                  <c:v>45510</c:v>
                </c:pt>
                <c:pt idx="140" formatCode="m/d/yyyy">
                  <c:v>45511</c:v>
                </c:pt>
                <c:pt idx="141" formatCode="m/d/yyyy">
                  <c:v>45512</c:v>
                </c:pt>
                <c:pt idx="142" formatCode="m/d/yyyy">
                  <c:v>45513</c:v>
                </c:pt>
                <c:pt idx="143" formatCode="m/d/yyyy">
                  <c:v>45516</c:v>
                </c:pt>
                <c:pt idx="144" formatCode="m/d/yyyy">
                  <c:v>45517</c:v>
                </c:pt>
                <c:pt idx="145" formatCode="m/d/yyyy">
                  <c:v>45518</c:v>
                </c:pt>
                <c:pt idx="146" formatCode="m/d/yyyy">
                  <c:v>45519</c:v>
                </c:pt>
                <c:pt idx="147" formatCode="m/d/yyyy">
                  <c:v>45520</c:v>
                </c:pt>
                <c:pt idx="148" formatCode="m/d/yyyy">
                  <c:v>45523</c:v>
                </c:pt>
                <c:pt idx="149" formatCode="m/d/yyyy">
                  <c:v>45524</c:v>
                </c:pt>
                <c:pt idx="150" formatCode="m/d/yyyy">
                  <c:v>45525</c:v>
                </c:pt>
                <c:pt idx="151" formatCode="m/d/yyyy">
                  <c:v>45526</c:v>
                </c:pt>
                <c:pt idx="152" formatCode="m/d/yyyy">
                  <c:v>45527</c:v>
                </c:pt>
                <c:pt idx="153" formatCode="m/d/yyyy">
                  <c:v>45530</c:v>
                </c:pt>
                <c:pt idx="154" formatCode="m/d/yyyy">
                  <c:v>45531</c:v>
                </c:pt>
                <c:pt idx="155" formatCode="m/d/yyyy">
                  <c:v>45532</c:v>
                </c:pt>
                <c:pt idx="156" formatCode="m/d/yyyy">
                  <c:v>45533</c:v>
                </c:pt>
                <c:pt idx="157" formatCode="m/d/yyyy">
                  <c:v>45534</c:v>
                </c:pt>
                <c:pt idx="158" formatCode="yyyy/mm/dd">
                  <c:v>45537</c:v>
                </c:pt>
                <c:pt idx="159" formatCode="yyyy/mm/dd">
                  <c:v>45538</c:v>
                </c:pt>
                <c:pt idx="160" formatCode="yyyy/mm/dd">
                  <c:v>45539</c:v>
                </c:pt>
                <c:pt idx="161" formatCode="yyyy/mm/dd">
                  <c:v>45540</c:v>
                </c:pt>
                <c:pt idx="162" formatCode="yyyy/mm/dd">
                  <c:v>45541</c:v>
                </c:pt>
                <c:pt idx="163" formatCode="yyyy/mm/dd">
                  <c:v>45544</c:v>
                </c:pt>
                <c:pt idx="164" formatCode="yyyy/mm/dd">
                  <c:v>45545</c:v>
                </c:pt>
                <c:pt idx="165" formatCode="yyyy/mm/dd">
                  <c:v>45546</c:v>
                </c:pt>
                <c:pt idx="166" formatCode="yyyy/mm/dd">
                  <c:v>45547</c:v>
                </c:pt>
                <c:pt idx="167" formatCode="yyyy/mm/dd">
                  <c:v>45548</c:v>
                </c:pt>
                <c:pt idx="168" formatCode="yyyy/mm/dd">
                  <c:v>45553</c:v>
                </c:pt>
                <c:pt idx="169" formatCode="yyyy/mm/dd">
                  <c:v>45554</c:v>
                </c:pt>
                <c:pt idx="170" formatCode="yyyy/mm/dd">
                  <c:v>45555</c:v>
                </c:pt>
                <c:pt idx="171" formatCode="yyyy/mm/dd">
                  <c:v>45558</c:v>
                </c:pt>
                <c:pt idx="172" formatCode="yyyy/mm/dd">
                  <c:v>45559</c:v>
                </c:pt>
                <c:pt idx="173" formatCode="yyyy/mm/dd">
                  <c:v>45560</c:v>
                </c:pt>
                <c:pt idx="174" formatCode="yyyy/mm/dd">
                  <c:v>45561</c:v>
                </c:pt>
                <c:pt idx="175" formatCode="yyyy/mm/dd">
                  <c:v>45562</c:v>
                </c:pt>
                <c:pt idx="176" formatCode="yyyy/mm/dd">
                  <c:v>45565</c:v>
                </c:pt>
                <c:pt idx="177" formatCode="yyyy/mm/dd">
                  <c:v>45573</c:v>
                </c:pt>
                <c:pt idx="178" formatCode="yyyy/mm/dd">
                  <c:v>45574</c:v>
                </c:pt>
                <c:pt idx="179" formatCode="yyyy/mm/dd">
                  <c:v>45575</c:v>
                </c:pt>
                <c:pt idx="180" formatCode="yyyy/mm/dd">
                  <c:v>45576</c:v>
                </c:pt>
                <c:pt idx="181" formatCode="yyyy/mm/dd">
                  <c:v>45579</c:v>
                </c:pt>
                <c:pt idx="182" formatCode="yyyy/mm/dd">
                  <c:v>45580</c:v>
                </c:pt>
                <c:pt idx="183" formatCode="yyyy/mm/dd">
                  <c:v>45581</c:v>
                </c:pt>
                <c:pt idx="184" formatCode="yyyy/mm/dd">
                  <c:v>45582</c:v>
                </c:pt>
                <c:pt idx="185" formatCode="yyyy/mm/dd">
                  <c:v>45583</c:v>
                </c:pt>
                <c:pt idx="186" formatCode="yyyy/mm/dd">
                  <c:v>45586</c:v>
                </c:pt>
                <c:pt idx="187" formatCode="yyyy/mm/dd">
                  <c:v>45587</c:v>
                </c:pt>
                <c:pt idx="188" formatCode="yyyy/mm/dd">
                  <c:v>45588</c:v>
                </c:pt>
                <c:pt idx="189" formatCode="yyyy/mm/dd">
                  <c:v>45589</c:v>
                </c:pt>
                <c:pt idx="190" formatCode="yyyy/mm/dd">
                  <c:v>45590</c:v>
                </c:pt>
                <c:pt idx="191" formatCode="yyyy/mm/dd">
                  <c:v>45593</c:v>
                </c:pt>
                <c:pt idx="192" formatCode="yyyy/mm/dd">
                  <c:v>45594</c:v>
                </c:pt>
                <c:pt idx="193" formatCode="yyyy/mm/dd">
                  <c:v>45595</c:v>
                </c:pt>
                <c:pt idx="194" formatCode="yyyy/mm/dd">
                  <c:v>45596</c:v>
                </c:pt>
                <c:pt idx="195" formatCode="yyyy/mm/dd">
                  <c:v>45597</c:v>
                </c:pt>
                <c:pt idx="196" formatCode="yyyy/mm/dd">
                  <c:v>45600</c:v>
                </c:pt>
                <c:pt idx="197" formatCode="yyyy/mm/dd">
                  <c:v>45601</c:v>
                </c:pt>
                <c:pt idx="198" formatCode="yyyy/mm/dd">
                  <c:v>45602</c:v>
                </c:pt>
                <c:pt idx="199" formatCode="yyyy/mm/dd">
                  <c:v>45603</c:v>
                </c:pt>
                <c:pt idx="200" formatCode="yyyy/mm/dd">
                  <c:v>45604</c:v>
                </c:pt>
                <c:pt idx="201" formatCode="yyyy/mm/dd">
                  <c:v>45607</c:v>
                </c:pt>
                <c:pt idx="202" formatCode="yyyy/mm/dd">
                  <c:v>45608</c:v>
                </c:pt>
                <c:pt idx="203" formatCode="yyyy/mm/dd">
                  <c:v>45609</c:v>
                </c:pt>
                <c:pt idx="204" formatCode="yyyy/mm/dd">
                  <c:v>45610</c:v>
                </c:pt>
                <c:pt idx="205" formatCode="yyyy/mm/dd">
                  <c:v>45611</c:v>
                </c:pt>
                <c:pt idx="206" formatCode="yyyy/mm/dd">
                  <c:v>45614</c:v>
                </c:pt>
                <c:pt idx="207" formatCode="yyyy/mm/dd">
                  <c:v>45615</c:v>
                </c:pt>
                <c:pt idx="208" formatCode="yyyy/mm/dd">
                  <c:v>45616</c:v>
                </c:pt>
                <c:pt idx="209" formatCode="yyyy/mm/dd">
                  <c:v>45617</c:v>
                </c:pt>
                <c:pt idx="210" formatCode="yyyy/mm/dd">
                  <c:v>45618</c:v>
                </c:pt>
                <c:pt idx="211" formatCode="yyyy/mm/dd">
                  <c:v>45621</c:v>
                </c:pt>
                <c:pt idx="212" formatCode="yyyy/mm/dd">
                  <c:v>45622</c:v>
                </c:pt>
                <c:pt idx="213" formatCode="yyyy/mm/dd">
                  <c:v>45623</c:v>
                </c:pt>
                <c:pt idx="214" formatCode="yyyy/mm/dd">
                  <c:v>45624</c:v>
                </c:pt>
                <c:pt idx="215" formatCode="yyyy/mm/dd">
                  <c:v>45625</c:v>
                </c:pt>
                <c:pt idx="216" formatCode="yyyy/mm/dd">
                  <c:v>45628</c:v>
                </c:pt>
                <c:pt idx="217" formatCode="yyyy/mm/dd">
                  <c:v>45629</c:v>
                </c:pt>
                <c:pt idx="218" formatCode="yyyy/mm/dd">
                  <c:v>45630</c:v>
                </c:pt>
                <c:pt idx="219" formatCode="yyyy/mm/dd">
                  <c:v>45631</c:v>
                </c:pt>
                <c:pt idx="220" formatCode="yyyy/mm/dd">
                  <c:v>45632</c:v>
                </c:pt>
                <c:pt idx="221" formatCode="m/d/yyyy">
                  <c:v>45635</c:v>
                </c:pt>
                <c:pt idx="222" formatCode="m/d/yyyy">
                  <c:v>45636</c:v>
                </c:pt>
                <c:pt idx="223" formatCode="m/d/yyyy">
                  <c:v>45637</c:v>
                </c:pt>
                <c:pt idx="224" formatCode="m/d/yyyy">
                  <c:v>45638</c:v>
                </c:pt>
                <c:pt idx="225" formatCode="m/d/yyyy">
                  <c:v>45639</c:v>
                </c:pt>
                <c:pt idx="226" formatCode="m/d/yyyy">
                  <c:v>45642</c:v>
                </c:pt>
                <c:pt idx="227" formatCode="m/d/yyyy">
                  <c:v>45643</c:v>
                </c:pt>
                <c:pt idx="228" formatCode="m/d/yyyy">
                  <c:v>45644</c:v>
                </c:pt>
                <c:pt idx="229" formatCode="m/d/yyyy">
                  <c:v>45645</c:v>
                </c:pt>
                <c:pt idx="230" formatCode="m/d/yyyy">
                  <c:v>45646</c:v>
                </c:pt>
                <c:pt idx="231" formatCode="m/d/yyyy">
                  <c:v>45649</c:v>
                </c:pt>
                <c:pt idx="232" formatCode="m/d/yyyy">
                  <c:v>45650</c:v>
                </c:pt>
                <c:pt idx="233" formatCode="m/d/yyyy">
                  <c:v>45651</c:v>
                </c:pt>
                <c:pt idx="234" formatCode="m/d/yyyy">
                  <c:v>45652</c:v>
                </c:pt>
                <c:pt idx="235" formatCode="m/d/yyyy">
                  <c:v>45653</c:v>
                </c:pt>
                <c:pt idx="236" formatCode="m/d/yyyy">
                  <c:v>45656</c:v>
                </c:pt>
                <c:pt idx="237" formatCode="m/d/yyyy">
                  <c:v>45657</c:v>
                </c:pt>
                <c:pt idx="238" formatCode="m/d/yyyy">
                  <c:v>45659</c:v>
                </c:pt>
                <c:pt idx="239" formatCode="m/d/yyyy">
                  <c:v>45660</c:v>
                </c:pt>
                <c:pt idx="240" formatCode="m/d/yyyy">
                  <c:v>45663</c:v>
                </c:pt>
                <c:pt idx="241" formatCode="m/d/yyyy">
                  <c:v>45664</c:v>
                </c:pt>
                <c:pt idx="242" formatCode="m/d/yyyy">
                  <c:v>45665</c:v>
                </c:pt>
                <c:pt idx="243" formatCode="m/d/yyyy">
                  <c:v>45666</c:v>
                </c:pt>
                <c:pt idx="244" formatCode="m/d/yyyy">
                  <c:v>45667</c:v>
                </c:pt>
                <c:pt idx="245" formatCode="m/d/yyyy">
                  <c:v>45670</c:v>
                </c:pt>
                <c:pt idx="246" formatCode="m/d/yyyy">
                  <c:v>45671</c:v>
                </c:pt>
                <c:pt idx="247" formatCode="m/d/yyyy">
                  <c:v>45672</c:v>
                </c:pt>
                <c:pt idx="248" formatCode="m/d/yyyy">
                  <c:v>45673</c:v>
                </c:pt>
                <c:pt idx="249" formatCode="m/d/yyyy">
                  <c:v>45674</c:v>
                </c:pt>
                <c:pt idx="250" formatCode="m/d/yyyy">
                  <c:v>45677</c:v>
                </c:pt>
                <c:pt idx="251" formatCode="m/d/yyyy">
                  <c:v>45678</c:v>
                </c:pt>
                <c:pt idx="252" formatCode="m/d/yyyy">
                  <c:v>45679</c:v>
                </c:pt>
                <c:pt idx="253" formatCode="m/d/yyyy">
                  <c:v>45680</c:v>
                </c:pt>
                <c:pt idx="254" formatCode="m/d/yyyy">
                  <c:v>45681</c:v>
                </c:pt>
                <c:pt idx="255" formatCode="m/d/yyyy">
                  <c:v>45684</c:v>
                </c:pt>
                <c:pt idx="256" formatCode="m/d/yyyy">
                  <c:v>45693</c:v>
                </c:pt>
                <c:pt idx="257" formatCode="m/d/yyyy">
                  <c:v>45694</c:v>
                </c:pt>
                <c:pt idx="258" formatCode="m/d/yyyy">
                  <c:v>45695</c:v>
                </c:pt>
                <c:pt idx="259" formatCode="m/d/yyyy">
                  <c:v>45698</c:v>
                </c:pt>
                <c:pt idx="260" formatCode="m/d/yyyy">
                  <c:v>45699</c:v>
                </c:pt>
                <c:pt idx="261" formatCode="m/d/yyyy">
                  <c:v>45700</c:v>
                </c:pt>
                <c:pt idx="262" formatCode="m/d/yyyy">
                  <c:v>45701</c:v>
                </c:pt>
                <c:pt idx="263" formatCode="m/d/yyyy">
                  <c:v>45702</c:v>
                </c:pt>
                <c:pt idx="264" formatCode="m/d/yyyy">
                  <c:v>45705</c:v>
                </c:pt>
                <c:pt idx="265" formatCode="m/d/yyyy">
                  <c:v>45706</c:v>
                </c:pt>
                <c:pt idx="266" formatCode="m/d/yyyy">
                  <c:v>45707</c:v>
                </c:pt>
                <c:pt idx="267" formatCode="m/d/yyyy">
                  <c:v>45708</c:v>
                </c:pt>
                <c:pt idx="268" formatCode="m/d/yyyy">
                  <c:v>45709</c:v>
                </c:pt>
                <c:pt idx="269" formatCode="m/d/yyyy">
                  <c:v>45712</c:v>
                </c:pt>
                <c:pt idx="270" formatCode="m/d/yyyy">
                  <c:v>45713</c:v>
                </c:pt>
                <c:pt idx="271" formatCode="m/d/yyyy">
                  <c:v>45714</c:v>
                </c:pt>
                <c:pt idx="272" formatCode="m/d/yyyy">
                  <c:v>45715</c:v>
                </c:pt>
                <c:pt idx="273" formatCode="m/d/yyyy">
                  <c:v>45716</c:v>
                </c:pt>
                <c:pt idx="274" formatCode="m/d/yyyy">
                  <c:v>45719</c:v>
                </c:pt>
                <c:pt idx="275" formatCode="m/d/yyyy">
                  <c:v>45720</c:v>
                </c:pt>
                <c:pt idx="276" formatCode="m/d/yyyy">
                  <c:v>45721</c:v>
                </c:pt>
                <c:pt idx="277" formatCode="m/d/yyyy">
                  <c:v>45722</c:v>
                </c:pt>
                <c:pt idx="278" formatCode="m/d/yyyy">
                  <c:v>45723</c:v>
                </c:pt>
                <c:pt idx="279" formatCode="m/d/yyyy">
                  <c:v>45726</c:v>
                </c:pt>
                <c:pt idx="280" formatCode="m/d/yyyy">
                  <c:v>45727</c:v>
                </c:pt>
                <c:pt idx="281" formatCode="m/d/yyyy">
                  <c:v>45728</c:v>
                </c:pt>
                <c:pt idx="282" formatCode="m/d/yyyy">
                  <c:v>45729</c:v>
                </c:pt>
                <c:pt idx="283" formatCode="m/d/yyyy">
                  <c:v>45730</c:v>
                </c:pt>
                <c:pt idx="284" formatCode="m/d/yyyy">
                  <c:v>45733</c:v>
                </c:pt>
                <c:pt idx="285" formatCode="m/d/yyyy">
                  <c:v>45734</c:v>
                </c:pt>
                <c:pt idx="286" formatCode="m/d/yyyy">
                  <c:v>45735</c:v>
                </c:pt>
                <c:pt idx="287" formatCode="m/d/yyyy">
                  <c:v>45736</c:v>
                </c:pt>
                <c:pt idx="288" formatCode="m/d/yyyy">
                  <c:v>45737</c:v>
                </c:pt>
                <c:pt idx="289" formatCode="m/d/yyyy">
                  <c:v>45740</c:v>
                </c:pt>
                <c:pt idx="290" formatCode="m/d/yyyy">
                  <c:v>45741</c:v>
                </c:pt>
                <c:pt idx="291" formatCode="m/d/yyyy">
                  <c:v>45742</c:v>
                </c:pt>
                <c:pt idx="292" formatCode="m/d/yyyy">
                  <c:v>45743</c:v>
                </c:pt>
                <c:pt idx="293" formatCode="m/d/yyyy">
                  <c:v>45744</c:v>
                </c:pt>
                <c:pt idx="294" formatCode="m/d/yyyy">
                  <c:v>45747</c:v>
                </c:pt>
                <c:pt idx="295" formatCode="m/d/yyyy">
                  <c:v>45748</c:v>
                </c:pt>
                <c:pt idx="296" formatCode="m/d/yyyy">
                  <c:v>45749</c:v>
                </c:pt>
                <c:pt idx="297" formatCode="m/d/yyyy">
                  <c:v>45750</c:v>
                </c:pt>
                <c:pt idx="298" formatCode="m/d/yyyy">
                  <c:v>45754</c:v>
                </c:pt>
                <c:pt idx="299" formatCode="m/d/yyyy">
                  <c:v>45755</c:v>
                </c:pt>
                <c:pt idx="300" formatCode="m/d/yyyy">
                  <c:v>45756</c:v>
                </c:pt>
                <c:pt idx="301" formatCode="m/d/yyyy">
                  <c:v>45757</c:v>
                </c:pt>
                <c:pt idx="302" formatCode="m/d/yyyy">
                  <c:v>45758</c:v>
                </c:pt>
                <c:pt idx="303" formatCode="m/d/yyyy">
                  <c:v>45761</c:v>
                </c:pt>
                <c:pt idx="304" formatCode="m/d/yyyy">
                  <c:v>45762</c:v>
                </c:pt>
                <c:pt idx="305" formatCode="m/d/yyyy">
                  <c:v>45763</c:v>
                </c:pt>
                <c:pt idx="306" formatCode="m/d/yyyy">
                  <c:v>45764</c:v>
                </c:pt>
                <c:pt idx="307" formatCode="m/d/yyyy">
                  <c:v>45765</c:v>
                </c:pt>
                <c:pt idx="308" formatCode="m/d/yyyy">
                  <c:v>45768</c:v>
                </c:pt>
                <c:pt idx="309" formatCode="m/d/yyyy">
                  <c:v>45769</c:v>
                </c:pt>
                <c:pt idx="310" formatCode="m/d/yyyy">
                  <c:v>45770</c:v>
                </c:pt>
                <c:pt idx="311" formatCode="m/d/yyyy">
                  <c:v>45771</c:v>
                </c:pt>
                <c:pt idx="312" formatCode="m/d/yyyy">
                  <c:v>45772</c:v>
                </c:pt>
                <c:pt idx="313" formatCode="m/d/yyyy">
                  <c:v>45775</c:v>
                </c:pt>
                <c:pt idx="314" formatCode="m/d/yyyy">
                  <c:v>45776</c:v>
                </c:pt>
                <c:pt idx="315" formatCode="m/d/yyyy">
                  <c:v>45777</c:v>
                </c:pt>
                <c:pt idx="316" formatCode="m/d/yyyy">
                  <c:v>45783</c:v>
                </c:pt>
                <c:pt idx="317" formatCode="m/d/yyyy">
                  <c:v>45784</c:v>
                </c:pt>
                <c:pt idx="318" formatCode="m/d/yyyy">
                  <c:v>45785</c:v>
                </c:pt>
                <c:pt idx="319" formatCode="m/d/yyyy">
                  <c:v>45786</c:v>
                </c:pt>
                <c:pt idx="320" formatCode="m/d/yyyy">
                  <c:v>45789</c:v>
                </c:pt>
                <c:pt idx="321" formatCode="m/d/yyyy">
                  <c:v>45790</c:v>
                </c:pt>
                <c:pt idx="322" formatCode="m/d/yyyy">
                  <c:v>45791</c:v>
                </c:pt>
                <c:pt idx="323" formatCode="m/d/yyyy">
                  <c:v>45792</c:v>
                </c:pt>
                <c:pt idx="324" formatCode="m/d/yyyy">
                  <c:v>45793</c:v>
                </c:pt>
                <c:pt idx="325" formatCode="m/d/yyyy">
                  <c:v>45796</c:v>
                </c:pt>
                <c:pt idx="326" formatCode="m/d/yyyy">
                  <c:v>45797</c:v>
                </c:pt>
                <c:pt idx="327" formatCode="m/d/yyyy">
                  <c:v>45798</c:v>
                </c:pt>
                <c:pt idx="328" formatCode="m/d/yyyy">
                  <c:v>45799</c:v>
                </c:pt>
                <c:pt idx="329" formatCode="m/d/yyyy">
                  <c:v>45800</c:v>
                </c:pt>
                <c:pt idx="330" formatCode="m/d/yyyy">
                  <c:v>45803</c:v>
                </c:pt>
                <c:pt idx="331" formatCode="m/d/yyyy">
                  <c:v>45804</c:v>
                </c:pt>
                <c:pt idx="332" formatCode="m/d/yyyy">
                  <c:v>45805</c:v>
                </c:pt>
                <c:pt idx="333" formatCode="m/d/yyyy">
                  <c:v>45806</c:v>
                </c:pt>
                <c:pt idx="334" formatCode="m/d/yyyy">
                  <c:v>45807</c:v>
                </c:pt>
                <c:pt idx="335" formatCode="m/d/yyyy">
                  <c:v>45811</c:v>
                </c:pt>
                <c:pt idx="336" formatCode="m/d/yyyy">
                  <c:v>45812</c:v>
                </c:pt>
                <c:pt idx="337" formatCode="m/d/yyyy">
                  <c:v>45813</c:v>
                </c:pt>
                <c:pt idx="338" formatCode="m/d/yyyy">
                  <c:v>45814</c:v>
                </c:pt>
                <c:pt idx="339" formatCode="m/d/yyyy">
                  <c:v>45817</c:v>
                </c:pt>
                <c:pt idx="340" formatCode="m/d/yyyy">
                  <c:v>45818</c:v>
                </c:pt>
                <c:pt idx="341" formatCode="m/d/yyyy">
                  <c:v>45819</c:v>
                </c:pt>
                <c:pt idx="342" formatCode="m/d/yyyy">
                  <c:v>45820</c:v>
                </c:pt>
                <c:pt idx="343" formatCode="m/d/yyyy">
                  <c:v>45821</c:v>
                </c:pt>
                <c:pt idx="344" formatCode="m/d/yyyy">
                  <c:v>45824</c:v>
                </c:pt>
                <c:pt idx="345" formatCode="m/d/yyyy">
                  <c:v>45825</c:v>
                </c:pt>
                <c:pt idx="346" formatCode="m/d/yyyy">
                  <c:v>45826</c:v>
                </c:pt>
                <c:pt idx="347" formatCode="m/d/yyyy">
                  <c:v>45827</c:v>
                </c:pt>
                <c:pt idx="348" formatCode="m/d/yyyy">
                  <c:v>45828</c:v>
                </c:pt>
                <c:pt idx="349" formatCode="m/d/yyyy">
                  <c:v>45831</c:v>
                </c:pt>
                <c:pt idx="350" formatCode="m/d/yyyy">
                  <c:v>45832</c:v>
                </c:pt>
                <c:pt idx="351" formatCode="m/d/yyyy">
                  <c:v>45833</c:v>
                </c:pt>
                <c:pt idx="352" formatCode="m/d/yyyy">
                  <c:v>45834</c:v>
                </c:pt>
                <c:pt idx="353" formatCode="m/d/yyyy">
                  <c:v>45835</c:v>
                </c:pt>
              </c:numCache>
            </c:numRef>
          </c:cat>
          <c:val>
            <c:numRef>
              <c:f>连板个股!$II$2:$VX$2</c:f>
              <c:numCache>
                <c:formatCode>General</c:formatCode>
                <c:ptCount val="354"/>
                <c:pt idx="0">
                  <c:v>3.6</c:v>
                </c:pt>
                <c:pt idx="1">
                  <c:v>3.2</c:v>
                </c:pt>
                <c:pt idx="2">
                  <c:v>2.4</c:v>
                </c:pt>
                <c:pt idx="3">
                  <c:v>2.4</c:v>
                </c:pt>
                <c:pt idx="4">
                  <c:v>2.6</c:v>
                </c:pt>
                <c:pt idx="5">
                  <c:v>2</c:v>
                </c:pt>
                <c:pt idx="6">
                  <c:v>1.6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2.8</c:v>
                </c:pt>
                <c:pt idx="11">
                  <c:v>3.4</c:v>
                </c:pt>
                <c:pt idx="12">
                  <c:v>3.6</c:v>
                </c:pt>
                <c:pt idx="13">
                  <c:v>3.6</c:v>
                </c:pt>
                <c:pt idx="14">
                  <c:v>5.4</c:v>
                </c:pt>
                <c:pt idx="15">
                  <c:v>6</c:v>
                </c:pt>
                <c:pt idx="16">
                  <c:v>5.6</c:v>
                </c:pt>
                <c:pt idx="17">
                  <c:v>5.4</c:v>
                </c:pt>
                <c:pt idx="18">
                  <c:v>5.2</c:v>
                </c:pt>
                <c:pt idx="19">
                  <c:v>3</c:v>
                </c:pt>
                <c:pt idx="20">
                  <c:v>1.4</c:v>
                </c:pt>
                <c:pt idx="21">
                  <c:v>1.2</c:v>
                </c:pt>
                <c:pt idx="22">
                  <c:v>1.2</c:v>
                </c:pt>
                <c:pt idx="23">
                  <c:v>1.4</c:v>
                </c:pt>
                <c:pt idx="24">
                  <c:v>1.6</c:v>
                </c:pt>
                <c:pt idx="25">
                  <c:v>2</c:v>
                </c:pt>
                <c:pt idx="26">
                  <c:v>3.4</c:v>
                </c:pt>
                <c:pt idx="27">
                  <c:v>7.6</c:v>
                </c:pt>
                <c:pt idx="28">
                  <c:v>11.6</c:v>
                </c:pt>
                <c:pt idx="29">
                  <c:v>15.4</c:v>
                </c:pt>
                <c:pt idx="30">
                  <c:v>17.600000000000001</c:v>
                </c:pt>
                <c:pt idx="31">
                  <c:v>16.8</c:v>
                </c:pt>
                <c:pt idx="32">
                  <c:v>13</c:v>
                </c:pt>
                <c:pt idx="33">
                  <c:v>9.4</c:v>
                </c:pt>
                <c:pt idx="34">
                  <c:v>5.8</c:v>
                </c:pt>
                <c:pt idx="35">
                  <c:v>3.8</c:v>
                </c:pt>
                <c:pt idx="36">
                  <c:v>3.6</c:v>
                </c:pt>
                <c:pt idx="37">
                  <c:v>3.4</c:v>
                </c:pt>
                <c:pt idx="38">
                  <c:v>3.4</c:v>
                </c:pt>
                <c:pt idx="39">
                  <c:v>3.6</c:v>
                </c:pt>
                <c:pt idx="40">
                  <c:v>3.4</c:v>
                </c:pt>
                <c:pt idx="41">
                  <c:v>3.4</c:v>
                </c:pt>
                <c:pt idx="42">
                  <c:v>3.6</c:v>
                </c:pt>
                <c:pt idx="43">
                  <c:v>3.6</c:v>
                </c:pt>
                <c:pt idx="44">
                  <c:v>3.4</c:v>
                </c:pt>
                <c:pt idx="45">
                  <c:v>3.8</c:v>
                </c:pt>
                <c:pt idx="46">
                  <c:v>4.4000000000000004</c:v>
                </c:pt>
                <c:pt idx="47">
                  <c:v>5.2</c:v>
                </c:pt>
                <c:pt idx="48">
                  <c:v>4.8</c:v>
                </c:pt>
                <c:pt idx="49">
                  <c:v>4.8</c:v>
                </c:pt>
                <c:pt idx="50">
                  <c:v>4.5999999999999996</c:v>
                </c:pt>
                <c:pt idx="51">
                  <c:v>4</c:v>
                </c:pt>
                <c:pt idx="52">
                  <c:v>3.4</c:v>
                </c:pt>
                <c:pt idx="53">
                  <c:v>3.4</c:v>
                </c:pt>
                <c:pt idx="54">
                  <c:v>3.8</c:v>
                </c:pt>
                <c:pt idx="55">
                  <c:v>4.2</c:v>
                </c:pt>
                <c:pt idx="56">
                  <c:v>4.4000000000000004</c:v>
                </c:pt>
                <c:pt idx="57">
                  <c:v>4</c:v>
                </c:pt>
                <c:pt idx="58">
                  <c:v>4</c:v>
                </c:pt>
                <c:pt idx="59">
                  <c:v>3.4</c:v>
                </c:pt>
                <c:pt idx="60">
                  <c:v>2.6</c:v>
                </c:pt>
                <c:pt idx="61">
                  <c:v>1.8</c:v>
                </c:pt>
                <c:pt idx="62">
                  <c:v>1.6</c:v>
                </c:pt>
                <c:pt idx="63">
                  <c:v>1.2</c:v>
                </c:pt>
                <c:pt idx="64">
                  <c:v>1.2</c:v>
                </c:pt>
                <c:pt idx="65">
                  <c:v>1.4</c:v>
                </c:pt>
                <c:pt idx="66">
                  <c:v>1.6</c:v>
                </c:pt>
                <c:pt idx="67">
                  <c:v>1.8</c:v>
                </c:pt>
                <c:pt idx="68">
                  <c:v>2</c:v>
                </c:pt>
                <c:pt idx="69">
                  <c:v>1.8</c:v>
                </c:pt>
                <c:pt idx="70">
                  <c:v>1.8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2.2000000000000002</c:v>
                </c:pt>
                <c:pt idx="75">
                  <c:v>2</c:v>
                </c:pt>
                <c:pt idx="76">
                  <c:v>2</c:v>
                </c:pt>
                <c:pt idx="77">
                  <c:v>2.2000000000000002</c:v>
                </c:pt>
                <c:pt idx="78">
                  <c:v>2.4</c:v>
                </c:pt>
                <c:pt idx="79">
                  <c:v>2</c:v>
                </c:pt>
                <c:pt idx="80">
                  <c:v>1.8</c:v>
                </c:pt>
                <c:pt idx="81">
                  <c:v>1.4</c:v>
                </c:pt>
                <c:pt idx="82">
                  <c:v>1</c:v>
                </c:pt>
                <c:pt idx="83">
                  <c:v>1</c:v>
                </c:pt>
                <c:pt idx="84">
                  <c:v>1.2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0.6</c:v>
                </c:pt>
                <c:pt idx="93">
                  <c:v>0.4</c:v>
                </c:pt>
                <c:pt idx="94">
                  <c:v>0.4</c:v>
                </c:pt>
                <c:pt idx="95">
                  <c:v>0.6</c:v>
                </c:pt>
                <c:pt idx="96">
                  <c:v>0.4</c:v>
                </c:pt>
                <c:pt idx="97">
                  <c:v>0.6</c:v>
                </c:pt>
                <c:pt idx="98">
                  <c:v>0.6</c:v>
                </c:pt>
                <c:pt idx="99">
                  <c:v>1</c:v>
                </c:pt>
                <c:pt idx="100">
                  <c:v>1</c:v>
                </c:pt>
                <c:pt idx="101">
                  <c:v>1.4</c:v>
                </c:pt>
                <c:pt idx="102">
                  <c:v>1.4</c:v>
                </c:pt>
                <c:pt idx="103">
                  <c:v>1.4</c:v>
                </c:pt>
                <c:pt idx="104">
                  <c:v>1.2</c:v>
                </c:pt>
                <c:pt idx="105">
                  <c:v>1.4</c:v>
                </c:pt>
                <c:pt idx="106">
                  <c:v>1.6</c:v>
                </c:pt>
                <c:pt idx="107">
                  <c:v>1.6</c:v>
                </c:pt>
                <c:pt idx="108">
                  <c:v>1.4</c:v>
                </c:pt>
                <c:pt idx="109">
                  <c:v>1.4</c:v>
                </c:pt>
                <c:pt idx="110">
                  <c:v>1.4</c:v>
                </c:pt>
                <c:pt idx="111">
                  <c:v>1</c:v>
                </c:pt>
                <c:pt idx="112">
                  <c:v>0.8</c:v>
                </c:pt>
                <c:pt idx="113">
                  <c:v>1.2</c:v>
                </c:pt>
                <c:pt idx="114">
                  <c:v>1.4</c:v>
                </c:pt>
                <c:pt idx="115">
                  <c:v>1.4</c:v>
                </c:pt>
                <c:pt idx="116">
                  <c:v>1.2</c:v>
                </c:pt>
                <c:pt idx="117">
                  <c:v>1.6</c:v>
                </c:pt>
                <c:pt idx="118">
                  <c:v>1.2</c:v>
                </c:pt>
                <c:pt idx="119">
                  <c:v>1</c:v>
                </c:pt>
                <c:pt idx="120">
                  <c:v>0.6</c:v>
                </c:pt>
                <c:pt idx="121">
                  <c:v>0.8</c:v>
                </c:pt>
                <c:pt idx="122">
                  <c:v>0.8</c:v>
                </c:pt>
                <c:pt idx="123">
                  <c:v>1.2</c:v>
                </c:pt>
                <c:pt idx="124">
                  <c:v>1.2</c:v>
                </c:pt>
                <c:pt idx="125">
                  <c:v>1.4</c:v>
                </c:pt>
                <c:pt idx="126">
                  <c:v>1.2</c:v>
                </c:pt>
                <c:pt idx="127">
                  <c:v>0.8</c:v>
                </c:pt>
                <c:pt idx="128">
                  <c:v>0.6</c:v>
                </c:pt>
                <c:pt idx="129">
                  <c:v>0.4</c:v>
                </c:pt>
                <c:pt idx="130">
                  <c:v>0.2</c:v>
                </c:pt>
                <c:pt idx="131">
                  <c:v>0.6</c:v>
                </c:pt>
                <c:pt idx="132">
                  <c:v>1</c:v>
                </c:pt>
                <c:pt idx="133">
                  <c:v>1.2</c:v>
                </c:pt>
                <c:pt idx="134">
                  <c:v>2.4</c:v>
                </c:pt>
                <c:pt idx="135">
                  <c:v>3.4</c:v>
                </c:pt>
                <c:pt idx="136">
                  <c:v>4.2</c:v>
                </c:pt>
                <c:pt idx="137">
                  <c:v>4.8</c:v>
                </c:pt>
                <c:pt idx="138">
                  <c:v>5.2</c:v>
                </c:pt>
                <c:pt idx="139">
                  <c:v>4.5999999999999996</c:v>
                </c:pt>
                <c:pt idx="140">
                  <c:v>4</c:v>
                </c:pt>
                <c:pt idx="141">
                  <c:v>3.2</c:v>
                </c:pt>
                <c:pt idx="142">
                  <c:v>2.4</c:v>
                </c:pt>
                <c:pt idx="143">
                  <c:v>1.6</c:v>
                </c:pt>
                <c:pt idx="144">
                  <c:v>1.2</c:v>
                </c:pt>
                <c:pt idx="145">
                  <c:v>1</c:v>
                </c:pt>
                <c:pt idx="146">
                  <c:v>0.6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1.2</c:v>
                </c:pt>
                <c:pt idx="152">
                  <c:v>1</c:v>
                </c:pt>
                <c:pt idx="153">
                  <c:v>1.2</c:v>
                </c:pt>
                <c:pt idx="154">
                  <c:v>1.2</c:v>
                </c:pt>
                <c:pt idx="155">
                  <c:v>1.4</c:v>
                </c:pt>
                <c:pt idx="156">
                  <c:v>1.4</c:v>
                </c:pt>
                <c:pt idx="157">
                  <c:v>1.4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2</c:v>
                </c:pt>
                <c:pt idx="162">
                  <c:v>2.8</c:v>
                </c:pt>
                <c:pt idx="163">
                  <c:v>3</c:v>
                </c:pt>
                <c:pt idx="164">
                  <c:v>3</c:v>
                </c:pt>
                <c:pt idx="165">
                  <c:v>2.8</c:v>
                </c:pt>
                <c:pt idx="166">
                  <c:v>2.4</c:v>
                </c:pt>
                <c:pt idx="167">
                  <c:v>1.8</c:v>
                </c:pt>
                <c:pt idx="168">
                  <c:v>1.4</c:v>
                </c:pt>
                <c:pt idx="169">
                  <c:v>1.4</c:v>
                </c:pt>
                <c:pt idx="170">
                  <c:v>1.8</c:v>
                </c:pt>
                <c:pt idx="171">
                  <c:v>2.2000000000000002</c:v>
                </c:pt>
                <c:pt idx="172">
                  <c:v>2.8</c:v>
                </c:pt>
                <c:pt idx="173">
                  <c:v>3.2</c:v>
                </c:pt>
                <c:pt idx="174">
                  <c:v>4</c:v>
                </c:pt>
                <c:pt idx="175">
                  <c:v>5.6</c:v>
                </c:pt>
                <c:pt idx="176">
                  <c:v>7.6</c:v>
                </c:pt>
                <c:pt idx="177">
                  <c:v>11.8</c:v>
                </c:pt>
                <c:pt idx="178">
                  <c:v>13.2</c:v>
                </c:pt>
                <c:pt idx="179">
                  <c:v>12.4</c:v>
                </c:pt>
                <c:pt idx="180">
                  <c:v>10.199999999999999</c:v>
                </c:pt>
                <c:pt idx="181">
                  <c:v>7.6</c:v>
                </c:pt>
                <c:pt idx="182">
                  <c:v>2.4</c:v>
                </c:pt>
                <c:pt idx="183">
                  <c:v>0.8</c:v>
                </c:pt>
                <c:pt idx="184">
                  <c:v>2.2000000000000002</c:v>
                </c:pt>
                <c:pt idx="185">
                  <c:v>4</c:v>
                </c:pt>
                <c:pt idx="186">
                  <c:v>6.2</c:v>
                </c:pt>
                <c:pt idx="187">
                  <c:v>8.6</c:v>
                </c:pt>
                <c:pt idx="188">
                  <c:v>10.4</c:v>
                </c:pt>
                <c:pt idx="189">
                  <c:v>10.8</c:v>
                </c:pt>
                <c:pt idx="190">
                  <c:v>11.8</c:v>
                </c:pt>
                <c:pt idx="191">
                  <c:v>12.6</c:v>
                </c:pt>
                <c:pt idx="192">
                  <c:v>13.8</c:v>
                </c:pt>
                <c:pt idx="193">
                  <c:v>17</c:v>
                </c:pt>
                <c:pt idx="194">
                  <c:v>21.2</c:v>
                </c:pt>
                <c:pt idx="195">
                  <c:v>20.8</c:v>
                </c:pt>
                <c:pt idx="196">
                  <c:v>18.399999999999999</c:v>
                </c:pt>
                <c:pt idx="197">
                  <c:v>18</c:v>
                </c:pt>
                <c:pt idx="198">
                  <c:v>15.4</c:v>
                </c:pt>
                <c:pt idx="199">
                  <c:v>11.4</c:v>
                </c:pt>
                <c:pt idx="200">
                  <c:v>11.2</c:v>
                </c:pt>
                <c:pt idx="201">
                  <c:v>11.4</c:v>
                </c:pt>
                <c:pt idx="202">
                  <c:v>8.8000000000000007</c:v>
                </c:pt>
                <c:pt idx="203">
                  <c:v>6.4</c:v>
                </c:pt>
                <c:pt idx="204">
                  <c:v>4.5999999999999996</c:v>
                </c:pt>
                <c:pt idx="205">
                  <c:v>2.8</c:v>
                </c:pt>
                <c:pt idx="206">
                  <c:v>3.2</c:v>
                </c:pt>
                <c:pt idx="207">
                  <c:v>3.4</c:v>
                </c:pt>
                <c:pt idx="208">
                  <c:v>4.5999999999999996</c:v>
                </c:pt>
                <c:pt idx="209">
                  <c:v>6.6</c:v>
                </c:pt>
                <c:pt idx="210">
                  <c:v>9.4</c:v>
                </c:pt>
                <c:pt idx="211">
                  <c:v>11.4</c:v>
                </c:pt>
                <c:pt idx="212">
                  <c:v>12.4</c:v>
                </c:pt>
                <c:pt idx="213">
                  <c:v>12.2</c:v>
                </c:pt>
                <c:pt idx="214">
                  <c:v>11</c:v>
                </c:pt>
                <c:pt idx="215">
                  <c:v>10</c:v>
                </c:pt>
                <c:pt idx="216">
                  <c:v>9.6</c:v>
                </c:pt>
                <c:pt idx="217">
                  <c:v>10.4</c:v>
                </c:pt>
                <c:pt idx="218">
                  <c:v>12</c:v>
                </c:pt>
                <c:pt idx="219">
                  <c:v>13.6</c:v>
                </c:pt>
                <c:pt idx="220">
                  <c:v>13.4</c:v>
                </c:pt>
                <c:pt idx="221">
                  <c:v>11.8</c:v>
                </c:pt>
                <c:pt idx="222">
                  <c:v>11</c:v>
                </c:pt>
                <c:pt idx="223">
                  <c:v>9.4</c:v>
                </c:pt>
                <c:pt idx="224">
                  <c:v>8.4</c:v>
                </c:pt>
                <c:pt idx="225">
                  <c:v>8.1999999999999993</c:v>
                </c:pt>
                <c:pt idx="226">
                  <c:v>8.1999999999999993</c:v>
                </c:pt>
                <c:pt idx="227">
                  <c:v>7.2</c:v>
                </c:pt>
                <c:pt idx="228">
                  <c:v>6.8</c:v>
                </c:pt>
                <c:pt idx="229">
                  <c:v>5.8</c:v>
                </c:pt>
                <c:pt idx="230">
                  <c:v>4.4000000000000004</c:v>
                </c:pt>
                <c:pt idx="231">
                  <c:v>3.4</c:v>
                </c:pt>
                <c:pt idx="232">
                  <c:v>3.2</c:v>
                </c:pt>
                <c:pt idx="233">
                  <c:v>2.8</c:v>
                </c:pt>
                <c:pt idx="234">
                  <c:v>2.4</c:v>
                </c:pt>
                <c:pt idx="235">
                  <c:v>2.2000000000000002</c:v>
                </c:pt>
                <c:pt idx="236">
                  <c:v>2.2000000000000002</c:v>
                </c:pt>
                <c:pt idx="237">
                  <c:v>2</c:v>
                </c:pt>
                <c:pt idx="238">
                  <c:v>2</c:v>
                </c:pt>
                <c:pt idx="239">
                  <c:v>2.2000000000000002</c:v>
                </c:pt>
                <c:pt idx="240">
                  <c:v>2.4</c:v>
                </c:pt>
                <c:pt idx="241">
                  <c:v>2.4</c:v>
                </c:pt>
                <c:pt idx="242">
                  <c:v>3.4</c:v>
                </c:pt>
                <c:pt idx="243">
                  <c:v>4.8</c:v>
                </c:pt>
                <c:pt idx="244">
                  <c:v>4.8</c:v>
                </c:pt>
                <c:pt idx="245">
                  <c:v>4.5999999999999996</c:v>
                </c:pt>
                <c:pt idx="246">
                  <c:v>5</c:v>
                </c:pt>
                <c:pt idx="247">
                  <c:v>4.4000000000000004</c:v>
                </c:pt>
                <c:pt idx="248">
                  <c:v>3.2</c:v>
                </c:pt>
                <c:pt idx="249">
                  <c:v>4.2</c:v>
                </c:pt>
                <c:pt idx="250">
                  <c:v>4.5999999999999996</c:v>
                </c:pt>
                <c:pt idx="251">
                  <c:v>4.4000000000000004</c:v>
                </c:pt>
                <c:pt idx="252">
                  <c:v>4.5999999999999996</c:v>
                </c:pt>
                <c:pt idx="253">
                  <c:v>4.5999999999999996</c:v>
                </c:pt>
                <c:pt idx="254">
                  <c:v>3.8</c:v>
                </c:pt>
                <c:pt idx="255">
                  <c:v>3.6</c:v>
                </c:pt>
                <c:pt idx="256">
                  <c:v>3.2</c:v>
                </c:pt>
                <c:pt idx="257">
                  <c:v>2.6</c:v>
                </c:pt>
                <c:pt idx="258">
                  <c:v>3.4</c:v>
                </c:pt>
                <c:pt idx="259">
                  <c:v>4.2</c:v>
                </c:pt>
                <c:pt idx="260">
                  <c:v>6</c:v>
                </c:pt>
                <c:pt idx="261">
                  <c:v>7.4</c:v>
                </c:pt>
                <c:pt idx="262">
                  <c:v>7.8</c:v>
                </c:pt>
                <c:pt idx="263">
                  <c:v>7.2</c:v>
                </c:pt>
                <c:pt idx="264">
                  <c:v>6.4</c:v>
                </c:pt>
                <c:pt idx="265">
                  <c:v>4.8</c:v>
                </c:pt>
                <c:pt idx="266">
                  <c:v>3.4</c:v>
                </c:pt>
                <c:pt idx="267">
                  <c:v>3.8</c:v>
                </c:pt>
                <c:pt idx="268">
                  <c:v>3.2</c:v>
                </c:pt>
                <c:pt idx="269">
                  <c:v>3.4</c:v>
                </c:pt>
                <c:pt idx="270">
                  <c:v>3</c:v>
                </c:pt>
                <c:pt idx="271">
                  <c:v>4</c:v>
                </c:pt>
                <c:pt idx="272">
                  <c:v>3.8</c:v>
                </c:pt>
                <c:pt idx="273">
                  <c:v>3.6</c:v>
                </c:pt>
                <c:pt idx="274">
                  <c:v>2.8</c:v>
                </c:pt>
                <c:pt idx="275">
                  <c:v>2.8</c:v>
                </c:pt>
                <c:pt idx="276">
                  <c:v>1.8</c:v>
                </c:pt>
                <c:pt idx="277">
                  <c:v>1.2</c:v>
                </c:pt>
                <c:pt idx="278">
                  <c:v>1.6</c:v>
                </c:pt>
                <c:pt idx="279">
                  <c:v>1.6</c:v>
                </c:pt>
                <c:pt idx="280">
                  <c:v>2</c:v>
                </c:pt>
                <c:pt idx="281">
                  <c:v>2.4</c:v>
                </c:pt>
                <c:pt idx="282">
                  <c:v>2.8</c:v>
                </c:pt>
                <c:pt idx="283">
                  <c:v>2.6</c:v>
                </c:pt>
                <c:pt idx="284">
                  <c:v>3</c:v>
                </c:pt>
                <c:pt idx="285">
                  <c:v>3.6</c:v>
                </c:pt>
                <c:pt idx="286">
                  <c:v>3.6</c:v>
                </c:pt>
                <c:pt idx="287">
                  <c:v>4.2</c:v>
                </c:pt>
                <c:pt idx="288">
                  <c:v>4.5999999999999996</c:v>
                </c:pt>
                <c:pt idx="289">
                  <c:v>4.5999999999999996</c:v>
                </c:pt>
                <c:pt idx="290">
                  <c:v>3.4</c:v>
                </c:pt>
                <c:pt idx="291">
                  <c:v>3.2</c:v>
                </c:pt>
                <c:pt idx="292">
                  <c:v>2.2000000000000002</c:v>
                </c:pt>
                <c:pt idx="293">
                  <c:v>1.4</c:v>
                </c:pt>
                <c:pt idx="294">
                  <c:v>1</c:v>
                </c:pt>
                <c:pt idx="295">
                  <c:v>1.2</c:v>
                </c:pt>
                <c:pt idx="296">
                  <c:v>1.2</c:v>
                </c:pt>
                <c:pt idx="297">
                  <c:v>0.8</c:v>
                </c:pt>
                <c:pt idx="298">
                  <c:v>1</c:v>
                </c:pt>
                <c:pt idx="299">
                  <c:v>1.2</c:v>
                </c:pt>
                <c:pt idx="300">
                  <c:v>2.4</c:v>
                </c:pt>
                <c:pt idx="301">
                  <c:v>2.8</c:v>
                </c:pt>
                <c:pt idx="302">
                  <c:v>3.6</c:v>
                </c:pt>
                <c:pt idx="303">
                  <c:v>3.8</c:v>
                </c:pt>
                <c:pt idx="304">
                  <c:v>3.8</c:v>
                </c:pt>
                <c:pt idx="305">
                  <c:v>2.8</c:v>
                </c:pt>
                <c:pt idx="306">
                  <c:v>2.8</c:v>
                </c:pt>
                <c:pt idx="307">
                  <c:v>3</c:v>
                </c:pt>
                <c:pt idx="308">
                  <c:v>3.6</c:v>
                </c:pt>
                <c:pt idx="309">
                  <c:v>4.2</c:v>
                </c:pt>
                <c:pt idx="310">
                  <c:v>4.2</c:v>
                </c:pt>
                <c:pt idx="311">
                  <c:v>4.2</c:v>
                </c:pt>
                <c:pt idx="312">
                  <c:v>3.6</c:v>
                </c:pt>
                <c:pt idx="313">
                  <c:v>2.8</c:v>
                </c:pt>
                <c:pt idx="314">
                  <c:v>2</c:v>
                </c:pt>
                <c:pt idx="315">
                  <c:v>2</c:v>
                </c:pt>
                <c:pt idx="316">
                  <c:v>1.4</c:v>
                </c:pt>
                <c:pt idx="317">
                  <c:v>1.6</c:v>
                </c:pt>
                <c:pt idx="318">
                  <c:v>1.8</c:v>
                </c:pt>
                <c:pt idx="319">
                  <c:v>2.2000000000000002</c:v>
                </c:pt>
                <c:pt idx="320">
                  <c:v>2.6</c:v>
                </c:pt>
                <c:pt idx="321">
                  <c:v>3</c:v>
                </c:pt>
                <c:pt idx="322">
                  <c:v>3.2</c:v>
                </c:pt>
                <c:pt idx="323">
                  <c:v>3.4</c:v>
                </c:pt>
                <c:pt idx="324">
                  <c:v>4</c:v>
                </c:pt>
                <c:pt idx="325">
                  <c:v>4</c:v>
                </c:pt>
                <c:pt idx="326">
                  <c:v>3.8</c:v>
                </c:pt>
                <c:pt idx="327">
                  <c:v>3.6</c:v>
                </c:pt>
                <c:pt idx="328">
                  <c:v>4</c:v>
                </c:pt>
                <c:pt idx="329">
                  <c:v>3</c:v>
                </c:pt>
                <c:pt idx="330">
                  <c:v>2.4</c:v>
                </c:pt>
                <c:pt idx="331">
                  <c:v>2.8</c:v>
                </c:pt>
                <c:pt idx="332">
                  <c:v>2.6</c:v>
                </c:pt>
                <c:pt idx="333">
                  <c:v>2.6</c:v>
                </c:pt>
                <c:pt idx="334">
                  <c:v>2.8</c:v>
                </c:pt>
                <c:pt idx="335">
                  <c:v>3.2</c:v>
                </c:pt>
                <c:pt idx="336">
                  <c:v>2.6</c:v>
                </c:pt>
                <c:pt idx="337">
                  <c:v>2.4</c:v>
                </c:pt>
                <c:pt idx="338">
                  <c:v>2</c:v>
                </c:pt>
                <c:pt idx="339">
                  <c:v>2.4</c:v>
                </c:pt>
                <c:pt idx="340">
                  <c:v>2.2000000000000002</c:v>
                </c:pt>
                <c:pt idx="341">
                  <c:v>2.6</c:v>
                </c:pt>
                <c:pt idx="342">
                  <c:v>3</c:v>
                </c:pt>
                <c:pt idx="343">
                  <c:v>2.6</c:v>
                </c:pt>
                <c:pt idx="344">
                  <c:v>2</c:v>
                </c:pt>
                <c:pt idx="345">
                  <c:v>1.6</c:v>
                </c:pt>
                <c:pt idx="346">
                  <c:v>2</c:v>
                </c:pt>
                <c:pt idx="347">
                  <c:v>1.8</c:v>
                </c:pt>
                <c:pt idx="348">
                  <c:v>2</c:v>
                </c:pt>
                <c:pt idx="349">
                  <c:v>2.4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12-4315-BEBC-CA974530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783855"/>
        <c:axId val="1094788655"/>
      </c:lineChart>
      <c:dateAx>
        <c:axId val="1094790095"/>
        <c:scaling>
          <c:orientation val="minMax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74735"/>
        <c:crosses val="autoZero"/>
        <c:auto val="1"/>
        <c:lblOffset val="100"/>
        <c:baseTimeUnit val="days"/>
        <c:majorUnit val="2"/>
        <c:majorTimeUnit val="months"/>
        <c:minorUnit val="4"/>
      </c:dateAx>
      <c:valAx>
        <c:axId val="1094774735"/>
        <c:scaling>
          <c:orientation val="minMax"/>
          <c:max val="16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90095"/>
        <c:crosses val="autoZero"/>
        <c:crossBetween val="between"/>
      </c:valAx>
      <c:dateAx>
        <c:axId val="109478385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094788655"/>
        <c:crosses val="autoZero"/>
        <c:auto val="1"/>
        <c:lblOffset val="100"/>
        <c:baseTimeUnit val="days"/>
      </c:dateAx>
      <c:valAx>
        <c:axId val="1094788655"/>
        <c:scaling>
          <c:orientation val="minMax"/>
          <c:max val="2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83855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374559053154841E-2"/>
          <c:y val="9.5855687185115834E-2"/>
          <c:w val="0.93250946205126972"/>
          <c:h val="0.862357298969111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连板个股!$A$3</c:f>
              <c:strCache>
                <c:ptCount val="1"/>
                <c:pt idx="0">
                  <c:v>最高板</c:v>
                </c:pt>
              </c:strCache>
            </c:strRef>
          </c:tx>
          <c:spPr>
            <a:solidFill>
              <a:srgbClr val="FF8080"/>
            </a:solidFill>
            <a:ln w="25400">
              <a:solidFill>
                <a:srgbClr val="FF8080"/>
              </a:solidFill>
            </a:ln>
            <a:effectLst/>
          </c:spPr>
          <c:invertIfNegative val="0"/>
          <c:dPt>
            <c:idx val="196"/>
            <c:invertIfNegative val="0"/>
            <c:bubble3D val="0"/>
            <c:spPr>
              <a:solidFill>
                <a:srgbClr val="FF8080"/>
              </a:solidFill>
              <a:ln w="38100">
                <a:solidFill>
                  <a:srgbClr val="FF8080"/>
                </a:solidFill>
              </a:ln>
              <a:effectLst/>
              <a:sp3d contourW="38100"/>
            </c:spPr>
            <c:extLst>
              <c:ext xmlns:c16="http://schemas.microsoft.com/office/drawing/2014/chart" uri="{C3380CC4-5D6E-409C-BE32-E72D297353CC}">
                <c16:uniqueId val="{00000001-5BC0-4F1E-8AB1-0A708973F3C6}"/>
              </c:ext>
            </c:extLst>
          </c:dPt>
          <c:cat>
            <c:numRef>
              <c:f>连板个股!$GJ$1:$ADQ$1</c:f>
              <c:numCache>
                <c:formatCode>yyyy\-mm\-dd</c:formatCode>
                <c:ptCount val="606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  <c:pt idx="583" formatCode="m/d/yyyy">
                  <c:v>46106</c:v>
                </c:pt>
                <c:pt idx="584" formatCode="m/d/yyyy">
                  <c:v>46107</c:v>
                </c:pt>
                <c:pt idx="585" formatCode="m/d/yyyy">
                  <c:v>46108</c:v>
                </c:pt>
                <c:pt idx="586" formatCode="m/d/yyyy">
                  <c:v>46111</c:v>
                </c:pt>
                <c:pt idx="587" formatCode="m/d/yyyy">
                  <c:v>46112</c:v>
                </c:pt>
                <c:pt idx="588" formatCode="m/d/yyyy">
                  <c:v>46113</c:v>
                </c:pt>
                <c:pt idx="589" formatCode="m/d/yyyy">
                  <c:v>46114</c:v>
                </c:pt>
                <c:pt idx="590" formatCode="m/d/yyyy">
                  <c:v>46115</c:v>
                </c:pt>
                <c:pt idx="591" formatCode="m/d/yyyy">
                  <c:v>46119</c:v>
                </c:pt>
                <c:pt idx="592" formatCode="m/d/yyyy">
                  <c:v>46120</c:v>
                </c:pt>
                <c:pt idx="593" formatCode="m/d/yyyy">
                  <c:v>46121</c:v>
                </c:pt>
                <c:pt idx="594" formatCode="m/d/yyyy">
                  <c:v>46122</c:v>
                </c:pt>
                <c:pt idx="595" formatCode="m/d/yyyy">
                  <c:v>46125</c:v>
                </c:pt>
                <c:pt idx="596" formatCode="m/d/yyyy">
                  <c:v>46126</c:v>
                </c:pt>
                <c:pt idx="597" formatCode="m/d/yyyy">
                  <c:v>46127</c:v>
                </c:pt>
                <c:pt idx="598" formatCode="m/d/yyyy">
                  <c:v>46128</c:v>
                </c:pt>
                <c:pt idx="599" formatCode="m/d/yyyy">
                  <c:v>46129</c:v>
                </c:pt>
                <c:pt idx="600" formatCode="m/d/yyyy">
                  <c:v>46132</c:v>
                </c:pt>
                <c:pt idx="601" formatCode="m/d/yyyy">
                  <c:v>46133</c:v>
                </c:pt>
                <c:pt idx="602" formatCode="m/d/yyyy">
                  <c:v>46134</c:v>
                </c:pt>
                <c:pt idx="603" formatCode="m/d/yyyy">
                  <c:v>46135</c:v>
                </c:pt>
                <c:pt idx="604" formatCode="m/d/yyyy">
                  <c:v>46136</c:v>
                </c:pt>
                <c:pt idx="605" formatCode="m/d/yyyy">
                  <c:v>46139</c:v>
                </c:pt>
              </c:numCache>
            </c:numRef>
          </c:cat>
          <c:val>
            <c:numRef>
              <c:f>连板个股!$GJ$3:$ADQ$3</c:f>
              <c:numCache>
                <c:formatCode>General</c:formatCode>
                <c:ptCount val="606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7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8</c:v>
                </c:pt>
                <c:pt idx="83">
                  <c:v>8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5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6</c:v>
                </c:pt>
                <c:pt idx="100">
                  <c:v>7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7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5</c:v>
                </c:pt>
                <c:pt idx="123">
                  <c:v>6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6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4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4</c:v>
                </c:pt>
                <c:pt idx="163">
                  <c:v>3</c:v>
                </c:pt>
                <c:pt idx="164">
                  <c:v>4</c:v>
                </c:pt>
                <c:pt idx="165">
                  <c:v>5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6</c:v>
                </c:pt>
                <c:pt idx="176">
                  <c:v>7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5</c:v>
                </c:pt>
                <c:pt idx="184">
                  <c:v>6</c:v>
                </c:pt>
                <c:pt idx="185">
                  <c:v>7</c:v>
                </c:pt>
                <c:pt idx="186">
                  <c:v>8</c:v>
                </c:pt>
                <c:pt idx="187">
                  <c:v>9</c:v>
                </c:pt>
                <c:pt idx="188">
                  <c:v>10</c:v>
                </c:pt>
                <c:pt idx="189">
                  <c:v>11</c:v>
                </c:pt>
                <c:pt idx="190">
                  <c:v>6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4</c:v>
                </c:pt>
                <c:pt idx="201">
                  <c:v>5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10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5</c:v>
                </c:pt>
                <c:pt idx="215">
                  <c:v>4</c:v>
                </c:pt>
                <c:pt idx="216">
                  <c:v>4</c:v>
                </c:pt>
                <c:pt idx="217">
                  <c:v>5</c:v>
                </c:pt>
                <c:pt idx="218">
                  <c:v>6</c:v>
                </c:pt>
                <c:pt idx="219">
                  <c:v>4</c:v>
                </c:pt>
                <c:pt idx="220">
                  <c:v>5</c:v>
                </c:pt>
                <c:pt idx="221">
                  <c:v>6</c:v>
                </c:pt>
                <c:pt idx="222">
                  <c:v>7</c:v>
                </c:pt>
                <c:pt idx="223">
                  <c:v>8</c:v>
                </c:pt>
                <c:pt idx="224">
                  <c:v>9</c:v>
                </c:pt>
                <c:pt idx="225">
                  <c:v>10</c:v>
                </c:pt>
                <c:pt idx="226">
                  <c:v>11</c:v>
                </c:pt>
                <c:pt idx="227">
                  <c:v>12</c:v>
                </c:pt>
                <c:pt idx="228">
                  <c:v>13</c:v>
                </c:pt>
                <c:pt idx="229">
                  <c:v>14</c:v>
                </c:pt>
                <c:pt idx="230">
                  <c:v>8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5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9</c:v>
                </c:pt>
                <c:pt idx="240">
                  <c:v>10</c:v>
                </c:pt>
                <c:pt idx="241">
                  <c:v>11</c:v>
                </c:pt>
                <c:pt idx="242">
                  <c:v>12</c:v>
                </c:pt>
                <c:pt idx="243">
                  <c:v>9</c:v>
                </c:pt>
                <c:pt idx="244">
                  <c:v>10</c:v>
                </c:pt>
                <c:pt idx="245">
                  <c:v>11</c:v>
                </c:pt>
                <c:pt idx="246">
                  <c:v>12</c:v>
                </c:pt>
                <c:pt idx="247">
                  <c:v>13</c:v>
                </c:pt>
                <c:pt idx="248">
                  <c:v>14</c:v>
                </c:pt>
                <c:pt idx="249">
                  <c:v>10</c:v>
                </c:pt>
                <c:pt idx="250">
                  <c:v>11</c:v>
                </c:pt>
                <c:pt idx="251">
                  <c:v>7</c:v>
                </c:pt>
                <c:pt idx="252">
                  <c:v>7</c:v>
                </c:pt>
                <c:pt idx="253">
                  <c:v>6</c:v>
                </c:pt>
                <c:pt idx="254">
                  <c:v>7</c:v>
                </c:pt>
                <c:pt idx="255">
                  <c:v>8</c:v>
                </c:pt>
                <c:pt idx="256">
                  <c:v>9</c:v>
                </c:pt>
                <c:pt idx="257">
                  <c:v>10</c:v>
                </c:pt>
                <c:pt idx="258">
                  <c:v>11</c:v>
                </c:pt>
                <c:pt idx="259">
                  <c:v>12</c:v>
                </c:pt>
                <c:pt idx="260">
                  <c:v>13</c:v>
                </c:pt>
                <c:pt idx="261">
                  <c:v>10</c:v>
                </c:pt>
                <c:pt idx="262">
                  <c:v>11</c:v>
                </c:pt>
                <c:pt idx="263">
                  <c:v>7</c:v>
                </c:pt>
                <c:pt idx="264">
                  <c:v>8</c:v>
                </c:pt>
                <c:pt idx="265">
                  <c:v>9</c:v>
                </c:pt>
                <c:pt idx="266">
                  <c:v>10</c:v>
                </c:pt>
                <c:pt idx="267">
                  <c:v>11</c:v>
                </c:pt>
                <c:pt idx="268">
                  <c:v>12</c:v>
                </c:pt>
                <c:pt idx="269">
                  <c:v>9</c:v>
                </c:pt>
                <c:pt idx="270">
                  <c:v>8</c:v>
                </c:pt>
                <c:pt idx="271">
                  <c:v>9</c:v>
                </c:pt>
                <c:pt idx="272">
                  <c:v>10</c:v>
                </c:pt>
                <c:pt idx="273">
                  <c:v>11</c:v>
                </c:pt>
                <c:pt idx="274">
                  <c:v>12</c:v>
                </c:pt>
                <c:pt idx="275">
                  <c:v>7</c:v>
                </c:pt>
                <c:pt idx="276">
                  <c:v>6</c:v>
                </c:pt>
                <c:pt idx="277">
                  <c:v>7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4</c:v>
                </c:pt>
                <c:pt idx="289">
                  <c:v>6</c:v>
                </c:pt>
                <c:pt idx="290">
                  <c:v>7</c:v>
                </c:pt>
                <c:pt idx="291">
                  <c:v>4</c:v>
                </c:pt>
                <c:pt idx="292">
                  <c:v>5</c:v>
                </c:pt>
                <c:pt idx="293">
                  <c:v>6</c:v>
                </c:pt>
                <c:pt idx="294">
                  <c:v>7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6</c:v>
                </c:pt>
                <c:pt idx="300">
                  <c:v>7</c:v>
                </c:pt>
                <c:pt idx="301">
                  <c:v>5</c:v>
                </c:pt>
                <c:pt idx="302">
                  <c:v>6</c:v>
                </c:pt>
                <c:pt idx="303">
                  <c:v>7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5</c:v>
                </c:pt>
                <c:pt idx="308">
                  <c:v>6</c:v>
                </c:pt>
                <c:pt idx="309">
                  <c:v>10</c:v>
                </c:pt>
                <c:pt idx="310">
                  <c:v>8</c:v>
                </c:pt>
                <c:pt idx="311">
                  <c:v>9</c:v>
                </c:pt>
                <c:pt idx="312">
                  <c:v>10</c:v>
                </c:pt>
                <c:pt idx="313">
                  <c:v>7</c:v>
                </c:pt>
                <c:pt idx="314">
                  <c:v>8</c:v>
                </c:pt>
                <c:pt idx="315">
                  <c:v>9</c:v>
                </c:pt>
                <c:pt idx="316">
                  <c:v>6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6</c:v>
                </c:pt>
                <c:pt idx="321">
                  <c:v>5</c:v>
                </c:pt>
                <c:pt idx="322">
                  <c:v>4</c:v>
                </c:pt>
                <c:pt idx="323">
                  <c:v>5</c:v>
                </c:pt>
                <c:pt idx="324">
                  <c:v>6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7</c:v>
                </c:pt>
                <c:pt idx="333">
                  <c:v>8</c:v>
                </c:pt>
                <c:pt idx="334">
                  <c:v>9</c:v>
                </c:pt>
                <c:pt idx="335">
                  <c:v>5</c:v>
                </c:pt>
                <c:pt idx="336">
                  <c:v>6</c:v>
                </c:pt>
                <c:pt idx="337">
                  <c:v>6</c:v>
                </c:pt>
                <c:pt idx="338">
                  <c:v>7</c:v>
                </c:pt>
                <c:pt idx="339">
                  <c:v>7</c:v>
                </c:pt>
                <c:pt idx="340">
                  <c:v>5</c:v>
                </c:pt>
                <c:pt idx="341">
                  <c:v>3</c:v>
                </c:pt>
                <c:pt idx="342">
                  <c:v>4</c:v>
                </c:pt>
                <c:pt idx="343">
                  <c:v>5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5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7</c:v>
                </c:pt>
                <c:pt idx="355">
                  <c:v>4</c:v>
                </c:pt>
                <c:pt idx="356">
                  <c:v>5</c:v>
                </c:pt>
                <c:pt idx="357">
                  <c:v>6</c:v>
                </c:pt>
                <c:pt idx="358">
                  <c:v>5</c:v>
                </c:pt>
                <c:pt idx="359">
                  <c:v>6</c:v>
                </c:pt>
                <c:pt idx="360">
                  <c:v>6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5</c:v>
                </c:pt>
                <c:pt idx="368">
                  <c:v>6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7</c:v>
                </c:pt>
                <c:pt idx="375">
                  <c:v>8</c:v>
                </c:pt>
                <c:pt idx="376">
                  <c:v>9</c:v>
                </c:pt>
                <c:pt idx="377">
                  <c:v>4</c:v>
                </c:pt>
                <c:pt idx="378">
                  <c:v>5</c:v>
                </c:pt>
                <c:pt idx="379">
                  <c:v>4</c:v>
                </c:pt>
                <c:pt idx="380">
                  <c:v>5</c:v>
                </c:pt>
                <c:pt idx="381">
                  <c:v>4</c:v>
                </c:pt>
                <c:pt idx="382">
                  <c:v>5</c:v>
                </c:pt>
                <c:pt idx="383">
                  <c:v>5</c:v>
                </c:pt>
                <c:pt idx="384">
                  <c:v>6</c:v>
                </c:pt>
                <c:pt idx="385">
                  <c:v>4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5</c:v>
                </c:pt>
                <c:pt idx="390">
                  <c:v>6</c:v>
                </c:pt>
                <c:pt idx="391">
                  <c:v>7</c:v>
                </c:pt>
                <c:pt idx="392">
                  <c:v>6</c:v>
                </c:pt>
                <c:pt idx="393">
                  <c:v>7</c:v>
                </c:pt>
                <c:pt idx="394">
                  <c:v>5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7</c:v>
                </c:pt>
                <c:pt idx="403">
                  <c:v>5</c:v>
                </c:pt>
                <c:pt idx="404">
                  <c:v>4</c:v>
                </c:pt>
                <c:pt idx="405">
                  <c:v>5</c:v>
                </c:pt>
                <c:pt idx="406">
                  <c:v>4</c:v>
                </c:pt>
                <c:pt idx="407">
                  <c:v>5</c:v>
                </c:pt>
                <c:pt idx="408">
                  <c:v>6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5</c:v>
                </c:pt>
                <c:pt idx="415">
                  <c:v>4</c:v>
                </c:pt>
                <c:pt idx="416">
                  <c:v>5</c:v>
                </c:pt>
                <c:pt idx="417">
                  <c:v>6</c:v>
                </c:pt>
                <c:pt idx="418">
                  <c:v>7</c:v>
                </c:pt>
                <c:pt idx="419">
                  <c:v>8</c:v>
                </c:pt>
                <c:pt idx="420">
                  <c:v>9</c:v>
                </c:pt>
                <c:pt idx="421">
                  <c:v>10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6</c:v>
                </c:pt>
                <c:pt idx="426">
                  <c:v>7</c:v>
                </c:pt>
                <c:pt idx="427">
                  <c:v>8</c:v>
                </c:pt>
                <c:pt idx="428">
                  <c:v>9</c:v>
                </c:pt>
                <c:pt idx="429">
                  <c:v>3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4</c:v>
                </c:pt>
                <c:pt idx="439">
                  <c:v>5</c:v>
                </c:pt>
                <c:pt idx="440">
                  <c:v>6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6</c:v>
                </c:pt>
                <c:pt idx="446">
                  <c:v>7</c:v>
                </c:pt>
                <c:pt idx="447">
                  <c:v>4</c:v>
                </c:pt>
                <c:pt idx="448">
                  <c:v>5</c:v>
                </c:pt>
                <c:pt idx="449">
                  <c:v>6</c:v>
                </c:pt>
                <c:pt idx="450">
                  <c:v>7</c:v>
                </c:pt>
                <c:pt idx="451">
                  <c:v>8</c:v>
                </c:pt>
                <c:pt idx="452">
                  <c:v>9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10</c:v>
                </c:pt>
                <c:pt idx="457">
                  <c:v>11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12</c:v>
                </c:pt>
                <c:pt idx="464">
                  <c:v>13</c:v>
                </c:pt>
                <c:pt idx="465">
                  <c:v>14</c:v>
                </c:pt>
                <c:pt idx="466">
                  <c:v>15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6</c:v>
                </c:pt>
                <c:pt idx="471">
                  <c:v>7</c:v>
                </c:pt>
                <c:pt idx="472">
                  <c:v>4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4</c:v>
                </c:pt>
                <c:pt idx="479">
                  <c:v>5</c:v>
                </c:pt>
                <c:pt idx="480">
                  <c:v>3</c:v>
                </c:pt>
                <c:pt idx="481">
                  <c:v>7</c:v>
                </c:pt>
                <c:pt idx="482">
                  <c:v>8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6</c:v>
                </c:pt>
                <c:pt idx="487">
                  <c:v>7</c:v>
                </c:pt>
                <c:pt idx="488">
                  <c:v>8</c:v>
                </c:pt>
                <c:pt idx="489">
                  <c:v>5</c:v>
                </c:pt>
                <c:pt idx="490">
                  <c:v>6</c:v>
                </c:pt>
                <c:pt idx="491">
                  <c:v>7</c:v>
                </c:pt>
                <c:pt idx="492">
                  <c:v>8</c:v>
                </c:pt>
                <c:pt idx="493">
                  <c:v>9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6</c:v>
                </c:pt>
                <c:pt idx="501">
                  <c:v>6</c:v>
                </c:pt>
                <c:pt idx="502">
                  <c:v>7</c:v>
                </c:pt>
                <c:pt idx="503">
                  <c:v>6</c:v>
                </c:pt>
                <c:pt idx="504">
                  <c:v>7</c:v>
                </c:pt>
                <c:pt idx="505">
                  <c:v>5</c:v>
                </c:pt>
                <c:pt idx="506">
                  <c:v>5</c:v>
                </c:pt>
                <c:pt idx="507">
                  <c:v>4</c:v>
                </c:pt>
                <c:pt idx="508">
                  <c:v>5</c:v>
                </c:pt>
                <c:pt idx="509">
                  <c:v>6</c:v>
                </c:pt>
                <c:pt idx="510">
                  <c:v>7</c:v>
                </c:pt>
                <c:pt idx="511">
                  <c:v>6</c:v>
                </c:pt>
                <c:pt idx="512">
                  <c:v>4</c:v>
                </c:pt>
                <c:pt idx="513">
                  <c:v>4</c:v>
                </c:pt>
                <c:pt idx="514">
                  <c:v>5</c:v>
                </c:pt>
                <c:pt idx="515">
                  <c:v>6</c:v>
                </c:pt>
                <c:pt idx="516">
                  <c:v>6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4</c:v>
                </c:pt>
                <c:pt idx="521">
                  <c:v>5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8</c:v>
                </c:pt>
                <c:pt idx="526">
                  <c:v>9</c:v>
                </c:pt>
                <c:pt idx="527">
                  <c:v>10</c:v>
                </c:pt>
                <c:pt idx="528">
                  <c:v>11</c:v>
                </c:pt>
                <c:pt idx="529">
                  <c:v>12</c:v>
                </c:pt>
                <c:pt idx="530">
                  <c:v>10</c:v>
                </c:pt>
                <c:pt idx="531">
                  <c:v>6</c:v>
                </c:pt>
                <c:pt idx="532">
                  <c:v>7</c:v>
                </c:pt>
                <c:pt idx="533">
                  <c:v>13</c:v>
                </c:pt>
                <c:pt idx="534">
                  <c:v>14</c:v>
                </c:pt>
                <c:pt idx="535">
                  <c:v>10</c:v>
                </c:pt>
                <c:pt idx="536">
                  <c:v>11</c:v>
                </c:pt>
                <c:pt idx="537">
                  <c:v>12</c:v>
                </c:pt>
                <c:pt idx="538">
                  <c:v>13</c:v>
                </c:pt>
                <c:pt idx="539">
                  <c:v>5</c:v>
                </c:pt>
                <c:pt idx="540">
                  <c:v>4</c:v>
                </c:pt>
                <c:pt idx="541">
                  <c:v>5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17</c:v>
                </c:pt>
                <c:pt idx="546">
                  <c:v>18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8</c:v>
                </c:pt>
                <c:pt idx="551">
                  <c:v>5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5</c:v>
                </c:pt>
                <c:pt idx="558">
                  <c:v>3</c:v>
                </c:pt>
                <c:pt idx="559">
                  <c:v>4</c:v>
                </c:pt>
                <c:pt idx="560">
                  <c:v>4</c:v>
                </c:pt>
                <c:pt idx="561">
                  <c:v>5</c:v>
                </c:pt>
                <c:pt idx="562">
                  <c:v>4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2</c:v>
                </c:pt>
                <c:pt idx="570">
                  <c:v>3</c:v>
                </c:pt>
                <c:pt idx="571">
                  <c:v>4</c:v>
                </c:pt>
                <c:pt idx="572">
                  <c:v>5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3</c:v>
                </c:pt>
                <c:pt idx="577">
                  <c:v>4</c:v>
                </c:pt>
                <c:pt idx="578">
                  <c:v>5</c:v>
                </c:pt>
                <c:pt idx="579">
                  <c:v>4</c:v>
                </c:pt>
                <c:pt idx="580">
                  <c:v>5</c:v>
                </c:pt>
                <c:pt idx="581">
                  <c:v>6</c:v>
                </c:pt>
                <c:pt idx="582">
                  <c:v>7</c:v>
                </c:pt>
                <c:pt idx="583">
                  <c:v>8</c:v>
                </c:pt>
                <c:pt idx="584">
                  <c:v>3</c:v>
                </c:pt>
                <c:pt idx="585">
                  <c:v>4</c:v>
                </c:pt>
                <c:pt idx="586">
                  <c:v>5</c:v>
                </c:pt>
                <c:pt idx="587">
                  <c:v>4</c:v>
                </c:pt>
                <c:pt idx="588">
                  <c:v>4</c:v>
                </c:pt>
                <c:pt idx="589">
                  <c:v>5</c:v>
                </c:pt>
                <c:pt idx="590">
                  <c:v>6</c:v>
                </c:pt>
                <c:pt idx="591">
                  <c:v>7</c:v>
                </c:pt>
                <c:pt idx="592">
                  <c:v>4</c:v>
                </c:pt>
                <c:pt idx="593">
                  <c:v>5</c:v>
                </c:pt>
                <c:pt idx="594">
                  <c:v>4</c:v>
                </c:pt>
                <c:pt idx="595">
                  <c:v>5</c:v>
                </c:pt>
                <c:pt idx="596">
                  <c:v>6</c:v>
                </c:pt>
                <c:pt idx="597">
                  <c:v>5</c:v>
                </c:pt>
                <c:pt idx="598">
                  <c:v>6</c:v>
                </c:pt>
                <c:pt idx="599">
                  <c:v>7</c:v>
                </c:pt>
                <c:pt idx="600">
                  <c:v>6</c:v>
                </c:pt>
                <c:pt idx="601">
                  <c:v>4</c:v>
                </c:pt>
                <c:pt idx="602">
                  <c:v>4</c:v>
                </c:pt>
                <c:pt idx="603">
                  <c:v>5</c:v>
                </c:pt>
                <c:pt idx="604">
                  <c:v>3</c:v>
                </c:pt>
                <c:pt idx="60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0-4F1E-8AB1-0A708973F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4790095"/>
        <c:axId val="1094774735"/>
      </c:barChart>
      <c:lineChart>
        <c:grouping val="standard"/>
        <c:varyColors val="0"/>
        <c:ser>
          <c:idx val="0"/>
          <c:order val="0"/>
          <c:tx>
            <c:strRef>
              <c:f>连板个股!$A$2</c:f>
              <c:strCache>
                <c:ptCount val="1"/>
                <c:pt idx="0">
                  <c:v>四板以上个股数量五日平均值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连板个股!$GJ$1:$ADQ$1</c:f>
              <c:numCache>
                <c:formatCode>yyyy\-mm\-dd</c:formatCode>
                <c:ptCount val="606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  <c:pt idx="583" formatCode="m/d/yyyy">
                  <c:v>46106</c:v>
                </c:pt>
                <c:pt idx="584" formatCode="m/d/yyyy">
                  <c:v>46107</c:v>
                </c:pt>
                <c:pt idx="585" formatCode="m/d/yyyy">
                  <c:v>46108</c:v>
                </c:pt>
                <c:pt idx="586" formatCode="m/d/yyyy">
                  <c:v>46111</c:v>
                </c:pt>
                <c:pt idx="587" formatCode="m/d/yyyy">
                  <c:v>46112</c:v>
                </c:pt>
                <c:pt idx="588" formatCode="m/d/yyyy">
                  <c:v>46113</c:v>
                </c:pt>
                <c:pt idx="589" formatCode="m/d/yyyy">
                  <c:v>46114</c:v>
                </c:pt>
                <c:pt idx="590" formatCode="m/d/yyyy">
                  <c:v>46115</c:v>
                </c:pt>
                <c:pt idx="591" formatCode="m/d/yyyy">
                  <c:v>46119</c:v>
                </c:pt>
                <c:pt idx="592" formatCode="m/d/yyyy">
                  <c:v>46120</c:v>
                </c:pt>
                <c:pt idx="593" formatCode="m/d/yyyy">
                  <c:v>46121</c:v>
                </c:pt>
                <c:pt idx="594" formatCode="m/d/yyyy">
                  <c:v>46122</c:v>
                </c:pt>
                <c:pt idx="595" formatCode="m/d/yyyy">
                  <c:v>46125</c:v>
                </c:pt>
                <c:pt idx="596" formatCode="m/d/yyyy">
                  <c:v>46126</c:v>
                </c:pt>
                <c:pt idx="597" formatCode="m/d/yyyy">
                  <c:v>46127</c:v>
                </c:pt>
                <c:pt idx="598" formatCode="m/d/yyyy">
                  <c:v>46128</c:v>
                </c:pt>
                <c:pt idx="599" formatCode="m/d/yyyy">
                  <c:v>46129</c:v>
                </c:pt>
                <c:pt idx="600" formatCode="m/d/yyyy">
                  <c:v>46132</c:v>
                </c:pt>
                <c:pt idx="601" formatCode="m/d/yyyy">
                  <c:v>46133</c:v>
                </c:pt>
                <c:pt idx="602" formatCode="m/d/yyyy">
                  <c:v>46134</c:v>
                </c:pt>
                <c:pt idx="603" formatCode="m/d/yyyy">
                  <c:v>46135</c:v>
                </c:pt>
                <c:pt idx="604" formatCode="m/d/yyyy">
                  <c:v>46136</c:v>
                </c:pt>
                <c:pt idx="605" formatCode="m/d/yyyy">
                  <c:v>46139</c:v>
                </c:pt>
              </c:numCache>
            </c:numRef>
          </c:cat>
          <c:val>
            <c:numRef>
              <c:f>连板个股!$GJ$2:$ADQ$2</c:f>
              <c:numCache>
                <c:formatCode>General</c:formatCode>
                <c:ptCount val="606"/>
                <c:pt idx="0">
                  <c:v>4</c:v>
                </c:pt>
                <c:pt idx="1">
                  <c:v>4.4000000000000004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4.5999999999999996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4.2</c:v>
                </c:pt>
                <c:pt idx="9">
                  <c:v>4.4000000000000004</c:v>
                </c:pt>
                <c:pt idx="10">
                  <c:v>3.8</c:v>
                </c:pt>
                <c:pt idx="11">
                  <c:v>3.6</c:v>
                </c:pt>
                <c:pt idx="12">
                  <c:v>3.8</c:v>
                </c:pt>
                <c:pt idx="13">
                  <c:v>3.6</c:v>
                </c:pt>
                <c:pt idx="14">
                  <c:v>3.2</c:v>
                </c:pt>
                <c:pt idx="15">
                  <c:v>3.6</c:v>
                </c:pt>
                <c:pt idx="16">
                  <c:v>3.8</c:v>
                </c:pt>
                <c:pt idx="17">
                  <c:v>4.2</c:v>
                </c:pt>
                <c:pt idx="18">
                  <c:v>5</c:v>
                </c:pt>
                <c:pt idx="19">
                  <c:v>5.6</c:v>
                </c:pt>
                <c:pt idx="20">
                  <c:v>5.2</c:v>
                </c:pt>
                <c:pt idx="21">
                  <c:v>5</c:v>
                </c:pt>
                <c:pt idx="22">
                  <c:v>4.5999999999999996</c:v>
                </c:pt>
                <c:pt idx="23">
                  <c:v>3.6</c:v>
                </c:pt>
                <c:pt idx="24">
                  <c:v>2.8</c:v>
                </c:pt>
                <c:pt idx="25">
                  <c:v>3</c:v>
                </c:pt>
                <c:pt idx="26">
                  <c:v>3.4</c:v>
                </c:pt>
                <c:pt idx="27">
                  <c:v>3.8</c:v>
                </c:pt>
                <c:pt idx="28">
                  <c:v>4.4000000000000004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3.6</c:v>
                </c:pt>
                <c:pt idx="32">
                  <c:v>3</c:v>
                </c:pt>
                <c:pt idx="33">
                  <c:v>2.4</c:v>
                </c:pt>
                <c:pt idx="34">
                  <c:v>2.2000000000000002</c:v>
                </c:pt>
                <c:pt idx="35">
                  <c:v>2.4</c:v>
                </c:pt>
                <c:pt idx="36">
                  <c:v>3</c:v>
                </c:pt>
                <c:pt idx="37">
                  <c:v>2.6</c:v>
                </c:pt>
                <c:pt idx="38">
                  <c:v>2.2000000000000002</c:v>
                </c:pt>
                <c:pt idx="39">
                  <c:v>1.8</c:v>
                </c:pt>
                <c:pt idx="40">
                  <c:v>1.4</c:v>
                </c:pt>
                <c:pt idx="41">
                  <c:v>1</c:v>
                </c:pt>
                <c:pt idx="42">
                  <c:v>1.2</c:v>
                </c:pt>
                <c:pt idx="43">
                  <c:v>1.8</c:v>
                </c:pt>
                <c:pt idx="44">
                  <c:v>2</c:v>
                </c:pt>
                <c:pt idx="45">
                  <c:v>2.4</c:v>
                </c:pt>
                <c:pt idx="46">
                  <c:v>3.2</c:v>
                </c:pt>
                <c:pt idx="47">
                  <c:v>4.2</c:v>
                </c:pt>
                <c:pt idx="48">
                  <c:v>4.5999999999999996</c:v>
                </c:pt>
                <c:pt idx="49">
                  <c:v>4.4000000000000004</c:v>
                </c:pt>
                <c:pt idx="50">
                  <c:v>3.8</c:v>
                </c:pt>
                <c:pt idx="51">
                  <c:v>3.6</c:v>
                </c:pt>
                <c:pt idx="52">
                  <c:v>3.2</c:v>
                </c:pt>
                <c:pt idx="53">
                  <c:v>2.4</c:v>
                </c:pt>
                <c:pt idx="54">
                  <c:v>2.4</c:v>
                </c:pt>
                <c:pt idx="55">
                  <c:v>2.6</c:v>
                </c:pt>
                <c:pt idx="56">
                  <c:v>2</c:v>
                </c:pt>
                <c:pt idx="57">
                  <c:v>1.6</c:v>
                </c:pt>
                <c:pt idx="58">
                  <c:v>1.4</c:v>
                </c:pt>
                <c:pt idx="59">
                  <c:v>1.6</c:v>
                </c:pt>
                <c:pt idx="60">
                  <c:v>1.8</c:v>
                </c:pt>
                <c:pt idx="61">
                  <c:v>2.8</c:v>
                </c:pt>
                <c:pt idx="62">
                  <c:v>3.4</c:v>
                </c:pt>
                <c:pt idx="63">
                  <c:v>3.6</c:v>
                </c:pt>
                <c:pt idx="64">
                  <c:v>3.6</c:v>
                </c:pt>
                <c:pt idx="65">
                  <c:v>5.4</c:v>
                </c:pt>
                <c:pt idx="66">
                  <c:v>6</c:v>
                </c:pt>
                <c:pt idx="67">
                  <c:v>5.6</c:v>
                </c:pt>
                <c:pt idx="68">
                  <c:v>5.4</c:v>
                </c:pt>
                <c:pt idx="69">
                  <c:v>5.2</c:v>
                </c:pt>
                <c:pt idx="70">
                  <c:v>3</c:v>
                </c:pt>
                <c:pt idx="71">
                  <c:v>1.4</c:v>
                </c:pt>
                <c:pt idx="72">
                  <c:v>1.2</c:v>
                </c:pt>
                <c:pt idx="73">
                  <c:v>1.2</c:v>
                </c:pt>
                <c:pt idx="74">
                  <c:v>1.4</c:v>
                </c:pt>
                <c:pt idx="75">
                  <c:v>1.6</c:v>
                </c:pt>
                <c:pt idx="76">
                  <c:v>2</c:v>
                </c:pt>
                <c:pt idx="77">
                  <c:v>3.4</c:v>
                </c:pt>
                <c:pt idx="78">
                  <c:v>7.6</c:v>
                </c:pt>
                <c:pt idx="79">
                  <c:v>11.6</c:v>
                </c:pt>
                <c:pt idx="80">
                  <c:v>15.4</c:v>
                </c:pt>
                <c:pt idx="81">
                  <c:v>17.600000000000001</c:v>
                </c:pt>
                <c:pt idx="82">
                  <c:v>16.8</c:v>
                </c:pt>
                <c:pt idx="83">
                  <c:v>13</c:v>
                </c:pt>
                <c:pt idx="84">
                  <c:v>9.4</c:v>
                </c:pt>
                <c:pt idx="85">
                  <c:v>5.8</c:v>
                </c:pt>
                <c:pt idx="86">
                  <c:v>3.8</c:v>
                </c:pt>
                <c:pt idx="87">
                  <c:v>3.6</c:v>
                </c:pt>
                <c:pt idx="88">
                  <c:v>3.4</c:v>
                </c:pt>
                <c:pt idx="89">
                  <c:v>3.4</c:v>
                </c:pt>
                <c:pt idx="90">
                  <c:v>3.6</c:v>
                </c:pt>
                <c:pt idx="91">
                  <c:v>3.4</c:v>
                </c:pt>
                <c:pt idx="92">
                  <c:v>3.4</c:v>
                </c:pt>
                <c:pt idx="93">
                  <c:v>3.6</c:v>
                </c:pt>
                <c:pt idx="94">
                  <c:v>3.6</c:v>
                </c:pt>
                <c:pt idx="95">
                  <c:v>3.4</c:v>
                </c:pt>
                <c:pt idx="96">
                  <c:v>3.8</c:v>
                </c:pt>
                <c:pt idx="97">
                  <c:v>4.4000000000000004</c:v>
                </c:pt>
                <c:pt idx="98">
                  <c:v>5.2</c:v>
                </c:pt>
                <c:pt idx="99">
                  <c:v>4.8</c:v>
                </c:pt>
                <c:pt idx="100">
                  <c:v>4.8</c:v>
                </c:pt>
                <c:pt idx="101">
                  <c:v>4.5999999999999996</c:v>
                </c:pt>
                <c:pt idx="102">
                  <c:v>4</c:v>
                </c:pt>
                <c:pt idx="103">
                  <c:v>3.4</c:v>
                </c:pt>
                <c:pt idx="104">
                  <c:v>3.4</c:v>
                </c:pt>
                <c:pt idx="105">
                  <c:v>3.8</c:v>
                </c:pt>
                <c:pt idx="106">
                  <c:v>4.2</c:v>
                </c:pt>
                <c:pt idx="107">
                  <c:v>4.4000000000000004</c:v>
                </c:pt>
                <c:pt idx="108">
                  <c:v>4</c:v>
                </c:pt>
                <c:pt idx="109">
                  <c:v>4</c:v>
                </c:pt>
                <c:pt idx="110">
                  <c:v>3.4</c:v>
                </c:pt>
                <c:pt idx="111">
                  <c:v>2.6</c:v>
                </c:pt>
                <c:pt idx="112">
                  <c:v>1.8</c:v>
                </c:pt>
                <c:pt idx="113">
                  <c:v>1.6</c:v>
                </c:pt>
                <c:pt idx="114">
                  <c:v>1.2</c:v>
                </c:pt>
                <c:pt idx="115">
                  <c:v>1.2</c:v>
                </c:pt>
                <c:pt idx="116">
                  <c:v>1.4</c:v>
                </c:pt>
                <c:pt idx="117">
                  <c:v>1.6</c:v>
                </c:pt>
                <c:pt idx="118">
                  <c:v>1.8</c:v>
                </c:pt>
                <c:pt idx="119">
                  <c:v>2</c:v>
                </c:pt>
                <c:pt idx="120">
                  <c:v>1.8</c:v>
                </c:pt>
                <c:pt idx="121">
                  <c:v>1.8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2.2000000000000002</c:v>
                </c:pt>
                <c:pt idx="126">
                  <c:v>2</c:v>
                </c:pt>
                <c:pt idx="127">
                  <c:v>2</c:v>
                </c:pt>
                <c:pt idx="128">
                  <c:v>2.2000000000000002</c:v>
                </c:pt>
                <c:pt idx="129">
                  <c:v>2.4</c:v>
                </c:pt>
                <c:pt idx="130">
                  <c:v>2</c:v>
                </c:pt>
                <c:pt idx="131">
                  <c:v>1.8</c:v>
                </c:pt>
                <c:pt idx="132">
                  <c:v>1.4</c:v>
                </c:pt>
                <c:pt idx="133">
                  <c:v>1</c:v>
                </c:pt>
                <c:pt idx="134">
                  <c:v>1</c:v>
                </c:pt>
                <c:pt idx="135">
                  <c:v>1.2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0.6</c:v>
                </c:pt>
                <c:pt idx="144">
                  <c:v>0.4</c:v>
                </c:pt>
                <c:pt idx="145">
                  <c:v>0.4</c:v>
                </c:pt>
                <c:pt idx="146">
                  <c:v>0.6</c:v>
                </c:pt>
                <c:pt idx="147">
                  <c:v>0.4</c:v>
                </c:pt>
                <c:pt idx="148">
                  <c:v>0.6</c:v>
                </c:pt>
                <c:pt idx="149">
                  <c:v>0.6</c:v>
                </c:pt>
                <c:pt idx="150">
                  <c:v>1</c:v>
                </c:pt>
                <c:pt idx="151">
                  <c:v>1</c:v>
                </c:pt>
                <c:pt idx="152">
                  <c:v>1.4</c:v>
                </c:pt>
                <c:pt idx="153">
                  <c:v>1.4</c:v>
                </c:pt>
                <c:pt idx="154">
                  <c:v>1.4</c:v>
                </c:pt>
                <c:pt idx="155">
                  <c:v>1.2</c:v>
                </c:pt>
                <c:pt idx="156">
                  <c:v>1.4</c:v>
                </c:pt>
                <c:pt idx="157">
                  <c:v>1.6</c:v>
                </c:pt>
                <c:pt idx="158">
                  <c:v>1.6</c:v>
                </c:pt>
                <c:pt idx="159">
                  <c:v>1.4</c:v>
                </c:pt>
                <c:pt idx="160">
                  <c:v>1.4</c:v>
                </c:pt>
                <c:pt idx="161">
                  <c:v>1.4</c:v>
                </c:pt>
                <c:pt idx="162">
                  <c:v>1</c:v>
                </c:pt>
                <c:pt idx="163">
                  <c:v>0.8</c:v>
                </c:pt>
                <c:pt idx="164">
                  <c:v>1.2</c:v>
                </c:pt>
                <c:pt idx="165">
                  <c:v>1.4</c:v>
                </c:pt>
                <c:pt idx="166">
                  <c:v>1.4</c:v>
                </c:pt>
                <c:pt idx="167">
                  <c:v>1.2</c:v>
                </c:pt>
                <c:pt idx="168">
                  <c:v>1.6</c:v>
                </c:pt>
                <c:pt idx="169">
                  <c:v>1.2</c:v>
                </c:pt>
                <c:pt idx="170">
                  <c:v>1</c:v>
                </c:pt>
                <c:pt idx="171">
                  <c:v>0.6</c:v>
                </c:pt>
                <c:pt idx="172">
                  <c:v>0.8</c:v>
                </c:pt>
                <c:pt idx="173">
                  <c:v>0.8</c:v>
                </c:pt>
                <c:pt idx="174">
                  <c:v>1.2</c:v>
                </c:pt>
                <c:pt idx="175">
                  <c:v>1.2</c:v>
                </c:pt>
                <c:pt idx="176">
                  <c:v>1.4</c:v>
                </c:pt>
                <c:pt idx="177">
                  <c:v>1.2</c:v>
                </c:pt>
                <c:pt idx="178">
                  <c:v>0.8</c:v>
                </c:pt>
                <c:pt idx="179">
                  <c:v>0.6</c:v>
                </c:pt>
                <c:pt idx="180">
                  <c:v>0.4</c:v>
                </c:pt>
                <c:pt idx="181">
                  <c:v>0.2</c:v>
                </c:pt>
                <c:pt idx="182">
                  <c:v>0.6</c:v>
                </c:pt>
                <c:pt idx="183">
                  <c:v>1</c:v>
                </c:pt>
                <c:pt idx="184">
                  <c:v>1.2</c:v>
                </c:pt>
                <c:pt idx="185">
                  <c:v>2.4</c:v>
                </c:pt>
                <c:pt idx="186">
                  <c:v>3.4</c:v>
                </c:pt>
                <c:pt idx="187">
                  <c:v>4.2</c:v>
                </c:pt>
                <c:pt idx="188">
                  <c:v>4.8</c:v>
                </c:pt>
                <c:pt idx="189">
                  <c:v>5.2</c:v>
                </c:pt>
                <c:pt idx="190">
                  <c:v>4.5999999999999996</c:v>
                </c:pt>
                <c:pt idx="191">
                  <c:v>4</c:v>
                </c:pt>
                <c:pt idx="192">
                  <c:v>3.2</c:v>
                </c:pt>
                <c:pt idx="193">
                  <c:v>2.4</c:v>
                </c:pt>
                <c:pt idx="194">
                  <c:v>1.6</c:v>
                </c:pt>
                <c:pt idx="195">
                  <c:v>1.2</c:v>
                </c:pt>
                <c:pt idx="196">
                  <c:v>1</c:v>
                </c:pt>
                <c:pt idx="197">
                  <c:v>0.6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1.2</c:v>
                </c:pt>
                <c:pt idx="203">
                  <c:v>1</c:v>
                </c:pt>
                <c:pt idx="204">
                  <c:v>1.2</c:v>
                </c:pt>
                <c:pt idx="205">
                  <c:v>1.2</c:v>
                </c:pt>
                <c:pt idx="206">
                  <c:v>1.4</c:v>
                </c:pt>
                <c:pt idx="207">
                  <c:v>1.4</c:v>
                </c:pt>
                <c:pt idx="208">
                  <c:v>1.4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2</c:v>
                </c:pt>
                <c:pt idx="213">
                  <c:v>2.8</c:v>
                </c:pt>
                <c:pt idx="214">
                  <c:v>3</c:v>
                </c:pt>
                <c:pt idx="215">
                  <c:v>3</c:v>
                </c:pt>
                <c:pt idx="216">
                  <c:v>2.8</c:v>
                </c:pt>
                <c:pt idx="217">
                  <c:v>2.4</c:v>
                </c:pt>
                <c:pt idx="218">
                  <c:v>1.8</c:v>
                </c:pt>
                <c:pt idx="219">
                  <c:v>1.4</c:v>
                </c:pt>
                <c:pt idx="220">
                  <c:v>1.4</c:v>
                </c:pt>
                <c:pt idx="221">
                  <c:v>1.8</c:v>
                </c:pt>
                <c:pt idx="222">
                  <c:v>2.2000000000000002</c:v>
                </c:pt>
                <c:pt idx="223">
                  <c:v>2.8</c:v>
                </c:pt>
                <c:pt idx="224">
                  <c:v>3.2</c:v>
                </c:pt>
                <c:pt idx="225">
                  <c:v>4</c:v>
                </c:pt>
                <c:pt idx="226">
                  <c:v>5.6</c:v>
                </c:pt>
                <c:pt idx="227">
                  <c:v>7.6</c:v>
                </c:pt>
                <c:pt idx="228">
                  <c:v>11.8</c:v>
                </c:pt>
                <c:pt idx="229">
                  <c:v>13.2</c:v>
                </c:pt>
                <c:pt idx="230">
                  <c:v>12.4</c:v>
                </c:pt>
                <c:pt idx="231">
                  <c:v>10.199999999999999</c:v>
                </c:pt>
                <c:pt idx="232">
                  <c:v>7.6</c:v>
                </c:pt>
                <c:pt idx="233">
                  <c:v>2.4</c:v>
                </c:pt>
                <c:pt idx="234">
                  <c:v>0.8</c:v>
                </c:pt>
                <c:pt idx="235">
                  <c:v>2.2000000000000002</c:v>
                </c:pt>
                <c:pt idx="236">
                  <c:v>4</c:v>
                </c:pt>
                <c:pt idx="237">
                  <c:v>6.2</c:v>
                </c:pt>
                <c:pt idx="238">
                  <c:v>8.6</c:v>
                </c:pt>
                <c:pt idx="239">
                  <c:v>10.4</c:v>
                </c:pt>
                <c:pt idx="240">
                  <c:v>10.8</c:v>
                </c:pt>
                <c:pt idx="241">
                  <c:v>11.8</c:v>
                </c:pt>
                <c:pt idx="242">
                  <c:v>12.6</c:v>
                </c:pt>
                <c:pt idx="243">
                  <c:v>13.8</c:v>
                </c:pt>
                <c:pt idx="244">
                  <c:v>17</c:v>
                </c:pt>
                <c:pt idx="245">
                  <c:v>21.2</c:v>
                </c:pt>
                <c:pt idx="246">
                  <c:v>20.8</c:v>
                </c:pt>
                <c:pt idx="247">
                  <c:v>18.399999999999999</c:v>
                </c:pt>
                <c:pt idx="248">
                  <c:v>18</c:v>
                </c:pt>
                <c:pt idx="249">
                  <c:v>15.4</c:v>
                </c:pt>
                <c:pt idx="250">
                  <c:v>11.4</c:v>
                </c:pt>
                <c:pt idx="251">
                  <c:v>11.2</c:v>
                </c:pt>
                <c:pt idx="252">
                  <c:v>11.4</c:v>
                </c:pt>
                <c:pt idx="253">
                  <c:v>8.8000000000000007</c:v>
                </c:pt>
                <c:pt idx="254">
                  <c:v>6.4</c:v>
                </c:pt>
                <c:pt idx="255">
                  <c:v>4.5999999999999996</c:v>
                </c:pt>
                <c:pt idx="256">
                  <c:v>2.8</c:v>
                </c:pt>
                <c:pt idx="257">
                  <c:v>3.2</c:v>
                </c:pt>
                <c:pt idx="258">
                  <c:v>3.4</c:v>
                </c:pt>
                <c:pt idx="259">
                  <c:v>4.5999999999999996</c:v>
                </c:pt>
                <c:pt idx="260">
                  <c:v>6.6</c:v>
                </c:pt>
                <c:pt idx="261">
                  <c:v>9.4</c:v>
                </c:pt>
                <c:pt idx="262">
                  <c:v>11.4</c:v>
                </c:pt>
                <c:pt idx="263">
                  <c:v>12.4</c:v>
                </c:pt>
                <c:pt idx="264">
                  <c:v>12.2</c:v>
                </c:pt>
                <c:pt idx="265">
                  <c:v>11</c:v>
                </c:pt>
                <c:pt idx="266">
                  <c:v>10</c:v>
                </c:pt>
                <c:pt idx="267">
                  <c:v>9.6</c:v>
                </c:pt>
                <c:pt idx="268">
                  <c:v>10.4</c:v>
                </c:pt>
                <c:pt idx="269">
                  <c:v>12</c:v>
                </c:pt>
                <c:pt idx="270">
                  <c:v>13.6</c:v>
                </c:pt>
                <c:pt idx="271">
                  <c:v>13.4</c:v>
                </c:pt>
                <c:pt idx="272">
                  <c:v>11.8</c:v>
                </c:pt>
                <c:pt idx="273">
                  <c:v>11</c:v>
                </c:pt>
                <c:pt idx="274">
                  <c:v>9.4</c:v>
                </c:pt>
                <c:pt idx="275">
                  <c:v>8.4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7.2</c:v>
                </c:pt>
                <c:pt idx="279">
                  <c:v>6.8</c:v>
                </c:pt>
                <c:pt idx="280">
                  <c:v>5.8</c:v>
                </c:pt>
                <c:pt idx="281">
                  <c:v>4.4000000000000004</c:v>
                </c:pt>
                <c:pt idx="282">
                  <c:v>3.4</c:v>
                </c:pt>
                <c:pt idx="283">
                  <c:v>3.2</c:v>
                </c:pt>
                <c:pt idx="284">
                  <c:v>2.8</c:v>
                </c:pt>
                <c:pt idx="285">
                  <c:v>2.4</c:v>
                </c:pt>
                <c:pt idx="286">
                  <c:v>2.2000000000000002</c:v>
                </c:pt>
                <c:pt idx="287">
                  <c:v>2.2000000000000002</c:v>
                </c:pt>
                <c:pt idx="288">
                  <c:v>2</c:v>
                </c:pt>
                <c:pt idx="289">
                  <c:v>2</c:v>
                </c:pt>
                <c:pt idx="290">
                  <c:v>2.2000000000000002</c:v>
                </c:pt>
                <c:pt idx="291">
                  <c:v>2.4</c:v>
                </c:pt>
                <c:pt idx="292">
                  <c:v>2.4</c:v>
                </c:pt>
                <c:pt idx="293">
                  <c:v>3.4</c:v>
                </c:pt>
                <c:pt idx="294">
                  <c:v>4.8</c:v>
                </c:pt>
                <c:pt idx="295">
                  <c:v>4.8</c:v>
                </c:pt>
                <c:pt idx="296">
                  <c:v>4.5999999999999996</c:v>
                </c:pt>
                <c:pt idx="297">
                  <c:v>5</c:v>
                </c:pt>
                <c:pt idx="298">
                  <c:v>4.4000000000000004</c:v>
                </c:pt>
                <c:pt idx="299">
                  <c:v>3.2</c:v>
                </c:pt>
                <c:pt idx="300">
                  <c:v>4.2</c:v>
                </c:pt>
                <c:pt idx="301">
                  <c:v>4.5999999999999996</c:v>
                </c:pt>
                <c:pt idx="302">
                  <c:v>4.4000000000000004</c:v>
                </c:pt>
                <c:pt idx="303">
                  <c:v>4.5999999999999996</c:v>
                </c:pt>
                <c:pt idx="304">
                  <c:v>4.5999999999999996</c:v>
                </c:pt>
                <c:pt idx="305">
                  <c:v>3.8</c:v>
                </c:pt>
                <c:pt idx="306">
                  <c:v>3.6</c:v>
                </c:pt>
                <c:pt idx="307">
                  <c:v>3.2</c:v>
                </c:pt>
                <c:pt idx="308">
                  <c:v>2.6</c:v>
                </c:pt>
                <c:pt idx="309">
                  <c:v>3.4</c:v>
                </c:pt>
                <c:pt idx="310">
                  <c:v>4.2</c:v>
                </c:pt>
                <c:pt idx="311">
                  <c:v>6</c:v>
                </c:pt>
                <c:pt idx="312">
                  <c:v>7.4</c:v>
                </c:pt>
                <c:pt idx="313">
                  <c:v>7.8</c:v>
                </c:pt>
                <c:pt idx="314">
                  <c:v>7.2</c:v>
                </c:pt>
                <c:pt idx="315">
                  <c:v>6.4</c:v>
                </c:pt>
                <c:pt idx="316">
                  <c:v>4.8</c:v>
                </c:pt>
                <c:pt idx="317">
                  <c:v>3.4</c:v>
                </c:pt>
                <c:pt idx="318">
                  <c:v>3.8</c:v>
                </c:pt>
                <c:pt idx="319">
                  <c:v>3.2</c:v>
                </c:pt>
                <c:pt idx="320">
                  <c:v>3.4</c:v>
                </c:pt>
                <c:pt idx="321">
                  <c:v>3</c:v>
                </c:pt>
                <c:pt idx="322">
                  <c:v>4</c:v>
                </c:pt>
                <c:pt idx="323">
                  <c:v>3.8</c:v>
                </c:pt>
                <c:pt idx="324">
                  <c:v>3.6</c:v>
                </c:pt>
                <c:pt idx="325">
                  <c:v>2.8</c:v>
                </c:pt>
                <c:pt idx="326">
                  <c:v>2.8</c:v>
                </c:pt>
                <c:pt idx="327">
                  <c:v>1.8</c:v>
                </c:pt>
                <c:pt idx="328">
                  <c:v>1.2</c:v>
                </c:pt>
                <c:pt idx="329">
                  <c:v>1.6</c:v>
                </c:pt>
                <c:pt idx="330">
                  <c:v>1.6</c:v>
                </c:pt>
                <c:pt idx="331">
                  <c:v>2</c:v>
                </c:pt>
                <c:pt idx="332">
                  <c:v>2.4</c:v>
                </c:pt>
                <c:pt idx="333">
                  <c:v>2.8</c:v>
                </c:pt>
                <c:pt idx="334">
                  <c:v>2.6</c:v>
                </c:pt>
                <c:pt idx="335">
                  <c:v>3</c:v>
                </c:pt>
                <c:pt idx="336">
                  <c:v>3.6</c:v>
                </c:pt>
                <c:pt idx="337">
                  <c:v>3.6</c:v>
                </c:pt>
                <c:pt idx="338">
                  <c:v>4.2</c:v>
                </c:pt>
                <c:pt idx="339">
                  <c:v>4.5999999999999996</c:v>
                </c:pt>
                <c:pt idx="340">
                  <c:v>4.5999999999999996</c:v>
                </c:pt>
                <c:pt idx="341">
                  <c:v>3.4</c:v>
                </c:pt>
                <c:pt idx="342">
                  <c:v>3.2</c:v>
                </c:pt>
                <c:pt idx="343">
                  <c:v>2.2000000000000002</c:v>
                </c:pt>
                <c:pt idx="344">
                  <c:v>1.4</c:v>
                </c:pt>
                <c:pt idx="345">
                  <c:v>1</c:v>
                </c:pt>
                <c:pt idx="346">
                  <c:v>1.2</c:v>
                </c:pt>
                <c:pt idx="347">
                  <c:v>1.2</c:v>
                </c:pt>
                <c:pt idx="348">
                  <c:v>0.8</c:v>
                </c:pt>
                <c:pt idx="349">
                  <c:v>1</c:v>
                </c:pt>
                <c:pt idx="350">
                  <c:v>1.2</c:v>
                </c:pt>
                <c:pt idx="351">
                  <c:v>2.4</c:v>
                </c:pt>
                <c:pt idx="352">
                  <c:v>2.8</c:v>
                </c:pt>
                <c:pt idx="353">
                  <c:v>3.6</c:v>
                </c:pt>
                <c:pt idx="354">
                  <c:v>3.8</c:v>
                </c:pt>
                <c:pt idx="355">
                  <c:v>3.8</c:v>
                </c:pt>
                <c:pt idx="356">
                  <c:v>2.8</c:v>
                </c:pt>
                <c:pt idx="357">
                  <c:v>2.8</c:v>
                </c:pt>
                <c:pt idx="358">
                  <c:v>3</c:v>
                </c:pt>
                <c:pt idx="359">
                  <c:v>3.6</c:v>
                </c:pt>
                <c:pt idx="360">
                  <c:v>4.2</c:v>
                </c:pt>
                <c:pt idx="361">
                  <c:v>4.2</c:v>
                </c:pt>
                <c:pt idx="362">
                  <c:v>4.2</c:v>
                </c:pt>
                <c:pt idx="363">
                  <c:v>3.6</c:v>
                </c:pt>
                <c:pt idx="364">
                  <c:v>2.8</c:v>
                </c:pt>
                <c:pt idx="365">
                  <c:v>2</c:v>
                </c:pt>
                <c:pt idx="366">
                  <c:v>2</c:v>
                </c:pt>
                <c:pt idx="367">
                  <c:v>1.4</c:v>
                </c:pt>
                <c:pt idx="368">
                  <c:v>1.6</c:v>
                </c:pt>
                <c:pt idx="369">
                  <c:v>1.8</c:v>
                </c:pt>
                <c:pt idx="370">
                  <c:v>2.2000000000000002</c:v>
                </c:pt>
                <c:pt idx="371">
                  <c:v>2.6</c:v>
                </c:pt>
                <c:pt idx="372">
                  <c:v>3</c:v>
                </c:pt>
                <c:pt idx="373">
                  <c:v>3.2</c:v>
                </c:pt>
                <c:pt idx="374">
                  <c:v>3.4</c:v>
                </c:pt>
                <c:pt idx="375">
                  <c:v>4</c:v>
                </c:pt>
                <c:pt idx="376">
                  <c:v>4</c:v>
                </c:pt>
                <c:pt idx="377">
                  <c:v>3.8</c:v>
                </c:pt>
                <c:pt idx="378">
                  <c:v>3.6</c:v>
                </c:pt>
                <c:pt idx="379">
                  <c:v>4</c:v>
                </c:pt>
                <c:pt idx="380">
                  <c:v>3</c:v>
                </c:pt>
                <c:pt idx="381">
                  <c:v>2.4</c:v>
                </c:pt>
                <c:pt idx="382">
                  <c:v>2.8</c:v>
                </c:pt>
                <c:pt idx="383">
                  <c:v>2.6</c:v>
                </c:pt>
                <c:pt idx="384">
                  <c:v>2.6</c:v>
                </c:pt>
                <c:pt idx="385">
                  <c:v>2.8</c:v>
                </c:pt>
                <c:pt idx="386">
                  <c:v>3.2</c:v>
                </c:pt>
                <c:pt idx="387">
                  <c:v>2.6</c:v>
                </c:pt>
                <c:pt idx="388">
                  <c:v>2.4</c:v>
                </c:pt>
                <c:pt idx="389">
                  <c:v>2</c:v>
                </c:pt>
                <c:pt idx="390">
                  <c:v>2.4</c:v>
                </c:pt>
                <c:pt idx="391">
                  <c:v>2.2000000000000002</c:v>
                </c:pt>
                <c:pt idx="392">
                  <c:v>2.6</c:v>
                </c:pt>
                <c:pt idx="393">
                  <c:v>3</c:v>
                </c:pt>
                <c:pt idx="394">
                  <c:v>2.6</c:v>
                </c:pt>
                <c:pt idx="395">
                  <c:v>2</c:v>
                </c:pt>
                <c:pt idx="396">
                  <c:v>1.6</c:v>
                </c:pt>
                <c:pt idx="397">
                  <c:v>2</c:v>
                </c:pt>
                <c:pt idx="398">
                  <c:v>1.8</c:v>
                </c:pt>
                <c:pt idx="399">
                  <c:v>2</c:v>
                </c:pt>
                <c:pt idx="400">
                  <c:v>2.4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2.6</c:v>
                </c:pt>
                <c:pt idx="407">
                  <c:v>1.8</c:v>
                </c:pt>
                <c:pt idx="408">
                  <c:v>2</c:v>
                </c:pt>
                <c:pt idx="409">
                  <c:v>2</c:v>
                </c:pt>
                <c:pt idx="410">
                  <c:v>1.4</c:v>
                </c:pt>
                <c:pt idx="411">
                  <c:v>2</c:v>
                </c:pt>
                <c:pt idx="412">
                  <c:v>2.8</c:v>
                </c:pt>
                <c:pt idx="413">
                  <c:v>3.2</c:v>
                </c:pt>
                <c:pt idx="414">
                  <c:v>3.4</c:v>
                </c:pt>
                <c:pt idx="415">
                  <c:v>3.8</c:v>
                </c:pt>
                <c:pt idx="416">
                  <c:v>3.2</c:v>
                </c:pt>
                <c:pt idx="417">
                  <c:v>3.2</c:v>
                </c:pt>
                <c:pt idx="418">
                  <c:v>2.8</c:v>
                </c:pt>
                <c:pt idx="419">
                  <c:v>2.6</c:v>
                </c:pt>
                <c:pt idx="420">
                  <c:v>2.4</c:v>
                </c:pt>
                <c:pt idx="421">
                  <c:v>3</c:v>
                </c:pt>
                <c:pt idx="422">
                  <c:v>2.2000000000000002</c:v>
                </c:pt>
                <c:pt idx="423">
                  <c:v>4.2</c:v>
                </c:pt>
                <c:pt idx="424">
                  <c:v>4.4000000000000004</c:v>
                </c:pt>
                <c:pt idx="425">
                  <c:v>4.5999999999999996</c:v>
                </c:pt>
                <c:pt idx="426">
                  <c:v>4</c:v>
                </c:pt>
                <c:pt idx="427">
                  <c:v>4</c:v>
                </c:pt>
                <c:pt idx="428">
                  <c:v>1.8</c:v>
                </c:pt>
                <c:pt idx="429">
                  <c:v>1.2</c:v>
                </c:pt>
                <c:pt idx="430">
                  <c:v>1</c:v>
                </c:pt>
                <c:pt idx="431">
                  <c:v>1.2</c:v>
                </c:pt>
                <c:pt idx="432">
                  <c:v>1.4</c:v>
                </c:pt>
                <c:pt idx="433">
                  <c:v>2</c:v>
                </c:pt>
                <c:pt idx="434">
                  <c:v>2.8</c:v>
                </c:pt>
                <c:pt idx="435">
                  <c:v>2.6</c:v>
                </c:pt>
                <c:pt idx="436">
                  <c:v>2.4</c:v>
                </c:pt>
                <c:pt idx="437">
                  <c:v>2.6</c:v>
                </c:pt>
                <c:pt idx="438">
                  <c:v>1.8</c:v>
                </c:pt>
                <c:pt idx="439">
                  <c:v>1.2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2.4</c:v>
                </c:pt>
                <c:pt idx="444">
                  <c:v>3</c:v>
                </c:pt>
                <c:pt idx="445">
                  <c:v>2.4</c:v>
                </c:pt>
                <c:pt idx="446">
                  <c:v>2.4</c:v>
                </c:pt>
                <c:pt idx="447">
                  <c:v>2</c:v>
                </c:pt>
                <c:pt idx="448">
                  <c:v>1.8</c:v>
                </c:pt>
                <c:pt idx="449">
                  <c:v>1.4</c:v>
                </c:pt>
                <c:pt idx="450">
                  <c:v>1.6</c:v>
                </c:pt>
                <c:pt idx="451">
                  <c:v>1.8</c:v>
                </c:pt>
                <c:pt idx="452">
                  <c:v>1.8</c:v>
                </c:pt>
                <c:pt idx="453">
                  <c:v>1.6</c:v>
                </c:pt>
                <c:pt idx="454">
                  <c:v>1.4</c:v>
                </c:pt>
                <c:pt idx="455">
                  <c:v>1</c:v>
                </c:pt>
                <c:pt idx="456">
                  <c:v>1.2</c:v>
                </c:pt>
                <c:pt idx="457">
                  <c:v>1.4</c:v>
                </c:pt>
                <c:pt idx="458">
                  <c:v>1.4</c:v>
                </c:pt>
                <c:pt idx="459">
                  <c:v>1.8</c:v>
                </c:pt>
                <c:pt idx="460">
                  <c:v>1.8</c:v>
                </c:pt>
                <c:pt idx="461">
                  <c:v>1.4</c:v>
                </c:pt>
                <c:pt idx="462">
                  <c:v>1.8</c:v>
                </c:pt>
                <c:pt idx="463">
                  <c:v>3.2</c:v>
                </c:pt>
                <c:pt idx="464">
                  <c:v>3.2</c:v>
                </c:pt>
                <c:pt idx="465">
                  <c:v>3.6</c:v>
                </c:pt>
                <c:pt idx="466">
                  <c:v>4</c:v>
                </c:pt>
                <c:pt idx="467">
                  <c:v>3.4</c:v>
                </c:pt>
                <c:pt idx="468">
                  <c:v>2.6</c:v>
                </c:pt>
                <c:pt idx="469">
                  <c:v>2.2000000000000002</c:v>
                </c:pt>
                <c:pt idx="470">
                  <c:v>1.8</c:v>
                </c:pt>
                <c:pt idx="471">
                  <c:v>1.6</c:v>
                </c:pt>
                <c:pt idx="472">
                  <c:v>1.6</c:v>
                </c:pt>
                <c:pt idx="473">
                  <c:v>1</c:v>
                </c:pt>
                <c:pt idx="474">
                  <c:v>1</c:v>
                </c:pt>
                <c:pt idx="475">
                  <c:v>1.2</c:v>
                </c:pt>
                <c:pt idx="476">
                  <c:v>0.8</c:v>
                </c:pt>
                <c:pt idx="477">
                  <c:v>0.6</c:v>
                </c:pt>
                <c:pt idx="478">
                  <c:v>1</c:v>
                </c:pt>
                <c:pt idx="479">
                  <c:v>1.4</c:v>
                </c:pt>
                <c:pt idx="480">
                  <c:v>1.2</c:v>
                </c:pt>
                <c:pt idx="481">
                  <c:v>1.4</c:v>
                </c:pt>
                <c:pt idx="482">
                  <c:v>2.2000000000000002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2.8</c:v>
                </c:pt>
                <c:pt idx="486">
                  <c:v>3.2</c:v>
                </c:pt>
                <c:pt idx="487">
                  <c:v>2.8</c:v>
                </c:pt>
                <c:pt idx="488">
                  <c:v>3</c:v>
                </c:pt>
                <c:pt idx="489">
                  <c:v>2.6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2.2000000000000002</c:v>
                </c:pt>
                <c:pt idx="495">
                  <c:v>2.4</c:v>
                </c:pt>
                <c:pt idx="496">
                  <c:v>2.4</c:v>
                </c:pt>
                <c:pt idx="497">
                  <c:v>3.4</c:v>
                </c:pt>
                <c:pt idx="498">
                  <c:v>4.2</c:v>
                </c:pt>
                <c:pt idx="499">
                  <c:v>5.2</c:v>
                </c:pt>
                <c:pt idx="500">
                  <c:v>5.8</c:v>
                </c:pt>
                <c:pt idx="501">
                  <c:v>6.2</c:v>
                </c:pt>
                <c:pt idx="502">
                  <c:v>5.6</c:v>
                </c:pt>
                <c:pt idx="503">
                  <c:v>4.5999999999999996</c:v>
                </c:pt>
                <c:pt idx="504">
                  <c:v>3.8</c:v>
                </c:pt>
                <c:pt idx="505">
                  <c:v>3.2</c:v>
                </c:pt>
                <c:pt idx="506">
                  <c:v>3</c:v>
                </c:pt>
                <c:pt idx="507">
                  <c:v>2.6</c:v>
                </c:pt>
                <c:pt idx="508">
                  <c:v>2.6</c:v>
                </c:pt>
                <c:pt idx="509">
                  <c:v>2.6</c:v>
                </c:pt>
                <c:pt idx="510">
                  <c:v>3.4</c:v>
                </c:pt>
                <c:pt idx="511">
                  <c:v>3.4</c:v>
                </c:pt>
                <c:pt idx="512">
                  <c:v>3.2</c:v>
                </c:pt>
                <c:pt idx="513">
                  <c:v>3.2</c:v>
                </c:pt>
                <c:pt idx="514">
                  <c:v>3.4</c:v>
                </c:pt>
                <c:pt idx="515">
                  <c:v>3</c:v>
                </c:pt>
                <c:pt idx="516">
                  <c:v>2.8</c:v>
                </c:pt>
                <c:pt idx="517">
                  <c:v>3.2</c:v>
                </c:pt>
                <c:pt idx="518">
                  <c:v>3</c:v>
                </c:pt>
                <c:pt idx="519">
                  <c:v>2.4</c:v>
                </c:pt>
                <c:pt idx="520">
                  <c:v>2.2000000000000002</c:v>
                </c:pt>
                <c:pt idx="521">
                  <c:v>2</c:v>
                </c:pt>
                <c:pt idx="522">
                  <c:v>2</c:v>
                </c:pt>
                <c:pt idx="523">
                  <c:v>2.2000000000000002</c:v>
                </c:pt>
                <c:pt idx="524">
                  <c:v>2.8</c:v>
                </c:pt>
                <c:pt idx="525">
                  <c:v>3</c:v>
                </c:pt>
                <c:pt idx="526">
                  <c:v>3.4</c:v>
                </c:pt>
                <c:pt idx="527">
                  <c:v>4.2</c:v>
                </c:pt>
                <c:pt idx="528">
                  <c:v>4.8</c:v>
                </c:pt>
                <c:pt idx="529">
                  <c:v>5.4</c:v>
                </c:pt>
                <c:pt idx="530">
                  <c:v>5.6</c:v>
                </c:pt>
                <c:pt idx="531">
                  <c:v>5.4</c:v>
                </c:pt>
                <c:pt idx="532">
                  <c:v>4.4000000000000004</c:v>
                </c:pt>
                <c:pt idx="533">
                  <c:v>4.4000000000000004</c:v>
                </c:pt>
                <c:pt idx="534">
                  <c:v>4</c:v>
                </c:pt>
                <c:pt idx="535">
                  <c:v>4.8</c:v>
                </c:pt>
                <c:pt idx="536">
                  <c:v>5.6</c:v>
                </c:pt>
                <c:pt idx="537">
                  <c:v>6.8</c:v>
                </c:pt>
                <c:pt idx="538">
                  <c:v>6.8</c:v>
                </c:pt>
                <c:pt idx="539">
                  <c:v>6.8</c:v>
                </c:pt>
                <c:pt idx="540">
                  <c:v>5.4</c:v>
                </c:pt>
                <c:pt idx="541">
                  <c:v>4.2</c:v>
                </c:pt>
                <c:pt idx="542">
                  <c:v>3</c:v>
                </c:pt>
                <c:pt idx="543">
                  <c:v>2.2000000000000002</c:v>
                </c:pt>
                <c:pt idx="544">
                  <c:v>1.6</c:v>
                </c:pt>
                <c:pt idx="545">
                  <c:v>1.6</c:v>
                </c:pt>
                <c:pt idx="546">
                  <c:v>2</c:v>
                </c:pt>
                <c:pt idx="547">
                  <c:v>1.8</c:v>
                </c:pt>
                <c:pt idx="548">
                  <c:v>1.8</c:v>
                </c:pt>
                <c:pt idx="549">
                  <c:v>2.4</c:v>
                </c:pt>
                <c:pt idx="550">
                  <c:v>3</c:v>
                </c:pt>
                <c:pt idx="551">
                  <c:v>2.6</c:v>
                </c:pt>
                <c:pt idx="552">
                  <c:v>2.4</c:v>
                </c:pt>
                <c:pt idx="553">
                  <c:v>2.8</c:v>
                </c:pt>
                <c:pt idx="554">
                  <c:v>2.2000000000000002</c:v>
                </c:pt>
                <c:pt idx="555">
                  <c:v>1.4</c:v>
                </c:pt>
                <c:pt idx="556">
                  <c:v>1.4</c:v>
                </c:pt>
                <c:pt idx="557">
                  <c:v>2</c:v>
                </c:pt>
                <c:pt idx="558">
                  <c:v>1.4</c:v>
                </c:pt>
                <c:pt idx="559">
                  <c:v>1.2</c:v>
                </c:pt>
                <c:pt idx="560">
                  <c:v>1.8</c:v>
                </c:pt>
                <c:pt idx="561">
                  <c:v>1.8</c:v>
                </c:pt>
                <c:pt idx="562">
                  <c:v>1.6</c:v>
                </c:pt>
                <c:pt idx="563">
                  <c:v>2</c:v>
                </c:pt>
                <c:pt idx="564">
                  <c:v>2.2000000000000002</c:v>
                </c:pt>
                <c:pt idx="565">
                  <c:v>1.8</c:v>
                </c:pt>
                <c:pt idx="566">
                  <c:v>1.6</c:v>
                </c:pt>
                <c:pt idx="567">
                  <c:v>1.2</c:v>
                </c:pt>
                <c:pt idx="568">
                  <c:v>1.2</c:v>
                </c:pt>
                <c:pt idx="569">
                  <c:v>0.8</c:v>
                </c:pt>
                <c:pt idx="570">
                  <c:v>0.4</c:v>
                </c:pt>
                <c:pt idx="571">
                  <c:v>0.8</c:v>
                </c:pt>
                <c:pt idx="572">
                  <c:v>1</c:v>
                </c:pt>
                <c:pt idx="573">
                  <c:v>0.8</c:v>
                </c:pt>
                <c:pt idx="574">
                  <c:v>1</c:v>
                </c:pt>
                <c:pt idx="575">
                  <c:v>1.4</c:v>
                </c:pt>
                <c:pt idx="576">
                  <c:v>1</c:v>
                </c:pt>
                <c:pt idx="577">
                  <c:v>1.2</c:v>
                </c:pt>
                <c:pt idx="578">
                  <c:v>1.2</c:v>
                </c:pt>
                <c:pt idx="579">
                  <c:v>1.4</c:v>
                </c:pt>
                <c:pt idx="580">
                  <c:v>1.4</c:v>
                </c:pt>
                <c:pt idx="581">
                  <c:v>1.8</c:v>
                </c:pt>
                <c:pt idx="582">
                  <c:v>1.6</c:v>
                </c:pt>
                <c:pt idx="583">
                  <c:v>1.8</c:v>
                </c:pt>
                <c:pt idx="584">
                  <c:v>1.4</c:v>
                </c:pt>
                <c:pt idx="585">
                  <c:v>2.2000000000000002</c:v>
                </c:pt>
                <c:pt idx="586">
                  <c:v>2</c:v>
                </c:pt>
                <c:pt idx="587">
                  <c:v>2</c:v>
                </c:pt>
                <c:pt idx="588">
                  <c:v>1.8</c:v>
                </c:pt>
                <c:pt idx="589">
                  <c:v>2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1.2</c:v>
                </c:pt>
                <c:pt idx="596">
                  <c:v>1.6</c:v>
                </c:pt>
                <c:pt idx="597">
                  <c:v>1.6</c:v>
                </c:pt>
                <c:pt idx="598">
                  <c:v>1.8</c:v>
                </c:pt>
                <c:pt idx="599">
                  <c:v>2.2000000000000002</c:v>
                </c:pt>
                <c:pt idx="600">
                  <c:v>2</c:v>
                </c:pt>
                <c:pt idx="601">
                  <c:v>1.6</c:v>
                </c:pt>
                <c:pt idx="602">
                  <c:v>1.8</c:v>
                </c:pt>
                <c:pt idx="603">
                  <c:v>1.6</c:v>
                </c:pt>
                <c:pt idx="604">
                  <c:v>1</c:v>
                </c:pt>
                <c:pt idx="60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C0-4F1E-8AB1-0A708973F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783855"/>
        <c:axId val="1094788655"/>
      </c:lineChart>
      <c:dateAx>
        <c:axId val="1094790095"/>
        <c:scaling>
          <c:orientation val="minMax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74735"/>
        <c:crosses val="autoZero"/>
        <c:auto val="1"/>
        <c:lblOffset val="100"/>
        <c:baseTimeUnit val="days"/>
        <c:majorUnit val="2"/>
        <c:majorTimeUnit val="months"/>
        <c:minorUnit val="4"/>
        <c:minorTimeUnit val="days"/>
      </c:dateAx>
      <c:valAx>
        <c:axId val="109477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90095"/>
        <c:crosses val="autoZero"/>
        <c:crossBetween val="between"/>
      </c:valAx>
      <c:dateAx>
        <c:axId val="109478385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094788655"/>
        <c:crosses val="autoZero"/>
        <c:auto val="1"/>
        <c:lblOffset val="100"/>
        <c:baseTimeUnit val="days"/>
      </c:dateAx>
      <c:valAx>
        <c:axId val="1094788655"/>
        <c:scaling>
          <c:orientation val="minMax"/>
          <c:max val="2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83855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374559053154841E-2"/>
          <c:y val="9.5855687185115834E-2"/>
          <c:w val="0.93250946205126972"/>
          <c:h val="0.862357298969111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连板个股!$A$3</c:f>
              <c:strCache>
                <c:ptCount val="1"/>
                <c:pt idx="0">
                  <c:v>最高板</c:v>
                </c:pt>
              </c:strCache>
            </c:strRef>
          </c:tx>
          <c:spPr>
            <a:solidFill>
              <a:srgbClr val="FF8080"/>
            </a:solidFill>
            <a:ln w="25400">
              <a:solidFill>
                <a:srgbClr val="FF8080"/>
              </a:solidFill>
            </a:ln>
            <a:effectLst/>
          </c:spPr>
          <c:invertIfNegative val="0"/>
          <c:dPt>
            <c:idx val="196"/>
            <c:invertIfNegative val="0"/>
            <c:bubble3D val="0"/>
            <c:spPr>
              <a:solidFill>
                <a:srgbClr val="FF8080"/>
              </a:solidFill>
              <a:ln w="38100">
                <a:solidFill>
                  <a:srgbClr val="FF8080"/>
                </a:solidFill>
              </a:ln>
              <a:effectLst/>
              <a:sp3d contourW="38100"/>
            </c:spPr>
            <c:extLst>
              <c:ext xmlns:c16="http://schemas.microsoft.com/office/drawing/2014/chart" uri="{C3380CC4-5D6E-409C-BE32-E72D297353CC}">
                <c16:uniqueId val="{00000001-4B16-42BC-A6DE-9C869878626F}"/>
              </c:ext>
            </c:extLst>
          </c:dPt>
          <c:cat>
            <c:numRef>
              <c:f>连板个股!$GJ$1:$ADW$1</c:f>
              <c:numCache>
                <c:formatCode>yyyy\-mm\-dd</c:formatCode>
                <c:ptCount val="612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  <c:pt idx="583" formatCode="m/d/yyyy">
                  <c:v>46106</c:v>
                </c:pt>
                <c:pt idx="584" formatCode="m/d/yyyy">
                  <c:v>46107</c:v>
                </c:pt>
                <c:pt idx="585" formatCode="m/d/yyyy">
                  <c:v>46108</c:v>
                </c:pt>
                <c:pt idx="586" formatCode="m/d/yyyy">
                  <c:v>46111</c:v>
                </c:pt>
                <c:pt idx="587" formatCode="m/d/yyyy">
                  <c:v>46112</c:v>
                </c:pt>
                <c:pt idx="588" formatCode="m/d/yyyy">
                  <c:v>46113</c:v>
                </c:pt>
                <c:pt idx="589" formatCode="m/d/yyyy">
                  <c:v>46114</c:v>
                </c:pt>
                <c:pt idx="590" formatCode="m/d/yyyy">
                  <c:v>46115</c:v>
                </c:pt>
                <c:pt idx="591" formatCode="m/d/yyyy">
                  <c:v>46119</c:v>
                </c:pt>
                <c:pt idx="592" formatCode="m/d/yyyy">
                  <c:v>46120</c:v>
                </c:pt>
                <c:pt idx="593" formatCode="m/d/yyyy">
                  <c:v>46121</c:v>
                </c:pt>
                <c:pt idx="594" formatCode="m/d/yyyy">
                  <c:v>46122</c:v>
                </c:pt>
                <c:pt idx="595" formatCode="m/d/yyyy">
                  <c:v>46125</c:v>
                </c:pt>
                <c:pt idx="596" formatCode="m/d/yyyy">
                  <c:v>46126</c:v>
                </c:pt>
                <c:pt idx="597" formatCode="m/d/yyyy">
                  <c:v>46127</c:v>
                </c:pt>
                <c:pt idx="598" formatCode="m/d/yyyy">
                  <c:v>46128</c:v>
                </c:pt>
                <c:pt idx="599" formatCode="m/d/yyyy">
                  <c:v>46129</c:v>
                </c:pt>
                <c:pt idx="600" formatCode="m/d/yyyy">
                  <c:v>46132</c:v>
                </c:pt>
                <c:pt idx="601" formatCode="m/d/yyyy">
                  <c:v>46133</c:v>
                </c:pt>
                <c:pt idx="602" formatCode="m/d/yyyy">
                  <c:v>46134</c:v>
                </c:pt>
                <c:pt idx="603" formatCode="m/d/yyyy">
                  <c:v>46135</c:v>
                </c:pt>
                <c:pt idx="604" formatCode="m/d/yyyy">
                  <c:v>46136</c:v>
                </c:pt>
                <c:pt idx="605" formatCode="m/d/yyyy">
                  <c:v>46139</c:v>
                </c:pt>
                <c:pt idx="606" formatCode="m/d/yyyy">
                  <c:v>46140</c:v>
                </c:pt>
                <c:pt idx="607" formatCode="m/d/yyyy">
                  <c:v>46141</c:v>
                </c:pt>
                <c:pt idx="608" formatCode="m/d/yyyy">
                  <c:v>46142</c:v>
                </c:pt>
                <c:pt idx="609" formatCode="m/d/yyyy">
                  <c:v>46148</c:v>
                </c:pt>
                <c:pt idx="610" formatCode="m/d/yyyy">
                  <c:v>46149</c:v>
                </c:pt>
                <c:pt idx="611" formatCode="m/d/yyyy">
                  <c:v>46150</c:v>
                </c:pt>
              </c:numCache>
            </c:numRef>
          </c:cat>
          <c:val>
            <c:numRef>
              <c:f>连板个股!$GJ$3:$ADW$3</c:f>
              <c:numCache>
                <c:formatCode>General</c:formatCode>
                <c:ptCount val="612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7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7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13</c:v>
                </c:pt>
                <c:pt idx="82">
                  <c:v>8</c:v>
                </c:pt>
                <c:pt idx="83">
                  <c:v>8</c:v>
                </c:pt>
                <c:pt idx="84">
                  <c:v>6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5</c:v>
                </c:pt>
                <c:pt idx="89">
                  <c:v>4</c:v>
                </c:pt>
                <c:pt idx="90">
                  <c:v>5</c:v>
                </c:pt>
                <c:pt idx="91">
                  <c:v>6</c:v>
                </c:pt>
                <c:pt idx="92">
                  <c:v>7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6</c:v>
                </c:pt>
                <c:pt idx="100">
                  <c:v>7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7</c:v>
                </c:pt>
                <c:pt idx="108">
                  <c:v>5</c:v>
                </c:pt>
                <c:pt idx="109">
                  <c:v>6</c:v>
                </c:pt>
                <c:pt idx="110">
                  <c:v>7</c:v>
                </c:pt>
                <c:pt idx="111">
                  <c:v>8</c:v>
                </c:pt>
                <c:pt idx="112">
                  <c:v>9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5</c:v>
                </c:pt>
                <c:pt idx="123">
                  <c:v>6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6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4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4</c:v>
                </c:pt>
                <c:pt idx="163">
                  <c:v>3</c:v>
                </c:pt>
                <c:pt idx="164">
                  <c:v>4</c:v>
                </c:pt>
                <c:pt idx="165">
                  <c:v>5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5</c:v>
                </c:pt>
                <c:pt idx="175">
                  <c:v>6</c:v>
                </c:pt>
                <c:pt idx="176">
                  <c:v>7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5</c:v>
                </c:pt>
                <c:pt idx="184">
                  <c:v>6</c:v>
                </c:pt>
                <c:pt idx="185">
                  <c:v>7</c:v>
                </c:pt>
                <c:pt idx="186">
                  <c:v>8</c:v>
                </c:pt>
                <c:pt idx="187">
                  <c:v>9</c:v>
                </c:pt>
                <c:pt idx="188">
                  <c:v>10</c:v>
                </c:pt>
                <c:pt idx="189">
                  <c:v>11</c:v>
                </c:pt>
                <c:pt idx="190">
                  <c:v>6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4</c:v>
                </c:pt>
                <c:pt idx="201">
                  <c:v>5</c:v>
                </c:pt>
                <c:pt idx="202">
                  <c:v>6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10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5</c:v>
                </c:pt>
                <c:pt idx="215">
                  <c:v>4</c:v>
                </c:pt>
                <c:pt idx="216">
                  <c:v>4</c:v>
                </c:pt>
                <c:pt idx="217">
                  <c:v>5</c:v>
                </c:pt>
                <c:pt idx="218">
                  <c:v>6</c:v>
                </c:pt>
                <c:pt idx="219">
                  <c:v>4</c:v>
                </c:pt>
                <c:pt idx="220">
                  <c:v>5</c:v>
                </c:pt>
                <c:pt idx="221">
                  <c:v>6</c:v>
                </c:pt>
                <c:pt idx="222">
                  <c:v>7</c:v>
                </c:pt>
                <c:pt idx="223">
                  <c:v>8</c:v>
                </c:pt>
                <c:pt idx="224">
                  <c:v>9</c:v>
                </c:pt>
                <c:pt idx="225">
                  <c:v>10</c:v>
                </c:pt>
                <c:pt idx="226">
                  <c:v>11</c:v>
                </c:pt>
                <c:pt idx="227">
                  <c:v>12</c:v>
                </c:pt>
                <c:pt idx="228">
                  <c:v>13</c:v>
                </c:pt>
                <c:pt idx="229">
                  <c:v>14</c:v>
                </c:pt>
                <c:pt idx="230">
                  <c:v>8</c:v>
                </c:pt>
                <c:pt idx="231">
                  <c:v>3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5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9</c:v>
                </c:pt>
                <c:pt idx="240">
                  <c:v>10</c:v>
                </c:pt>
                <c:pt idx="241">
                  <c:v>11</c:v>
                </c:pt>
                <c:pt idx="242">
                  <c:v>12</c:v>
                </c:pt>
                <c:pt idx="243">
                  <c:v>9</c:v>
                </c:pt>
                <c:pt idx="244">
                  <c:v>10</c:v>
                </c:pt>
                <c:pt idx="245">
                  <c:v>11</c:v>
                </c:pt>
                <c:pt idx="246">
                  <c:v>12</c:v>
                </c:pt>
                <c:pt idx="247">
                  <c:v>13</c:v>
                </c:pt>
                <c:pt idx="248">
                  <c:v>14</c:v>
                </c:pt>
                <c:pt idx="249">
                  <c:v>10</c:v>
                </c:pt>
                <c:pt idx="250">
                  <c:v>11</c:v>
                </c:pt>
                <c:pt idx="251">
                  <c:v>7</c:v>
                </c:pt>
                <c:pt idx="252">
                  <c:v>7</c:v>
                </c:pt>
                <c:pt idx="253">
                  <c:v>6</c:v>
                </c:pt>
                <c:pt idx="254">
                  <c:v>7</c:v>
                </c:pt>
                <c:pt idx="255">
                  <c:v>8</c:v>
                </c:pt>
                <c:pt idx="256">
                  <c:v>9</c:v>
                </c:pt>
                <c:pt idx="257">
                  <c:v>10</c:v>
                </c:pt>
                <c:pt idx="258">
                  <c:v>11</c:v>
                </c:pt>
                <c:pt idx="259">
                  <c:v>12</c:v>
                </c:pt>
                <c:pt idx="260">
                  <c:v>13</c:v>
                </c:pt>
                <c:pt idx="261">
                  <c:v>10</c:v>
                </c:pt>
                <c:pt idx="262">
                  <c:v>11</c:v>
                </c:pt>
                <c:pt idx="263">
                  <c:v>7</c:v>
                </c:pt>
                <c:pt idx="264">
                  <c:v>8</c:v>
                </c:pt>
                <c:pt idx="265">
                  <c:v>9</c:v>
                </c:pt>
                <c:pt idx="266">
                  <c:v>10</c:v>
                </c:pt>
                <c:pt idx="267">
                  <c:v>11</c:v>
                </c:pt>
                <c:pt idx="268">
                  <c:v>12</c:v>
                </c:pt>
                <c:pt idx="269">
                  <c:v>9</c:v>
                </c:pt>
                <c:pt idx="270">
                  <c:v>8</c:v>
                </c:pt>
                <c:pt idx="271">
                  <c:v>9</c:v>
                </c:pt>
                <c:pt idx="272">
                  <c:v>10</c:v>
                </c:pt>
                <c:pt idx="273">
                  <c:v>11</c:v>
                </c:pt>
                <c:pt idx="274">
                  <c:v>12</c:v>
                </c:pt>
                <c:pt idx="275">
                  <c:v>7</c:v>
                </c:pt>
                <c:pt idx="276">
                  <c:v>6</c:v>
                </c:pt>
                <c:pt idx="277">
                  <c:v>7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8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6</c:v>
                </c:pt>
                <c:pt idx="286">
                  <c:v>6</c:v>
                </c:pt>
                <c:pt idx="287">
                  <c:v>4</c:v>
                </c:pt>
                <c:pt idx="288">
                  <c:v>4</c:v>
                </c:pt>
                <c:pt idx="289">
                  <c:v>6</c:v>
                </c:pt>
                <c:pt idx="290">
                  <c:v>7</c:v>
                </c:pt>
                <c:pt idx="291">
                  <c:v>4</c:v>
                </c:pt>
                <c:pt idx="292">
                  <c:v>5</c:v>
                </c:pt>
                <c:pt idx="293">
                  <c:v>6</c:v>
                </c:pt>
                <c:pt idx="294">
                  <c:v>7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6</c:v>
                </c:pt>
                <c:pt idx="300">
                  <c:v>7</c:v>
                </c:pt>
                <c:pt idx="301">
                  <c:v>5</c:v>
                </c:pt>
                <c:pt idx="302">
                  <c:v>6</c:v>
                </c:pt>
                <c:pt idx="303">
                  <c:v>7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5</c:v>
                </c:pt>
                <c:pt idx="308">
                  <c:v>6</c:v>
                </c:pt>
                <c:pt idx="309">
                  <c:v>10</c:v>
                </c:pt>
                <c:pt idx="310">
                  <c:v>8</c:v>
                </c:pt>
                <c:pt idx="311">
                  <c:v>9</c:v>
                </c:pt>
                <c:pt idx="312">
                  <c:v>10</c:v>
                </c:pt>
                <c:pt idx="313">
                  <c:v>7</c:v>
                </c:pt>
                <c:pt idx="314">
                  <c:v>8</c:v>
                </c:pt>
                <c:pt idx="315">
                  <c:v>9</c:v>
                </c:pt>
                <c:pt idx="316">
                  <c:v>6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6</c:v>
                </c:pt>
                <c:pt idx="321">
                  <c:v>5</c:v>
                </c:pt>
                <c:pt idx="322">
                  <c:v>4</c:v>
                </c:pt>
                <c:pt idx="323">
                  <c:v>5</c:v>
                </c:pt>
                <c:pt idx="324">
                  <c:v>6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7</c:v>
                </c:pt>
                <c:pt idx="333">
                  <c:v>8</c:v>
                </c:pt>
                <c:pt idx="334">
                  <c:v>9</c:v>
                </c:pt>
                <c:pt idx="335">
                  <c:v>5</c:v>
                </c:pt>
                <c:pt idx="336">
                  <c:v>6</c:v>
                </c:pt>
                <c:pt idx="337">
                  <c:v>6</c:v>
                </c:pt>
                <c:pt idx="338">
                  <c:v>7</c:v>
                </c:pt>
                <c:pt idx="339">
                  <c:v>7</c:v>
                </c:pt>
                <c:pt idx="340">
                  <c:v>5</c:v>
                </c:pt>
                <c:pt idx="341">
                  <c:v>3</c:v>
                </c:pt>
                <c:pt idx="342">
                  <c:v>4</c:v>
                </c:pt>
                <c:pt idx="343">
                  <c:v>5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5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7</c:v>
                </c:pt>
                <c:pt idx="355">
                  <c:v>4</c:v>
                </c:pt>
                <c:pt idx="356">
                  <c:v>5</c:v>
                </c:pt>
                <c:pt idx="357">
                  <c:v>6</c:v>
                </c:pt>
                <c:pt idx="358">
                  <c:v>5</c:v>
                </c:pt>
                <c:pt idx="359">
                  <c:v>6</c:v>
                </c:pt>
                <c:pt idx="360">
                  <c:v>6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5</c:v>
                </c:pt>
                <c:pt idx="368">
                  <c:v>6</c:v>
                </c:pt>
                <c:pt idx="369">
                  <c:v>4</c:v>
                </c:pt>
                <c:pt idx="370">
                  <c:v>4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7</c:v>
                </c:pt>
                <c:pt idx="375">
                  <c:v>8</c:v>
                </c:pt>
                <c:pt idx="376">
                  <c:v>9</c:v>
                </c:pt>
                <c:pt idx="377">
                  <c:v>4</c:v>
                </c:pt>
                <c:pt idx="378">
                  <c:v>5</c:v>
                </c:pt>
                <c:pt idx="379">
                  <c:v>4</c:v>
                </c:pt>
                <c:pt idx="380">
                  <c:v>5</c:v>
                </c:pt>
                <c:pt idx="381">
                  <c:v>4</c:v>
                </c:pt>
                <c:pt idx="382">
                  <c:v>5</c:v>
                </c:pt>
                <c:pt idx="383">
                  <c:v>5</c:v>
                </c:pt>
                <c:pt idx="384">
                  <c:v>6</c:v>
                </c:pt>
                <c:pt idx="385">
                  <c:v>4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5</c:v>
                </c:pt>
                <c:pt idx="390">
                  <c:v>6</c:v>
                </c:pt>
                <c:pt idx="391">
                  <c:v>7</c:v>
                </c:pt>
                <c:pt idx="392">
                  <c:v>6</c:v>
                </c:pt>
                <c:pt idx="393">
                  <c:v>7</c:v>
                </c:pt>
                <c:pt idx="394">
                  <c:v>5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7</c:v>
                </c:pt>
                <c:pt idx="403">
                  <c:v>5</c:v>
                </c:pt>
                <c:pt idx="404">
                  <c:v>4</c:v>
                </c:pt>
                <c:pt idx="405">
                  <c:v>5</c:v>
                </c:pt>
                <c:pt idx="406">
                  <c:v>4</c:v>
                </c:pt>
                <c:pt idx="407">
                  <c:v>5</c:v>
                </c:pt>
                <c:pt idx="408">
                  <c:v>6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5</c:v>
                </c:pt>
                <c:pt idx="415">
                  <c:v>4</c:v>
                </c:pt>
                <c:pt idx="416">
                  <c:v>5</c:v>
                </c:pt>
                <c:pt idx="417">
                  <c:v>6</c:v>
                </c:pt>
                <c:pt idx="418">
                  <c:v>7</c:v>
                </c:pt>
                <c:pt idx="419">
                  <c:v>8</c:v>
                </c:pt>
                <c:pt idx="420">
                  <c:v>9</c:v>
                </c:pt>
                <c:pt idx="421">
                  <c:v>10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6</c:v>
                </c:pt>
                <c:pt idx="426">
                  <c:v>7</c:v>
                </c:pt>
                <c:pt idx="427">
                  <c:v>8</c:v>
                </c:pt>
                <c:pt idx="428">
                  <c:v>9</c:v>
                </c:pt>
                <c:pt idx="429">
                  <c:v>3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4</c:v>
                </c:pt>
                <c:pt idx="439">
                  <c:v>5</c:v>
                </c:pt>
                <c:pt idx="440">
                  <c:v>6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6</c:v>
                </c:pt>
                <c:pt idx="446">
                  <c:v>7</c:v>
                </c:pt>
                <c:pt idx="447">
                  <c:v>4</c:v>
                </c:pt>
                <c:pt idx="448">
                  <c:v>5</c:v>
                </c:pt>
                <c:pt idx="449">
                  <c:v>6</c:v>
                </c:pt>
                <c:pt idx="450">
                  <c:v>7</c:v>
                </c:pt>
                <c:pt idx="451">
                  <c:v>8</c:v>
                </c:pt>
                <c:pt idx="452">
                  <c:v>9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10</c:v>
                </c:pt>
                <c:pt idx="457">
                  <c:v>11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12</c:v>
                </c:pt>
                <c:pt idx="464">
                  <c:v>13</c:v>
                </c:pt>
                <c:pt idx="465">
                  <c:v>14</c:v>
                </c:pt>
                <c:pt idx="466">
                  <c:v>15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6</c:v>
                </c:pt>
                <c:pt idx="471">
                  <c:v>7</c:v>
                </c:pt>
                <c:pt idx="472">
                  <c:v>4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4</c:v>
                </c:pt>
                <c:pt idx="479">
                  <c:v>5</c:v>
                </c:pt>
                <c:pt idx="480">
                  <c:v>3</c:v>
                </c:pt>
                <c:pt idx="481">
                  <c:v>7</c:v>
                </c:pt>
                <c:pt idx="482">
                  <c:v>8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6</c:v>
                </c:pt>
                <c:pt idx="487">
                  <c:v>7</c:v>
                </c:pt>
                <c:pt idx="488">
                  <c:v>8</c:v>
                </c:pt>
                <c:pt idx="489">
                  <c:v>5</c:v>
                </c:pt>
                <c:pt idx="490">
                  <c:v>6</c:v>
                </c:pt>
                <c:pt idx="491">
                  <c:v>7</c:v>
                </c:pt>
                <c:pt idx="492">
                  <c:v>8</c:v>
                </c:pt>
                <c:pt idx="493">
                  <c:v>9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6</c:v>
                </c:pt>
                <c:pt idx="501">
                  <c:v>6</c:v>
                </c:pt>
                <c:pt idx="502">
                  <c:v>7</c:v>
                </c:pt>
                <c:pt idx="503">
                  <c:v>6</c:v>
                </c:pt>
                <c:pt idx="504">
                  <c:v>7</c:v>
                </c:pt>
                <c:pt idx="505">
                  <c:v>5</c:v>
                </c:pt>
                <c:pt idx="506">
                  <c:v>5</c:v>
                </c:pt>
                <c:pt idx="507">
                  <c:v>4</c:v>
                </c:pt>
                <c:pt idx="508">
                  <c:v>5</c:v>
                </c:pt>
                <c:pt idx="509">
                  <c:v>6</c:v>
                </c:pt>
                <c:pt idx="510">
                  <c:v>7</c:v>
                </c:pt>
                <c:pt idx="511">
                  <c:v>6</c:v>
                </c:pt>
                <c:pt idx="512">
                  <c:v>4</c:v>
                </c:pt>
                <c:pt idx="513">
                  <c:v>4</c:v>
                </c:pt>
                <c:pt idx="514">
                  <c:v>5</c:v>
                </c:pt>
                <c:pt idx="515">
                  <c:v>6</c:v>
                </c:pt>
                <c:pt idx="516">
                  <c:v>6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4</c:v>
                </c:pt>
                <c:pt idx="521">
                  <c:v>5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8</c:v>
                </c:pt>
                <c:pt idx="526">
                  <c:v>9</c:v>
                </c:pt>
                <c:pt idx="527">
                  <c:v>10</c:v>
                </c:pt>
                <c:pt idx="528">
                  <c:v>11</c:v>
                </c:pt>
                <c:pt idx="529">
                  <c:v>12</c:v>
                </c:pt>
                <c:pt idx="530">
                  <c:v>10</c:v>
                </c:pt>
                <c:pt idx="531">
                  <c:v>6</c:v>
                </c:pt>
                <c:pt idx="532">
                  <c:v>7</c:v>
                </c:pt>
                <c:pt idx="533">
                  <c:v>13</c:v>
                </c:pt>
                <c:pt idx="534">
                  <c:v>14</c:v>
                </c:pt>
                <c:pt idx="535">
                  <c:v>10</c:v>
                </c:pt>
                <c:pt idx="536">
                  <c:v>11</c:v>
                </c:pt>
                <c:pt idx="537">
                  <c:v>12</c:v>
                </c:pt>
                <c:pt idx="538">
                  <c:v>13</c:v>
                </c:pt>
                <c:pt idx="539">
                  <c:v>5</c:v>
                </c:pt>
                <c:pt idx="540">
                  <c:v>4</c:v>
                </c:pt>
                <c:pt idx="541">
                  <c:v>5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17</c:v>
                </c:pt>
                <c:pt idx="546">
                  <c:v>18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8</c:v>
                </c:pt>
                <c:pt idx="551">
                  <c:v>5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5</c:v>
                </c:pt>
                <c:pt idx="558">
                  <c:v>3</c:v>
                </c:pt>
                <c:pt idx="559">
                  <c:v>4</c:v>
                </c:pt>
                <c:pt idx="560">
                  <c:v>4</c:v>
                </c:pt>
                <c:pt idx="561">
                  <c:v>5</c:v>
                </c:pt>
                <c:pt idx="562">
                  <c:v>4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2</c:v>
                </c:pt>
                <c:pt idx="570">
                  <c:v>3</c:v>
                </c:pt>
                <c:pt idx="571">
                  <c:v>4</c:v>
                </c:pt>
                <c:pt idx="572">
                  <c:v>5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3</c:v>
                </c:pt>
                <c:pt idx="577">
                  <c:v>4</c:v>
                </c:pt>
                <c:pt idx="578">
                  <c:v>5</c:v>
                </c:pt>
                <c:pt idx="579">
                  <c:v>4</c:v>
                </c:pt>
                <c:pt idx="580">
                  <c:v>5</c:v>
                </c:pt>
                <c:pt idx="581">
                  <c:v>6</c:v>
                </c:pt>
                <c:pt idx="582">
                  <c:v>7</c:v>
                </c:pt>
                <c:pt idx="583">
                  <c:v>8</c:v>
                </c:pt>
                <c:pt idx="584">
                  <c:v>3</c:v>
                </c:pt>
                <c:pt idx="585">
                  <c:v>4</c:v>
                </c:pt>
                <c:pt idx="586">
                  <c:v>5</c:v>
                </c:pt>
                <c:pt idx="587">
                  <c:v>4</c:v>
                </c:pt>
                <c:pt idx="588">
                  <c:v>4</c:v>
                </c:pt>
                <c:pt idx="589">
                  <c:v>5</c:v>
                </c:pt>
                <c:pt idx="590">
                  <c:v>6</c:v>
                </c:pt>
                <c:pt idx="591">
                  <c:v>7</c:v>
                </c:pt>
                <c:pt idx="592">
                  <c:v>4</c:v>
                </c:pt>
                <c:pt idx="593">
                  <c:v>5</c:v>
                </c:pt>
                <c:pt idx="594">
                  <c:v>4</c:v>
                </c:pt>
                <c:pt idx="595">
                  <c:v>5</c:v>
                </c:pt>
                <c:pt idx="596">
                  <c:v>6</c:v>
                </c:pt>
                <c:pt idx="597">
                  <c:v>5</c:v>
                </c:pt>
                <c:pt idx="598">
                  <c:v>6</c:v>
                </c:pt>
                <c:pt idx="599">
                  <c:v>7</c:v>
                </c:pt>
                <c:pt idx="600">
                  <c:v>6</c:v>
                </c:pt>
                <c:pt idx="601">
                  <c:v>4</c:v>
                </c:pt>
                <c:pt idx="602">
                  <c:v>4</c:v>
                </c:pt>
                <c:pt idx="603">
                  <c:v>5</c:v>
                </c:pt>
                <c:pt idx="604">
                  <c:v>3</c:v>
                </c:pt>
                <c:pt idx="605">
                  <c:v>4</c:v>
                </c:pt>
                <c:pt idx="606">
                  <c:v>5</c:v>
                </c:pt>
                <c:pt idx="607">
                  <c:v>3</c:v>
                </c:pt>
                <c:pt idx="608">
                  <c:v>4</c:v>
                </c:pt>
                <c:pt idx="609">
                  <c:v>4</c:v>
                </c:pt>
                <c:pt idx="610">
                  <c:v>5</c:v>
                </c:pt>
                <c:pt idx="6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16-42BC-A6DE-9C869878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4790095"/>
        <c:axId val="1094774735"/>
      </c:barChart>
      <c:lineChart>
        <c:grouping val="standard"/>
        <c:varyColors val="0"/>
        <c:ser>
          <c:idx val="0"/>
          <c:order val="0"/>
          <c:tx>
            <c:strRef>
              <c:f>连板个股!$A$2</c:f>
              <c:strCache>
                <c:ptCount val="1"/>
                <c:pt idx="0">
                  <c:v>四板以上个股数量五日平均值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连板个股!$GJ$1:$ADW$1</c:f>
              <c:numCache>
                <c:formatCode>yyyy\-mm\-dd</c:formatCode>
                <c:ptCount val="612"/>
                <c:pt idx="0">
                  <c:v>45280</c:v>
                </c:pt>
                <c:pt idx="1">
                  <c:v>45281</c:v>
                </c:pt>
                <c:pt idx="2">
                  <c:v>45282</c:v>
                </c:pt>
                <c:pt idx="3">
                  <c:v>45285</c:v>
                </c:pt>
                <c:pt idx="4">
                  <c:v>45286</c:v>
                </c:pt>
                <c:pt idx="5">
                  <c:v>45287</c:v>
                </c:pt>
                <c:pt idx="6">
                  <c:v>45288</c:v>
                </c:pt>
                <c:pt idx="7">
                  <c:v>45289</c:v>
                </c:pt>
                <c:pt idx="8">
                  <c:v>45293</c:v>
                </c:pt>
                <c:pt idx="9">
                  <c:v>45294</c:v>
                </c:pt>
                <c:pt idx="10">
                  <c:v>45295</c:v>
                </c:pt>
                <c:pt idx="11">
                  <c:v>45296</c:v>
                </c:pt>
                <c:pt idx="12">
                  <c:v>45299</c:v>
                </c:pt>
                <c:pt idx="13">
                  <c:v>45300</c:v>
                </c:pt>
                <c:pt idx="14">
                  <c:v>45301</c:v>
                </c:pt>
                <c:pt idx="15">
                  <c:v>45302</c:v>
                </c:pt>
                <c:pt idx="16">
                  <c:v>45303</c:v>
                </c:pt>
                <c:pt idx="17">
                  <c:v>45306</c:v>
                </c:pt>
                <c:pt idx="18">
                  <c:v>45307</c:v>
                </c:pt>
                <c:pt idx="19">
                  <c:v>45308</c:v>
                </c:pt>
                <c:pt idx="20">
                  <c:v>45309</c:v>
                </c:pt>
                <c:pt idx="21">
                  <c:v>45310</c:v>
                </c:pt>
                <c:pt idx="22">
                  <c:v>45313</c:v>
                </c:pt>
                <c:pt idx="23">
                  <c:v>45314</c:v>
                </c:pt>
                <c:pt idx="24">
                  <c:v>45315</c:v>
                </c:pt>
                <c:pt idx="25">
                  <c:v>45316</c:v>
                </c:pt>
                <c:pt idx="26">
                  <c:v>45317</c:v>
                </c:pt>
                <c:pt idx="27">
                  <c:v>45320</c:v>
                </c:pt>
                <c:pt idx="28">
                  <c:v>45321</c:v>
                </c:pt>
                <c:pt idx="29">
                  <c:v>45322</c:v>
                </c:pt>
                <c:pt idx="30">
                  <c:v>45323</c:v>
                </c:pt>
                <c:pt idx="31">
                  <c:v>45324</c:v>
                </c:pt>
                <c:pt idx="32">
                  <c:v>45327</c:v>
                </c:pt>
                <c:pt idx="33">
                  <c:v>45328</c:v>
                </c:pt>
                <c:pt idx="34">
                  <c:v>45329</c:v>
                </c:pt>
                <c:pt idx="35">
                  <c:v>45330</c:v>
                </c:pt>
                <c:pt idx="36">
                  <c:v>45341</c:v>
                </c:pt>
                <c:pt idx="37">
                  <c:v>45342</c:v>
                </c:pt>
                <c:pt idx="38">
                  <c:v>45343</c:v>
                </c:pt>
                <c:pt idx="39">
                  <c:v>45344</c:v>
                </c:pt>
                <c:pt idx="40">
                  <c:v>45345</c:v>
                </c:pt>
                <c:pt idx="41">
                  <c:v>45348</c:v>
                </c:pt>
                <c:pt idx="42">
                  <c:v>45349</c:v>
                </c:pt>
                <c:pt idx="43">
                  <c:v>45350</c:v>
                </c:pt>
                <c:pt idx="44">
                  <c:v>45351</c:v>
                </c:pt>
                <c:pt idx="45">
                  <c:v>45352</c:v>
                </c:pt>
                <c:pt idx="46">
                  <c:v>45355</c:v>
                </c:pt>
                <c:pt idx="47">
                  <c:v>45356</c:v>
                </c:pt>
                <c:pt idx="48">
                  <c:v>45357</c:v>
                </c:pt>
                <c:pt idx="49">
                  <c:v>45358</c:v>
                </c:pt>
                <c:pt idx="50">
                  <c:v>45359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 formatCode="yyyy/mm/dd">
                  <c:v>45302</c:v>
                </c:pt>
                <c:pt idx="55" formatCode="yyyy/mm/dd">
                  <c:v>45303</c:v>
                </c:pt>
                <c:pt idx="56" formatCode="yyyy/mm/dd">
                  <c:v>45306</c:v>
                </c:pt>
                <c:pt idx="57" formatCode="yyyy/mm/dd">
                  <c:v>45307</c:v>
                </c:pt>
                <c:pt idx="58" formatCode="yyyy/mm/dd">
                  <c:v>45308</c:v>
                </c:pt>
                <c:pt idx="59" formatCode="yyyy/mm/dd">
                  <c:v>45309</c:v>
                </c:pt>
                <c:pt idx="60" formatCode="yyyy/mm/dd">
                  <c:v>45310</c:v>
                </c:pt>
                <c:pt idx="61" formatCode="yyyy/mm/dd">
                  <c:v>45313</c:v>
                </c:pt>
                <c:pt idx="62" formatCode="yyyy/mm/dd">
                  <c:v>45314</c:v>
                </c:pt>
                <c:pt idx="63" formatCode="yyyy/mm/dd">
                  <c:v>45315</c:v>
                </c:pt>
                <c:pt idx="64" formatCode="yyyy/mm/dd">
                  <c:v>45316</c:v>
                </c:pt>
                <c:pt idx="65" formatCode="yyyy/mm/dd">
                  <c:v>45317</c:v>
                </c:pt>
                <c:pt idx="66" formatCode="yyyy/mm/dd">
                  <c:v>45320</c:v>
                </c:pt>
                <c:pt idx="67" formatCode="yyyy/mm/dd">
                  <c:v>45321</c:v>
                </c:pt>
                <c:pt idx="68" formatCode="yyyy/mm/dd">
                  <c:v>45322</c:v>
                </c:pt>
                <c:pt idx="69" formatCode="yyyy/mm/dd">
                  <c:v>45323</c:v>
                </c:pt>
                <c:pt idx="70" formatCode="yyyy/mm/dd">
                  <c:v>45324</c:v>
                </c:pt>
                <c:pt idx="71" formatCode="yyyy/mm/dd">
                  <c:v>45327</c:v>
                </c:pt>
                <c:pt idx="72" formatCode="yyyy/mm/dd">
                  <c:v>45328</c:v>
                </c:pt>
                <c:pt idx="73" formatCode="yyyy/mm/dd">
                  <c:v>45329</c:v>
                </c:pt>
                <c:pt idx="74" formatCode="yyyy/mm/dd">
                  <c:v>45330</c:v>
                </c:pt>
                <c:pt idx="75" formatCode="yyyy/mm/dd">
                  <c:v>45341</c:v>
                </c:pt>
                <c:pt idx="76" formatCode="yyyy/mm/dd">
                  <c:v>45342</c:v>
                </c:pt>
                <c:pt idx="77" formatCode="yyyy/mm/dd">
                  <c:v>45343</c:v>
                </c:pt>
                <c:pt idx="78" formatCode="yyyy/mm/dd">
                  <c:v>45344</c:v>
                </c:pt>
                <c:pt idx="79" formatCode="yyyy/mm/dd">
                  <c:v>45345</c:v>
                </c:pt>
                <c:pt idx="80" formatCode="yyyy/mm/dd">
                  <c:v>45348</c:v>
                </c:pt>
                <c:pt idx="81" formatCode="yyyy/mm/dd">
                  <c:v>45349</c:v>
                </c:pt>
                <c:pt idx="82" formatCode="yyyy/mm/dd">
                  <c:v>45350</c:v>
                </c:pt>
                <c:pt idx="83" formatCode="yyyy/mm/dd">
                  <c:v>45351</c:v>
                </c:pt>
                <c:pt idx="84" formatCode="yyyy/mm/dd">
                  <c:v>45352</c:v>
                </c:pt>
                <c:pt idx="85" formatCode="yyyy/mm/dd">
                  <c:v>45355</c:v>
                </c:pt>
                <c:pt idx="86" formatCode="yyyy/mm/dd">
                  <c:v>45356</c:v>
                </c:pt>
                <c:pt idx="87" formatCode="yyyy/mm/dd">
                  <c:v>45357</c:v>
                </c:pt>
                <c:pt idx="88" formatCode="yyyy/mm/dd">
                  <c:v>45358</c:v>
                </c:pt>
                <c:pt idx="89" formatCode="yyyy/mm/dd">
                  <c:v>45359</c:v>
                </c:pt>
                <c:pt idx="90" formatCode="yyyy/mm/dd">
                  <c:v>45362</c:v>
                </c:pt>
                <c:pt idx="91" formatCode="yyyy/mm/dd">
                  <c:v>45363</c:v>
                </c:pt>
                <c:pt idx="92" formatCode="yyyy/mm/dd">
                  <c:v>45364</c:v>
                </c:pt>
                <c:pt idx="93" formatCode="yyyy/mm/dd">
                  <c:v>45365</c:v>
                </c:pt>
                <c:pt idx="94" formatCode="yyyy/mm/dd">
                  <c:v>45366</c:v>
                </c:pt>
                <c:pt idx="95" formatCode="yyyy/mm/dd">
                  <c:v>45369</c:v>
                </c:pt>
                <c:pt idx="96" formatCode="yyyy/mm/dd">
                  <c:v>45370</c:v>
                </c:pt>
                <c:pt idx="97" formatCode="yyyy/mm/dd">
                  <c:v>45371</c:v>
                </c:pt>
                <c:pt idx="98" formatCode="yyyy/mm/dd">
                  <c:v>45372</c:v>
                </c:pt>
                <c:pt idx="99" formatCode="yyyy/mm/dd">
                  <c:v>45373</c:v>
                </c:pt>
                <c:pt idx="100" formatCode="yyyy/mm/dd">
                  <c:v>45376</c:v>
                </c:pt>
                <c:pt idx="101" formatCode="yyyy/mm/dd">
                  <c:v>45377</c:v>
                </c:pt>
                <c:pt idx="102" formatCode="yyyy/mm/dd">
                  <c:v>45378</c:v>
                </c:pt>
                <c:pt idx="103" formatCode="yyyy/mm/dd">
                  <c:v>45379</c:v>
                </c:pt>
                <c:pt idx="104" formatCode="yyyy/mm/dd">
                  <c:v>45380</c:v>
                </c:pt>
                <c:pt idx="105" formatCode="yyyy/mm/dd">
                  <c:v>45383</c:v>
                </c:pt>
                <c:pt idx="106" formatCode="yyyy/mm/dd">
                  <c:v>45384</c:v>
                </c:pt>
                <c:pt idx="107" formatCode="yyyy/mm/dd">
                  <c:v>45385</c:v>
                </c:pt>
                <c:pt idx="108" formatCode="yyyy/mm/dd">
                  <c:v>45390</c:v>
                </c:pt>
                <c:pt idx="109" formatCode="yyyy/mm/dd">
                  <c:v>45391</c:v>
                </c:pt>
                <c:pt idx="110" formatCode="yyyy/mm/dd">
                  <c:v>45392</c:v>
                </c:pt>
                <c:pt idx="111" formatCode="yyyy/mm/dd">
                  <c:v>45393</c:v>
                </c:pt>
                <c:pt idx="112" formatCode="yyyy/mm/dd">
                  <c:v>45394</c:v>
                </c:pt>
                <c:pt idx="113" formatCode="yyyy/mm/dd">
                  <c:v>45397</c:v>
                </c:pt>
                <c:pt idx="114" formatCode="yyyy/mm/dd">
                  <c:v>45398</c:v>
                </c:pt>
                <c:pt idx="115" formatCode="yyyy/mm/dd">
                  <c:v>45399</c:v>
                </c:pt>
                <c:pt idx="116" formatCode="yyyy/mm/dd">
                  <c:v>45400</c:v>
                </c:pt>
                <c:pt idx="117" formatCode="yyyy/mm/dd">
                  <c:v>45401</c:v>
                </c:pt>
                <c:pt idx="118" formatCode="yyyy/mm/dd">
                  <c:v>45404</c:v>
                </c:pt>
                <c:pt idx="119" formatCode="yyyy/mm/dd">
                  <c:v>45405</c:v>
                </c:pt>
                <c:pt idx="120" formatCode="yyyy/mm/dd">
                  <c:v>45406</c:v>
                </c:pt>
                <c:pt idx="121" formatCode="yyyy/mm/dd">
                  <c:v>45407</c:v>
                </c:pt>
                <c:pt idx="122" formatCode="yyyy/mm/dd">
                  <c:v>45408</c:v>
                </c:pt>
                <c:pt idx="123" formatCode="yyyy/mm/dd">
                  <c:v>45411</c:v>
                </c:pt>
                <c:pt idx="124" formatCode="yyyy/mm/dd">
                  <c:v>45412</c:v>
                </c:pt>
                <c:pt idx="125" formatCode="yyyy/mm/dd">
                  <c:v>45418</c:v>
                </c:pt>
                <c:pt idx="126" formatCode="yyyy/mm/dd">
                  <c:v>45419</c:v>
                </c:pt>
                <c:pt idx="127" formatCode="yyyy/mm/dd">
                  <c:v>45420</c:v>
                </c:pt>
                <c:pt idx="128" formatCode="yyyy/mm/dd">
                  <c:v>45421</c:v>
                </c:pt>
                <c:pt idx="129" formatCode="yyyy/mm/dd">
                  <c:v>45422</c:v>
                </c:pt>
                <c:pt idx="130" formatCode="m/d/yyyy">
                  <c:v>45425</c:v>
                </c:pt>
                <c:pt idx="131" formatCode="m/d/yyyy">
                  <c:v>45426</c:v>
                </c:pt>
                <c:pt idx="132" formatCode="m/d/yyyy">
                  <c:v>45427</c:v>
                </c:pt>
                <c:pt idx="133" formatCode="m/d/yyyy">
                  <c:v>45428</c:v>
                </c:pt>
                <c:pt idx="134" formatCode="m/d/yyyy">
                  <c:v>45429</c:v>
                </c:pt>
                <c:pt idx="135" formatCode="m/d/yyyy">
                  <c:v>45432</c:v>
                </c:pt>
                <c:pt idx="136" formatCode="m/d/yyyy">
                  <c:v>45433</c:v>
                </c:pt>
                <c:pt idx="137" formatCode="m/d/yyyy">
                  <c:v>45434</c:v>
                </c:pt>
                <c:pt idx="138" formatCode="m/d/yyyy">
                  <c:v>45435</c:v>
                </c:pt>
                <c:pt idx="139" formatCode="m/d/yyyy">
                  <c:v>45436</c:v>
                </c:pt>
                <c:pt idx="140" formatCode="m/d/yyyy">
                  <c:v>45439</c:v>
                </c:pt>
                <c:pt idx="141" formatCode="m/d/yyyy">
                  <c:v>45440</c:v>
                </c:pt>
                <c:pt idx="142" formatCode="m/d/yyyy">
                  <c:v>45441</c:v>
                </c:pt>
                <c:pt idx="143" formatCode="m/d/yyyy">
                  <c:v>45442</c:v>
                </c:pt>
                <c:pt idx="144" formatCode="m/d/yyyy">
                  <c:v>45443</c:v>
                </c:pt>
                <c:pt idx="145" formatCode="m/d/yyyy">
                  <c:v>45446</c:v>
                </c:pt>
                <c:pt idx="146" formatCode="m/d/yyyy">
                  <c:v>45447</c:v>
                </c:pt>
                <c:pt idx="147" formatCode="m/d/yyyy">
                  <c:v>45448</c:v>
                </c:pt>
                <c:pt idx="148" formatCode="m/d/yyyy">
                  <c:v>45449</c:v>
                </c:pt>
                <c:pt idx="149" formatCode="m/d/yyyy">
                  <c:v>45450</c:v>
                </c:pt>
                <c:pt idx="150" formatCode="m/d/yyyy">
                  <c:v>45454</c:v>
                </c:pt>
                <c:pt idx="151" formatCode="m/d/yyyy">
                  <c:v>45455</c:v>
                </c:pt>
                <c:pt idx="152" formatCode="m/d/yyyy">
                  <c:v>45456</c:v>
                </c:pt>
                <c:pt idx="153" formatCode="m/d/yyyy">
                  <c:v>45457</c:v>
                </c:pt>
                <c:pt idx="154" formatCode="m/d/yyyy">
                  <c:v>45460</c:v>
                </c:pt>
                <c:pt idx="155" formatCode="m/d/yyyy">
                  <c:v>45461</c:v>
                </c:pt>
                <c:pt idx="156" formatCode="m/d/yyyy">
                  <c:v>45462</c:v>
                </c:pt>
                <c:pt idx="157" formatCode="m/d/yyyy">
                  <c:v>45463</c:v>
                </c:pt>
                <c:pt idx="158" formatCode="m/d/yyyy">
                  <c:v>45464</c:v>
                </c:pt>
                <c:pt idx="159" formatCode="m/d/yyyy">
                  <c:v>45467</c:v>
                </c:pt>
                <c:pt idx="160" formatCode="m/d/yyyy">
                  <c:v>45468</c:v>
                </c:pt>
                <c:pt idx="161" formatCode="m/d/yyyy">
                  <c:v>45469</c:v>
                </c:pt>
                <c:pt idx="162" formatCode="m/d/yyyy">
                  <c:v>45470</c:v>
                </c:pt>
                <c:pt idx="163" formatCode="m/d/yyyy">
                  <c:v>45471</c:v>
                </c:pt>
                <c:pt idx="164" formatCode="m/d/yyyy">
                  <c:v>45474</c:v>
                </c:pt>
                <c:pt idx="165" formatCode="m/d/yyyy">
                  <c:v>45475</c:v>
                </c:pt>
                <c:pt idx="166" formatCode="m/d/yyyy">
                  <c:v>45476</c:v>
                </c:pt>
                <c:pt idx="167" formatCode="m/d/yyyy">
                  <c:v>45477</c:v>
                </c:pt>
                <c:pt idx="168" formatCode="m/d/yyyy">
                  <c:v>45478</c:v>
                </c:pt>
                <c:pt idx="169" formatCode="m/d/yyyy">
                  <c:v>45481</c:v>
                </c:pt>
                <c:pt idx="170" formatCode="m/d/yyyy">
                  <c:v>45482</c:v>
                </c:pt>
                <c:pt idx="171" formatCode="m/d/yyyy">
                  <c:v>45483</c:v>
                </c:pt>
                <c:pt idx="172" formatCode="m/d/yyyy">
                  <c:v>45484</c:v>
                </c:pt>
                <c:pt idx="173" formatCode="m/d/yyyy">
                  <c:v>45485</c:v>
                </c:pt>
                <c:pt idx="174" formatCode="m/d/yyyy">
                  <c:v>45488</c:v>
                </c:pt>
                <c:pt idx="175" formatCode="m/d/yyyy">
                  <c:v>45489</c:v>
                </c:pt>
                <c:pt idx="176" formatCode="m/d/yyyy">
                  <c:v>45490</c:v>
                </c:pt>
                <c:pt idx="177" formatCode="m/d/yyyy">
                  <c:v>45491</c:v>
                </c:pt>
                <c:pt idx="178" formatCode="m/d/yyyy">
                  <c:v>45492</c:v>
                </c:pt>
                <c:pt idx="179" formatCode="m/d/yyyy">
                  <c:v>45495</c:v>
                </c:pt>
                <c:pt idx="180" formatCode="m/d/yyyy">
                  <c:v>45496</c:v>
                </c:pt>
                <c:pt idx="181" formatCode="m/d/yyyy">
                  <c:v>45497</c:v>
                </c:pt>
                <c:pt idx="182" formatCode="m/d/yyyy">
                  <c:v>45498</c:v>
                </c:pt>
                <c:pt idx="183" formatCode="m/d/yyyy">
                  <c:v>45499</c:v>
                </c:pt>
                <c:pt idx="184" formatCode="m/d/yyyy">
                  <c:v>45502</c:v>
                </c:pt>
                <c:pt idx="185" formatCode="m/d/yyyy">
                  <c:v>45503</c:v>
                </c:pt>
                <c:pt idx="186" formatCode="m/d/yyyy">
                  <c:v>45504</c:v>
                </c:pt>
                <c:pt idx="187" formatCode="m/d/yyyy">
                  <c:v>45505</c:v>
                </c:pt>
                <c:pt idx="188" formatCode="m/d/yyyy">
                  <c:v>45506</c:v>
                </c:pt>
                <c:pt idx="189" formatCode="m/d/yyyy">
                  <c:v>45509</c:v>
                </c:pt>
                <c:pt idx="190" formatCode="m/d/yyyy">
                  <c:v>45510</c:v>
                </c:pt>
                <c:pt idx="191" formatCode="m/d/yyyy">
                  <c:v>45511</c:v>
                </c:pt>
                <c:pt idx="192" formatCode="m/d/yyyy">
                  <c:v>45512</c:v>
                </c:pt>
                <c:pt idx="193" formatCode="m/d/yyyy">
                  <c:v>45513</c:v>
                </c:pt>
                <c:pt idx="194" formatCode="m/d/yyyy">
                  <c:v>45516</c:v>
                </c:pt>
                <c:pt idx="195" formatCode="m/d/yyyy">
                  <c:v>45517</c:v>
                </c:pt>
                <c:pt idx="196" formatCode="m/d/yyyy">
                  <c:v>45518</c:v>
                </c:pt>
                <c:pt idx="197" formatCode="m/d/yyyy">
                  <c:v>45519</c:v>
                </c:pt>
                <c:pt idx="198" formatCode="m/d/yyyy">
                  <c:v>45520</c:v>
                </c:pt>
                <c:pt idx="199" formatCode="m/d/yyyy">
                  <c:v>45523</c:v>
                </c:pt>
                <c:pt idx="200" formatCode="m/d/yyyy">
                  <c:v>45524</c:v>
                </c:pt>
                <c:pt idx="201" formatCode="m/d/yyyy">
                  <c:v>45525</c:v>
                </c:pt>
                <c:pt idx="202" formatCode="m/d/yyyy">
                  <c:v>45526</c:v>
                </c:pt>
                <c:pt idx="203" formatCode="m/d/yyyy">
                  <c:v>45527</c:v>
                </c:pt>
                <c:pt idx="204" formatCode="m/d/yyyy">
                  <c:v>45530</c:v>
                </c:pt>
                <c:pt idx="205" formatCode="m/d/yyyy">
                  <c:v>45531</c:v>
                </c:pt>
                <c:pt idx="206" formatCode="m/d/yyyy">
                  <c:v>45532</c:v>
                </c:pt>
                <c:pt idx="207" formatCode="m/d/yyyy">
                  <c:v>45533</c:v>
                </c:pt>
                <c:pt idx="208" formatCode="m/d/yyyy">
                  <c:v>45534</c:v>
                </c:pt>
                <c:pt idx="209" formatCode="yyyy/mm/dd">
                  <c:v>45537</c:v>
                </c:pt>
                <c:pt idx="210" formatCode="yyyy/mm/dd">
                  <c:v>45538</c:v>
                </c:pt>
                <c:pt idx="211" formatCode="yyyy/mm/dd">
                  <c:v>45539</c:v>
                </c:pt>
                <c:pt idx="212" formatCode="yyyy/mm/dd">
                  <c:v>45540</c:v>
                </c:pt>
                <c:pt idx="213" formatCode="yyyy/mm/dd">
                  <c:v>45541</c:v>
                </c:pt>
                <c:pt idx="214" formatCode="yyyy/mm/dd">
                  <c:v>45544</c:v>
                </c:pt>
                <c:pt idx="215" formatCode="yyyy/mm/dd">
                  <c:v>45545</c:v>
                </c:pt>
                <c:pt idx="216" formatCode="yyyy/mm/dd">
                  <c:v>45546</c:v>
                </c:pt>
                <c:pt idx="217" formatCode="yyyy/mm/dd">
                  <c:v>45547</c:v>
                </c:pt>
                <c:pt idx="218" formatCode="yyyy/mm/dd">
                  <c:v>45548</c:v>
                </c:pt>
                <c:pt idx="219" formatCode="yyyy/mm/dd">
                  <c:v>45553</c:v>
                </c:pt>
                <c:pt idx="220" formatCode="yyyy/mm/dd">
                  <c:v>45554</c:v>
                </c:pt>
                <c:pt idx="221" formatCode="yyyy/mm/dd">
                  <c:v>45555</c:v>
                </c:pt>
                <c:pt idx="222" formatCode="yyyy/mm/dd">
                  <c:v>45558</c:v>
                </c:pt>
                <c:pt idx="223" formatCode="yyyy/mm/dd">
                  <c:v>45559</c:v>
                </c:pt>
                <c:pt idx="224" formatCode="yyyy/mm/dd">
                  <c:v>45560</c:v>
                </c:pt>
                <c:pt idx="225" formatCode="yyyy/mm/dd">
                  <c:v>45561</c:v>
                </c:pt>
                <c:pt idx="226" formatCode="yyyy/mm/dd">
                  <c:v>45562</c:v>
                </c:pt>
                <c:pt idx="227" formatCode="yyyy/mm/dd">
                  <c:v>45565</c:v>
                </c:pt>
                <c:pt idx="228" formatCode="yyyy/mm/dd">
                  <c:v>45573</c:v>
                </c:pt>
                <c:pt idx="229" formatCode="yyyy/mm/dd">
                  <c:v>45574</c:v>
                </c:pt>
                <c:pt idx="230" formatCode="yyyy/mm/dd">
                  <c:v>45575</c:v>
                </c:pt>
                <c:pt idx="231" formatCode="yyyy/mm/dd">
                  <c:v>45576</c:v>
                </c:pt>
                <c:pt idx="232" formatCode="yyyy/mm/dd">
                  <c:v>45579</c:v>
                </c:pt>
                <c:pt idx="233" formatCode="yyyy/mm/dd">
                  <c:v>45580</c:v>
                </c:pt>
                <c:pt idx="234" formatCode="yyyy/mm/dd">
                  <c:v>45581</c:v>
                </c:pt>
                <c:pt idx="235" formatCode="yyyy/mm/dd">
                  <c:v>45582</c:v>
                </c:pt>
                <c:pt idx="236" formatCode="yyyy/mm/dd">
                  <c:v>45583</c:v>
                </c:pt>
                <c:pt idx="237" formatCode="yyyy/mm/dd">
                  <c:v>45586</c:v>
                </c:pt>
                <c:pt idx="238" formatCode="yyyy/mm/dd">
                  <c:v>45587</c:v>
                </c:pt>
                <c:pt idx="239" formatCode="yyyy/mm/dd">
                  <c:v>45588</c:v>
                </c:pt>
                <c:pt idx="240" formatCode="yyyy/mm/dd">
                  <c:v>45589</c:v>
                </c:pt>
                <c:pt idx="241" formatCode="yyyy/mm/dd">
                  <c:v>45590</c:v>
                </c:pt>
                <c:pt idx="242" formatCode="yyyy/mm/dd">
                  <c:v>45593</c:v>
                </c:pt>
                <c:pt idx="243" formatCode="yyyy/mm/dd">
                  <c:v>45594</c:v>
                </c:pt>
                <c:pt idx="244" formatCode="yyyy/mm/dd">
                  <c:v>45595</c:v>
                </c:pt>
                <c:pt idx="245" formatCode="yyyy/mm/dd">
                  <c:v>45596</c:v>
                </c:pt>
                <c:pt idx="246" formatCode="yyyy/mm/dd">
                  <c:v>45597</c:v>
                </c:pt>
                <c:pt idx="247" formatCode="yyyy/mm/dd">
                  <c:v>45600</c:v>
                </c:pt>
                <c:pt idx="248" formatCode="yyyy/mm/dd">
                  <c:v>45601</c:v>
                </c:pt>
                <c:pt idx="249" formatCode="yyyy/mm/dd">
                  <c:v>45602</c:v>
                </c:pt>
                <c:pt idx="250" formatCode="yyyy/mm/dd">
                  <c:v>45603</c:v>
                </c:pt>
                <c:pt idx="251" formatCode="yyyy/mm/dd">
                  <c:v>45604</c:v>
                </c:pt>
                <c:pt idx="252" formatCode="yyyy/mm/dd">
                  <c:v>45607</c:v>
                </c:pt>
                <c:pt idx="253" formatCode="yyyy/mm/dd">
                  <c:v>45608</c:v>
                </c:pt>
                <c:pt idx="254" formatCode="yyyy/mm/dd">
                  <c:v>45609</c:v>
                </c:pt>
                <c:pt idx="255" formatCode="yyyy/mm/dd">
                  <c:v>45610</c:v>
                </c:pt>
                <c:pt idx="256" formatCode="yyyy/mm/dd">
                  <c:v>45611</c:v>
                </c:pt>
                <c:pt idx="257" formatCode="yyyy/mm/dd">
                  <c:v>45614</c:v>
                </c:pt>
                <c:pt idx="258" formatCode="yyyy/mm/dd">
                  <c:v>45615</c:v>
                </c:pt>
                <c:pt idx="259" formatCode="yyyy/mm/dd">
                  <c:v>45616</c:v>
                </c:pt>
                <c:pt idx="260" formatCode="yyyy/mm/dd">
                  <c:v>45617</c:v>
                </c:pt>
                <c:pt idx="261" formatCode="yyyy/mm/dd">
                  <c:v>45618</c:v>
                </c:pt>
                <c:pt idx="262" formatCode="yyyy/mm/dd">
                  <c:v>45621</c:v>
                </c:pt>
                <c:pt idx="263" formatCode="yyyy/mm/dd">
                  <c:v>45622</c:v>
                </c:pt>
                <c:pt idx="264" formatCode="yyyy/mm/dd">
                  <c:v>45623</c:v>
                </c:pt>
                <c:pt idx="265" formatCode="yyyy/mm/dd">
                  <c:v>45624</c:v>
                </c:pt>
                <c:pt idx="266" formatCode="yyyy/mm/dd">
                  <c:v>45625</c:v>
                </c:pt>
                <c:pt idx="267" formatCode="yyyy/mm/dd">
                  <c:v>45628</c:v>
                </c:pt>
                <c:pt idx="268" formatCode="yyyy/mm/dd">
                  <c:v>45629</c:v>
                </c:pt>
                <c:pt idx="269" formatCode="yyyy/mm/dd">
                  <c:v>45630</c:v>
                </c:pt>
                <c:pt idx="270" formatCode="yyyy/mm/dd">
                  <c:v>45631</c:v>
                </c:pt>
                <c:pt idx="271" formatCode="yyyy/mm/dd">
                  <c:v>45632</c:v>
                </c:pt>
                <c:pt idx="272" formatCode="m/d/yyyy">
                  <c:v>45635</c:v>
                </c:pt>
                <c:pt idx="273" formatCode="m/d/yyyy">
                  <c:v>45636</c:v>
                </c:pt>
                <c:pt idx="274" formatCode="m/d/yyyy">
                  <c:v>45637</c:v>
                </c:pt>
                <c:pt idx="275" formatCode="m/d/yyyy">
                  <c:v>45638</c:v>
                </c:pt>
                <c:pt idx="276" formatCode="m/d/yyyy">
                  <c:v>45639</c:v>
                </c:pt>
                <c:pt idx="277" formatCode="m/d/yyyy">
                  <c:v>45642</c:v>
                </c:pt>
                <c:pt idx="278" formatCode="m/d/yyyy">
                  <c:v>45643</c:v>
                </c:pt>
                <c:pt idx="279" formatCode="m/d/yyyy">
                  <c:v>45644</c:v>
                </c:pt>
                <c:pt idx="280" formatCode="m/d/yyyy">
                  <c:v>45645</c:v>
                </c:pt>
                <c:pt idx="281" formatCode="m/d/yyyy">
                  <c:v>45646</c:v>
                </c:pt>
                <c:pt idx="282" formatCode="m/d/yyyy">
                  <c:v>45649</c:v>
                </c:pt>
                <c:pt idx="283" formatCode="m/d/yyyy">
                  <c:v>45650</c:v>
                </c:pt>
                <c:pt idx="284" formatCode="m/d/yyyy">
                  <c:v>45651</c:v>
                </c:pt>
                <c:pt idx="285" formatCode="m/d/yyyy">
                  <c:v>45652</c:v>
                </c:pt>
                <c:pt idx="286" formatCode="m/d/yyyy">
                  <c:v>45653</c:v>
                </c:pt>
                <c:pt idx="287" formatCode="m/d/yyyy">
                  <c:v>45656</c:v>
                </c:pt>
                <c:pt idx="288" formatCode="m/d/yyyy">
                  <c:v>45657</c:v>
                </c:pt>
                <c:pt idx="289" formatCode="m/d/yyyy">
                  <c:v>45659</c:v>
                </c:pt>
                <c:pt idx="290" formatCode="m/d/yyyy">
                  <c:v>45660</c:v>
                </c:pt>
                <c:pt idx="291" formatCode="m/d/yyyy">
                  <c:v>45663</c:v>
                </c:pt>
                <c:pt idx="292" formatCode="m/d/yyyy">
                  <c:v>45664</c:v>
                </c:pt>
                <c:pt idx="293" formatCode="m/d/yyyy">
                  <c:v>45665</c:v>
                </c:pt>
                <c:pt idx="294" formatCode="m/d/yyyy">
                  <c:v>45666</c:v>
                </c:pt>
                <c:pt idx="295" formatCode="m/d/yyyy">
                  <c:v>45667</c:v>
                </c:pt>
                <c:pt idx="296" formatCode="m/d/yyyy">
                  <c:v>45670</c:v>
                </c:pt>
                <c:pt idx="297" formatCode="m/d/yyyy">
                  <c:v>45671</c:v>
                </c:pt>
                <c:pt idx="298" formatCode="m/d/yyyy">
                  <c:v>45672</c:v>
                </c:pt>
                <c:pt idx="299" formatCode="m/d/yyyy">
                  <c:v>45673</c:v>
                </c:pt>
                <c:pt idx="300" formatCode="m/d/yyyy">
                  <c:v>45674</c:v>
                </c:pt>
                <c:pt idx="301" formatCode="m/d/yyyy">
                  <c:v>45677</c:v>
                </c:pt>
                <c:pt idx="302" formatCode="m/d/yyyy">
                  <c:v>45678</c:v>
                </c:pt>
                <c:pt idx="303" formatCode="m/d/yyyy">
                  <c:v>45679</c:v>
                </c:pt>
                <c:pt idx="304" formatCode="m/d/yyyy">
                  <c:v>45680</c:v>
                </c:pt>
                <c:pt idx="305" formatCode="m/d/yyyy">
                  <c:v>45681</c:v>
                </c:pt>
                <c:pt idx="306" formatCode="m/d/yyyy">
                  <c:v>45684</c:v>
                </c:pt>
                <c:pt idx="307" formatCode="m/d/yyyy">
                  <c:v>45693</c:v>
                </c:pt>
                <c:pt idx="308" formatCode="m/d/yyyy">
                  <c:v>45694</c:v>
                </c:pt>
                <c:pt idx="309" formatCode="m/d/yyyy">
                  <c:v>45695</c:v>
                </c:pt>
                <c:pt idx="310" formatCode="m/d/yyyy">
                  <c:v>45698</c:v>
                </c:pt>
                <c:pt idx="311" formatCode="m/d/yyyy">
                  <c:v>45699</c:v>
                </c:pt>
                <c:pt idx="312" formatCode="m/d/yyyy">
                  <c:v>45700</c:v>
                </c:pt>
                <c:pt idx="313" formatCode="m/d/yyyy">
                  <c:v>45701</c:v>
                </c:pt>
                <c:pt idx="314" formatCode="m/d/yyyy">
                  <c:v>45702</c:v>
                </c:pt>
                <c:pt idx="315" formatCode="m/d/yyyy">
                  <c:v>45705</c:v>
                </c:pt>
                <c:pt idx="316" formatCode="m/d/yyyy">
                  <c:v>45706</c:v>
                </c:pt>
                <c:pt idx="317" formatCode="m/d/yyyy">
                  <c:v>45707</c:v>
                </c:pt>
                <c:pt idx="318" formatCode="m/d/yyyy">
                  <c:v>45708</c:v>
                </c:pt>
                <c:pt idx="319" formatCode="m/d/yyyy">
                  <c:v>45709</c:v>
                </c:pt>
                <c:pt idx="320" formatCode="m/d/yyyy">
                  <c:v>45712</c:v>
                </c:pt>
                <c:pt idx="321" formatCode="m/d/yyyy">
                  <c:v>45713</c:v>
                </c:pt>
                <c:pt idx="322" formatCode="m/d/yyyy">
                  <c:v>45714</c:v>
                </c:pt>
                <c:pt idx="323" formatCode="m/d/yyyy">
                  <c:v>45715</c:v>
                </c:pt>
                <c:pt idx="324" formatCode="m/d/yyyy">
                  <c:v>45716</c:v>
                </c:pt>
                <c:pt idx="325" formatCode="m/d/yyyy">
                  <c:v>45719</c:v>
                </c:pt>
                <c:pt idx="326" formatCode="m/d/yyyy">
                  <c:v>45720</c:v>
                </c:pt>
                <c:pt idx="327" formatCode="m/d/yyyy">
                  <c:v>45721</c:v>
                </c:pt>
                <c:pt idx="328" formatCode="m/d/yyyy">
                  <c:v>45722</c:v>
                </c:pt>
                <c:pt idx="329" formatCode="m/d/yyyy">
                  <c:v>45723</c:v>
                </c:pt>
                <c:pt idx="330" formatCode="m/d/yyyy">
                  <c:v>45726</c:v>
                </c:pt>
                <c:pt idx="331" formatCode="m/d/yyyy">
                  <c:v>45727</c:v>
                </c:pt>
                <c:pt idx="332" formatCode="m/d/yyyy">
                  <c:v>45728</c:v>
                </c:pt>
                <c:pt idx="333" formatCode="m/d/yyyy">
                  <c:v>45729</c:v>
                </c:pt>
                <c:pt idx="334" formatCode="m/d/yyyy">
                  <c:v>45730</c:v>
                </c:pt>
                <c:pt idx="335" formatCode="m/d/yyyy">
                  <c:v>45733</c:v>
                </c:pt>
                <c:pt idx="336" formatCode="m/d/yyyy">
                  <c:v>45734</c:v>
                </c:pt>
                <c:pt idx="337" formatCode="m/d/yyyy">
                  <c:v>45735</c:v>
                </c:pt>
                <c:pt idx="338" formatCode="m/d/yyyy">
                  <c:v>45736</c:v>
                </c:pt>
                <c:pt idx="339" formatCode="m/d/yyyy">
                  <c:v>45737</c:v>
                </c:pt>
                <c:pt idx="340" formatCode="m/d/yyyy">
                  <c:v>45740</c:v>
                </c:pt>
                <c:pt idx="341" formatCode="m/d/yyyy">
                  <c:v>45741</c:v>
                </c:pt>
                <c:pt idx="342" formatCode="m/d/yyyy">
                  <c:v>45742</c:v>
                </c:pt>
                <c:pt idx="343" formatCode="m/d/yyyy">
                  <c:v>45743</c:v>
                </c:pt>
                <c:pt idx="344" formatCode="m/d/yyyy">
                  <c:v>45744</c:v>
                </c:pt>
                <c:pt idx="345" formatCode="m/d/yyyy">
                  <c:v>45747</c:v>
                </c:pt>
                <c:pt idx="346" formatCode="m/d/yyyy">
                  <c:v>45748</c:v>
                </c:pt>
                <c:pt idx="347" formatCode="m/d/yyyy">
                  <c:v>45749</c:v>
                </c:pt>
                <c:pt idx="348" formatCode="m/d/yyyy">
                  <c:v>45750</c:v>
                </c:pt>
                <c:pt idx="349" formatCode="m/d/yyyy">
                  <c:v>45754</c:v>
                </c:pt>
                <c:pt idx="350" formatCode="m/d/yyyy">
                  <c:v>45755</c:v>
                </c:pt>
                <c:pt idx="351" formatCode="m/d/yyyy">
                  <c:v>45756</c:v>
                </c:pt>
                <c:pt idx="352" formatCode="m/d/yyyy">
                  <c:v>45757</c:v>
                </c:pt>
                <c:pt idx="353" formatCode="m/d/yyyy">
                  <c:v>45758</c:v>
                </c:pt>
                <c:pt idx="354" formatCode="m/d/yyyy">
                  <c:v>45761</c:v>
                </c:pt>
                <c:pt idx="355" formatCode="m/d/yyyy">
                  <c:v>45762</c:v>
                </c:pt>
                <c:pt idx="356" formatCode="m/d/yyyy">
                  <c:v>45763</c:v>
                </c:pt>
                <c:pt idx="357" formatCode="m/d/yyyy">
                  <c:v>45764</c:v>
                </c:pt>
                <c:pt idx="358" formatCode="m/d/yyyy">
                  <c:v>45765</c:v>
                </c:pt>
                <c:pt idx="359" formatCode="m/d/yyyy">
                  <c:v>45768</c:v>
                </c:pt>
                <c:pt idx="360" formatCode="m/d/yyyy">
                  <c:v>45769</c:v>
                </c:pt>
                <c:pt idx="361" formatCode="m/d/yyyy">
                  <c:v>45770</c:v>
                </c:pt>
                <c:pt idx="362" formatCode="m/d/yyyy">
                  <c:v>45771</c:v>
                </c:pt>
                <c:pt idx="363" formatCode="m/d/yyyy">
                  <c:v>45772</c:v>
                </c:pt>
                <c:pt idx="364" formatCode="m/d/yyyy">
                  <c:v>45775</c:v>
                </c:pt>
                <c:pt idx="365" formatCode="m/d/yyyy">
                  <c:v>45776</c:v>
                </c:pt>
                <c:pt idx="366" formatCode="m/d/yyyy">
                  <c:v>45777</c:v>
                </c:pt>
                <c:pt idx="367" formatCode="m/d/yyyy">
                  <c:v>45783</c:v>
                </c:pt>
                <c:pt idx="368" formatCode="m/d/yyyy">
                  <c:v>45784</c:v>
                </c:pt>
                <c:pt idx="369" formatCode="m/d/yyyy">
                  <c:v>45785</c:v>
                </c:pt>
                <c:pt idx="370" formatCode="m/d/yyyy">
                  <c:v>45786</c:v>
                </c:pt>
                <c:pt idx="371" formatCode="m/d/yyyy">
                  <c:v>45789</c:v>
                </c:pt>
                <c:pt idx="372" formatCode="m/d/yyyy">
                  <c:v>45790</c:v>
                </c:pt>
                <c:pt idx="373" formatCode="m/d/yyyy">
                  <c:v>45791</c:v>
                </c:pt>
                <c:pt idx="374" formatCode="m/d/yyyy">
                  <c:v>45792</c:v>
                </c:pt>
                <c:pt idx="375" formatCode="m/d/yyyy">
                  <c:v>45793</c:v>
                </c:pt>
                <c:pt idx="376" formatCode="m/d/yyyy">
                  <c:v>45796</c:v>
                </c:pt>
                <c:pt idx="377" formatCode="m/d/yyyy">
                  <c:v>45797</c:v>
                </c:pt>
                <c:pt idx="378" formatCode="m/d/yyyy">
                  <c:v>45798</c:v>
                </c:pt>
                <c:pt idx="379" formatCode="m/d/yyyy">
                  <c:v>45799</c:v>
                </c:pt>
                <c:pt idx="380" formatCode="m/d/yyyy">
                  <c:v>45800</c:v>
                </c:pt>
                <c:pt idx="381" formatCode="m/d/yyyy">
                  <c:v>45803</c:v>
                </c:pt>
                <c:pt idx="382" formatCode="m/d/yyyy">
                  <c:v>45804</c:v>
                </c:pt>
                <c:pt idx="383" formatCode="m/d/yyyy">
                  <c:v>45805</c:v>
                </c:pt>
                <c:pt idx="384" formatCode="m/d/yyyy">
                  <c:v>45806</c:v>
                </c:pt>
                <c:pt idx="385" formatCode="m/d/yyyy">
                  <c:v>45807</c:v>
                </c:pt>
                <c:pt idx="386" formatCode="m/d/yyyy">
                  <c:v>45811</c:v>
                </c:pt>
                <c:pt idx="387" formatCode="m/d/yyyy">
                  <c:v>45812</c:v>
                </c:pt>
                <c:pt idx="388" formatCode="m/d/yyyy">
                  <c:v>45813</c:v>
                </c:pt>
                <c:pt idx="389" formatCode="m/d/yyyy">
                  <c:v>45814</c:v>
                </c:pt>
                <c:pt idx="390" formatCode="m/d/yyyy">
                  <c:v>45817</c:v>
                </c:pt>
                <c:pt idx="391" formatCode="m/d/yyyy">
                  <c:v>45818</c:v>
                </c:pt>
                <c:pt idx="392" formatCode="m/d/yyyy">
                  <c:v>45819</c:v>
                </c:pt>
                <c:pt idx="393" formatCode="m/d/yyyy">
                  <c:v>45820</c:v>
                </c:pt>
                <c:pt idx="394" formatCode="m/d/yyyy">
                  <c:v>45821</c:v>
                </c:pt>
                <c:pt idx="395" formatCode="m/d/yyyy">
                  <c:v>45824</c:v>
                </c:pt>
                <c:pt idx="396" formatCode="m/d/yyyy">
                  <c:v>45825</c:v>
                </c:pt>
                <c:pt idx="397" formatCode="m/d/yyyy">
                  <c:v>45826</c:v>
                </c:pt>
                <c:pt idx="398" formatCode="m/d/yyyy">
                  <c:v>45827</c:v>
                </c:pt>
                <c:pt idx="399" formatCode="m/d/yyyy">
                  <c:v>45828</c:v>
                </c:pt>
                <c:pt idx="400" formatCode="m/d/yyyy">
                  <c:v>45831</c:v>
                </c:pt>
                <c:pt idx="401" formatCode="m/d/yyyy">
                  <c:v>45832</c:v>
                </c:pt>
                <c:pt idx="402" formatCode="m/d/yyyy">
                  <c:v>45833</c:v>
                </c:pt>
                <c:pt idx="403" formatCode="m/d/yyyy">
                  <c:v>45834</c:v>
                </c:pt>
                <c:pt idx="404" formatCode="m/d/yyyy">
                  <c:v>45835</c:v>
                </c:pt>
                <c:pt idx="405" formatCode="m/d/yyyy">
                  <c:v>45838</c:v>
                </c:pt>
                <c:pt idx="406" formatCode="m/d/yyyy">
                  <c:v>45839</c:v>
                </c:pt>
                <c:pt idx="407" formatCode="m/d/yyyy">
                  <c:v>45840</c:v>
                </c:pt>
                <c:pt idx="408" formatCode="m/d/yyyy">
                  <c:v>45841</c:v>
                </c:pt>
                <c:pt idx="409" formatCode="m/d/yyyy">
                  <c:v>45842</c:v>
                </c:pt>
                <c:pt idx="410" formatCode="m/d/yyyy">
                  <c:v>45845</c:v>
                </c:pt>
                <c:pt idx="411" formatCode="m/d/yyyy">
                  <c:v>45846</c:v>
                </c:pt>
                <c:pt idx="412" formatCode="m/d/yyyy">
                  <c:v>45847</c:v>
                </c:pt>
                <c:pt idx="413" formatCode="m/d/yyyy">
                  <c:v>45848</c:v>
                </c:pt>
                <c:pt idx="414" formatCode="m/d/yyyy">
                  <c:v>45849</c:v>
                </c:pt>
                <c:pt idx="415" formatCode="m/d/yyyy">
                  <c:v>45852</c:v>
                </c:pt>
                <c:pt idx="416" formatCode="m/d/yyyy">
                  <c:v>45853</c:v>
                </c:pt>
                <c:pt idx="417" formatCode="m/d/yyyy">
                  <c:v>45854</c:v>
                </c:pt>
                <c:pt idx="418" formatCode="m/d/yyyy">
                  <c:v>45855</c:v>
                </c:pt>
                <c:pt idx="419" formatCode="m/d/yyyy">
                  <c:v>45856</c:v>
                </c:pt>
                <c:pt idx="420" formatCode="m/d/yyyy">
                  <c:v>45859</c:v>
                </c:pt>
                <c:pt idx="421" formatCode="m/d/yyyy">
                  <c:v>45860</c:v>
                </c:pt>
                <c:pt idx="422" formatCode="m/d/yyyy">
                  <c:v>45861</c:v>
                </c:pt>
                <c:pt idx="423" formatCode="m/d/yyyy">
                  <c:v>45862</c:v>
                </c:pt>
                <c:pt idx="424" formatCode="m/d/yyyy">
                  <c:v>45863</c:v>
                </c:pt>
                <c:pt idx="425" formatCode="m/d/yyyy">
                  <c:v>45866</c:v>
                </c:pt>
                <c:pt idx="426" formatCode="m/d/yyyy">
                  <c:v>45867</c:v>
                </c:pt>
                <c:pt idx="427" formatCode="m/d/yyyy">
                  <c:v>45868</c:v>
                </c:pt>
                <c:pt idx="428" formatCode="m/d/yyyy">
                  <c:v>45869</c:v>
                </c:pt>
                <c:pt idx="429" formatCode="m/d/yyyy">
                  <c:v>45870</c:v>
                </c:pt>
                <c:pt idx="430" formatCode="m/d/yyyy">
                  <c:v>45873</c:v>
                </c:pt>
                <c:pt idx="431" formatCode="m/d/yyyy">
                  <c:v>45874</c:v>
                </c:pt>
                <c:pt idx="432" formatCode="m/d/yyyy">
                  <c:v>45875</c:v>
                </c:pt>
                <c:pt idx="433" formatCode="m/d/yyyy">
                  <c:v>45876</c:v>
                </c:pt>
                <c:pt idx="434" formatCode="m/d/yyyy">
                  <c:v>45877</c:v>
                </c:pt>
                <c:pt idx="435" formatCode="m/d/yyyy">
                  <c:v>45880</c:v>
                </c:pt>
                <c:pt idx="436" formatCode="m/d/yyyy">
                  <c:v>45881</c:v>
                </c:pt>
                <c:pt idx="437" formatCode="m/d/yyyy">
                  <c:v>45882</c:v>
                </c:pt>
                <c:pt idx="438" formatCode="m/d/yyyy">
                  <c:v>45883</c:v>
                </c:pt>
                <c:pt idx="439" formatCode="m/d/yyyy">
                  <c:v>45884</c:v>
                </c:pt>
                <c:pt idx="440" formatCode="m/d/yyyy">
                  <c:v>45887</c:v>
                </c:pt>
                <c:pt idx="441" formatCode="m/d/yyyy">
                  <c:v>45888</c:v>
                </c:pt>
                <c:pt idx="442" formatCode="m/d/yyyy">
                  <c:v>45889</c:v>
                </c:pt>
                <c:pt idx="443" formatCode="m/d/yyyy">
                  <c:v>45890</c:v>
                </c:pt>
                <c:pt idx="444" formatCode="m/d/yyyy">
                  <c:v>45891</c:v>
                </c:pt>
                <c:pt idx="445" formatCode="m/d/yyyy">
                  <c:v>45894</c:v>
                </c:pt>
                <c:pt idx="446" formatCode="m/d/yyyy">
                  <c:v>45895</c:v>
                </c:pt>
                <c:pt idx="447" formatCode="m/d/yyyy">
                  <c:v>45896</c:v>
                </c:pt>
                <c:pt idx="448" formatCode="m/d/yyyy">
                  <c:v>45897</c:v>
                </c:pt>
                <c:pt idx="449" formatCode="m/d/yyyy">
                  <c:v>45898</c:v>
                </c:pt>
                <c:pt idx="450" formatCode="m/d/yyyy">
                  <c:v>45901</c:v>
                </c:pt>
                <c:pt idx="451" formatCode="m/d/yyyy">
                  <c:v>45902</c:v>
                </c:pt>
                <c:pt idx="452" formatCode="m/d/yyyy">
                  <c:v>45903</c:v>
                </c:pt>
                <c:pt idx="453" formatCode="m/d/yyyy">
                  <c:v>45904</c:v>
                </c:pt>
                <c:pt idx="454" formatCode="m/d/yyyy">
                  <c:v>45905</c:v>
                </c:pt>
                <c:pt idx="455" formatCode="m/d/yyyy">
                  <c:v>45908</c:v>
                </c:pt>
                <c:pt idx="456" formatCode="m/d/yyyy">
                  <c:v>45909</c:v>
                </c:pt>
                <c:pt idx="457" formatCode="m/d/yyyy">
                  <c:v>45910</c:v>
                </c:pt>
                <c:pt idx="458" formatCode="m/d/yyyy">
                  <c:v>45911</c:v>
                </c:pt>
                <c:pt idx="459" formatCode="m/d/yyyy">
                  <c:v>45912</c:v>
                </c:pt>
                <c:pt idx="460" formatCode="m/d/yyyy">
                  <c:v>45915</c:v>
                </c:pt>
                <c:pt idx="461" formatCode="m/d/yyyy">
                  <c:v>45916</c:v>
                </c:pt>
                <c:pt idx="462" formatCode="m/d/yyyy">
                  <c:v>45917</c:v>
                </c:pt>
                <c:pt idx="463" formatCode="m/d/yyyy">
                  <c:v>45918</c:v>
                </c:pt>
                <c:pt idx="464" formatCode="m/d/yyyy">
                  <c:v>45919</c:v>
                </c:pt>
                <c:pt idx="465" formatCode="m/d/yyyy">
                  <c:v>45922</c:v>
                </c:pt>
                <c:pt idx="466" formatCode="m/d/yyyy">
                  <c:v>45923</c:v>
                </c:pt>
                <c:pt idx="467" formatCode="m/d/yyyy">
                  <c:v>45924</c:v>
                </c:pt>
                <c:pt idx="468" formatCode="m/d/yyyy">
                  <c:v>45925</c:v>
                </c:pt>
                <c:pt idx="469" formatCode="m/d/yyyy">
                  <c:v>45926</c:v>
                </c:pt>
                <c:pt idx="470" formatCode="m/d/yyyy">
                  <c:v>45929</c:v>
                </c:pt>
                <c:pt idx="471" formatCode="m/d/yyyy">
                  <c:v>45930</c:v>
                </c:pt>
                <c:pt idx="472" formatCode="m/d/yyyy">
                  <c:v>45939</c:v>
                </c:pt>
                <c:pt idx="473" formatCode="m/d/yyyy">
                  <c:v>45940</c:v>
                </c:pt>
                <c:pt idx="474" formatCode="m/d/yyyy">
                  <c:v>45943</c:v>
                </c:pt>
                <c:pt idx="475" formatCode="m/d/yyyy">
                  <c:v>45944</c:v>
                </c:pt>
                <c:pt idx="476" formatCode="m/d/yyyy">
                  <c:v>45945</c:v>
                </c:pt>
                <c:pt idx="477" formatCode="m/d/yyyy">
                  <c:v>45946</c:v>
                </c:pt>
                <c:pt idx="478" formatCode="m/d/yyyy">
                  <c:v>45947</c:v>
                </c:pt>
                <c:pt idx="479" formatCode="m/d/yyyy">
                  <c:v>45950</c:v>
                </c:pt>
                <c:pt idx="480" formatCode="m/d/yyyy">
                  <c:v>45951</c:v>
                </c:pt>
                <c:pt idx="481" formatCode="m/d/yyyy">
                  <c:v>45952</c:v>
                </c:pt>
                <c:pt idx="482" formatCode="m/d/yyyy">
                  <c:v>45953</c:v>
                </c:pt>
                <c:pt idx="483" formatCode="m/d/yyyy">
                  <c:v>45954</c:v>
                </c:pt>
                <c:pt idx="484" formatCode="m/d/yyyy">
                  <c:v>45957</c:v>
                </c:pt>
                <c:pt idx="485" formatCode="m/d/yyyy">
                  <c:v>45958</c:v>
                </c:pt>
                <c:pt idx="486" formatCode="m/d/yyyy">
                  <c:v>45959</c:v>
                </c:pt>
                <c:pt idx="487" formatCode="m/d/yyyy">
                  <c:v>45960</c:v>
                </c:pt>
                <c:pt idx="488" formatCode="m/d/yyyy">
                  <c:v>45961</c:v>
                </c:pt>
                <c:pt idx="489" formatCode="m/d/yyyy">
                  <c:v>45964</c:v>
                </c:pt>
                <c:pt idx="490" formatCode="m/d/yyyy">
                  <c:v>45965</c:v>
                </c:pt>
                <c:pt idx="491" formatCode="m/d/yyyy">
                  <c:v>45966</c:v>
                </c:pt>
                <c:pt idx="492" formatCode="m/d/yyyy">
                  <c:v>45967</c:v>
                </c:pt>
                <c:pt idx="493" formatCode="m/d/yyyy">
                  <c:v>45968</c:v>
                </c:pt>
                <c:pt idx="494" formatCode="m/d/yyyy">
                  <c:v>45971</c:v>
                </c:pt>
                <c:pt idx="495" formatCode="m/d/yyyy">
                  <c:v>45972</c:v>
                </c:pt>
                <c:pt idx="496" formatCode="m/d/yyyy">
                  <c:v>45973</c:v>
                </c:pt>
                <c:pt idx="497" formatCode="m/d/yyyy">
                  <c:v>45974</c:v>
                </c:pt>
                <c:pt idx="498" formatCode="m/d/yyyy">
                  <c:v>45975</c:v>
                </c:pt>
                <c:pt idx="499" formatCode="m/d/yyyy">
                  <c:v>45978</c:v>
                </c:pt>
                <c:pt idx="500" formatCode="m/d/yyyy">
                  <c:v>45979</c:v>
                </c:pt>
                <c:pt idx="501" formatCode="m/d/yyyy">
                  <c:v>45980</c:v>
                </c:pt>
                <c:pt idx="502" formatCode="m/d/yyyy">
                  <c:v>45981</c:v>
                </c:pt>
                <c:pt idx="503" formatCode="m/d/yyyy">
                  <c:v>45982</c:v>
                </c:pt>
                <c:pt idx="504" formatCode="m/d/yyyy">
                  <c:v>45985</c:v>
                </c:pt>
                <c:pt idx="505" formatCode="m/d/yyyy">
                  <c:v>45986</c:v>
                </c:pt>
                <c:pt idx="506" formatCode="m/d/yyyy">
                  <c:v>45987</c:v>
                </c:pt>
                <c:pt idx="507" formatCode="m/d/yyyy">
                  <c:v>45988</c:v>
                </c:pt>
                <c:pt idx="508" formatCode="m/d/yyyy">
                  <c:v>45989</c:v>
                </c:pt>
                <c:pt idx="509" formatCode="m/d/yyyy">
                  <c:v>45992</c:v>
                </c:pt>
                <c:pt idx="510" formatCode="m/d/yyyy">
                  <c:v>45993</c:v>
                </c:pt>
                <c:pt idx="511" formatCode="m/d/yyyy">
                  <c:v>45994</c:v>
                </c:pt>
                <c:pt idx="512" formatCode="m/d/yyyy">
                  <c:v>45995</c:v>
                </c:pt>
                <c:pt idx="513" formatCode="m/d/yyyy">
                  <c:v>45996</c:v>
                </c:pt>
                <c:pt idx="514" formatCode="m/d/yyyy">
                  <c:v>45999</c:v>
                </c:pt>
                <c:pt idx="515" formatCode="m/d/yyyy">
                  <c:v>46000</c:v>
                </c:pt>
                <c:pt idx="516" formatCode="m/d/yyyy">
                  <c:v>46001</c:v>
                </c:pt>
                <c:pt idx="517" formatCode="m/d/yyyy">
                  <c:v>46002</c:v>
                </c:pt>
                <c:pt idx="518" formatCode="m/d/yyyy">
                  <c:v>46003</c:v>
                </c:pt>
                <c:pt idx="519" formatCode="m/d/yyyy">
                  <c:v>46006</c:v>
                </c:pt>
                <c:pt idx="520" formatCode="m/d/yyyy">
                  <c:v>46007</c:v>
                </c:pt>
                <c:pt idx="521" formatCode="m/d/yyyy">
                  <c:v>46008</c:v>
                </c:pt>
                <c:pt idx="522" formatCode="m/d/yyyy">
                  <c:v>46009</c:v>
                </c:pt>
                <c:pt idx="523" formatCode="m/d/yyyy">
                  <c:v>46010</c:v>
                </c:pt>
                <c:pt idx="524" formatCode="m/d/yyyy">
                  <c:v>46013</c:v>
                </c:pt>
                <c:pt idx="525" formatCode="m/d/yyyy">
                  <c:v>46014</c:v>
                </c:pt>
                <c:pt idx="526" formatCode="m/d/yyyy">
                  <c:v>46015</c:v>
                </c:pt>
                <c:pt idx="527" formatCode="m/d/yyyy">
                  <c:v>46016</c:v>
                </c:pt>
                <c:pt idx="528" formatCode="m/d/yyyy">
                  <c:v>46017</c:v>
                </c:pt>
                <c:pt idx="529" formatCode="m/d/yyyy">
                  <c:v>46020</c:v>
                </c:pt>
                <c:pt idx="530" formatCode="m/d/yyyy">
                  <c:v>46021</c:v>
                </c:pt>
                <c:pt idx="531" formatCode="m/d/yyyy">
                  <c:v>46022</c:v>
                </c:pt>
                <c:pt idx="532" formatCode="m/d/yyyy">
                  <c:v>46027</c:v>
                </c:pt>
                <c:pt idx="533" formatCode="m/d/yyyy">
                  <c:v>46028</c:v>
                </c:pt>
                <c:pt idx="534" formatCode="m/d/yyyy">
                  <c:v>46029</c:v>
                </c:pt>
                <c:pt idx="535" formatCode="m/d/yyyy">
                  <c:v>46030</c:v>
                </c:pt>
                <c:pt idx="536" formatCode="m/d/yyyy">
                  <c:v>46031</c:v>
                </c:pt>
                <c:pt idx="537" formatCode="m/d/yyyy">
                  <c:v>46034</c:v>
                </c:pt>
                <c:pt idx="538" formatCode="m/d/yyyy">
                  <c:v>46035</c:v>
                </c:pt>
                <c:pt idx="539" formatCode="m/d/yyyy">
                  <c:v>46036</c:v>
                </c:pt>
                <c:pt idx="540" formatCode="m/d/yyyy">
                  <c:v>46037</c:v>
                </c:pt>
                <c:pt idx="541" formatCode="m/d/yyyy">
                  <c:v>46038</c:v>
                </c:pt>
                <c:pt idx="542" formatCode="m/d/yyyy">
                  <c:v>46041</c:v>
                </c:pt>
                <c:pt idx="543" formatCode="m/d/yyyy">
                  <c:v>46042</c:v>
                </c:pt>
                <c:pt idx="544" formatCode="m/d/yyyy">
                  <c:v>46043</c:v>
                </c:pt>
                <c:pt idx="545" formatCode="m/d/yyyy">
                  <c:v>46044</c:v>
                </c:pt>
                <c:pt idx="546" formatCode="m/d/yyyy">
                  <c:v>46045</c:v>
                </c:pt>
                <c:pt idx="547" formatCode="m/d/yyyy">
                  <c:v>46048</c:v>
                </c:pt>
                <c:pt idx="548" formatCode="m/d/yyyy">
                  <c:v>46049</c:v>
                </c:pt>
                <c:pt idx="549" formatCode="m/d/yyyy">
                  <c:v>46050</c:v>
                </c:pt>
                <c:pt idx="550" formatCode="m/d/yyyy">
                  <c:v>46051</c:v>
                </c:pt>
                <c:pt idx="551" formatCode="m/d/yyyy">
                  <c:v>46052</c:v>
                </c:pt>
                <c:pt idx="552" formatCode="m/d/yyyy">
                  <c:v>46055</c:v>
                </c:pt>
                <c:pt idx="553" formatCode="m/d/yyyy">
                  <c:v>46056</c:v>
                </c:pt>
                <c:pt idx="554" formatCode="m/d/yyyy">
                  <c:v>46057</c:v>
                </c:pt>
                <c:pt idx="555" formatCode="m/d/yyyy">
                  <c:v>46058</c:v>
                </c:pt>
                <c:pt idx="556" formatCode="m/d/yyyy">
                  <c:v>46059</c:v>
                </c:pt>
                <c:pt idx="557" formatCode="m/d/yyyy">
                  <c:v>46062</c:v>
                </c:pt>
                <c:pt idx="558" formatCode="m/d/yyyy">
                  <c:v>46063</c:v>
                </c:pt>
                <c:pt idx="559" formatCode="m/d/yyyy">
                  <c:v>46064</c:v>
                </c:pt>
                <c:pt idx="560" formatCode="m/d/yyyy">
                  <c:v>46065</c:v>
                </c:pt>
                <c:pt idx="561" formatCode="m/d/yyyy">
                  <c:v>46066</c:v>
                </c:pt>
                <c:pt idx="562" formatCode="m/d/yyyy">
                  <c:v>46077</c:v>
                </c:pt>
                <c:pt idx="563" formatCode="m/d/yyyy">
                  <c:v>46078</c:v>
                </c:pt>
                <c:pt idx="564" formatCode="m/d/yyyy">
                  <c:v>46079</c:v>
                </c:pt>
                <c:pt idx="565" formatCode="m/d/yyyy">
                  <c:v>46080</c:v>
                </c:pt>
                <c:pt idx="566" formatCode="m/d/yyyy">
                  <c:v>46083</c:v>
                </c:pt>
                <c:pt idx="567" formatCode="m/d/yyyy">
                  <c:v>46084</c:v>
                </c:pt>
                <c:pt idx="568" formatCode="m/d/yyyy">
                  <c:v>46085</c:v>
                </c:pt>
                <c:pt idx="569" formatCode="m/d/yyyy">
                  <c:v>46086</c:v>
                </c:pt>
                <c:pt idx="570" formatCode="m/d/yyyy">
                  <c:v>46087</c:v>
                </c:pt>
                <c:pt idx="571" formatCode="m/d/yyyy">
                  <c:v>46090</c:v>
                </c:pt>
                <c:pt idx="572" formatCode="m/d/yyyy">
                  <c:v>46091</c:v>
                </c:pt>
                <c:pt idx="573" formatCode="m/d/yyyy">
                  <c:v>46092</c:v>
                </c:pt>
                <c:pt idx="574" formatCode="m/d/yyyy">
                  <c:v>46093</c:v>
                </c:pt>
                <c:pt idx="575" formatCode="m/d/yyyy">
                  <c:v>46094</c:v>
                </c:pt>
                <c:pt idx="576" formatCode="m/d/yyyy">
                  <c:v>46097</c:v>
                </c:pt>
                <c:pt idx="577" formatCode="m/d/yyyy">
                  <c:v>46098</c:v>
                </c:pt>
                <c:pt idx="578" formatCode="m/d/yyyy">
                  <c:v>46099</c:v>
                </c:pt>
                <c:pt idx="579" formatCode="m/d/yyyy">
                  <c:v>46100</c:v>
                </c:pt>
                <c:pt idx="580" formatCode="m/d/yyyy">
                  <c:v>46101</c:v>
                </c:pt>
                <c:pt idx="581" formatCode="m/d/yyyy">
                  <c:v>46104</c:v>
                </c:pt>
                <c:pt idx="582" formatCode="m/d/yyyy">
                  <c:v>46105</c:v>
                </c:pt>
                <c:pt idx="583" formatCode="m/d/yyyy">
                  <c:v>46106</c:v>
                </c:pt>
                <c:pt idx="584" formatCode="m/d/yyyy">
                  <c:v>46107</c:v>
                </c:pt>
                <c:pt idx="585" formatCode="m/d/yyyy">
                  <c:v>46108</c:v>
                </c:pt>
                <c:pt idx="586" formatCode="m/d/yyyy">
                  <c:v>46111</c:v>
                </c:pt>
                <c:pt idx="587" formatCode="m/d/yyyy">
                  <c:v>46112</c:v>
                </c:pt>
                <c:pt idx="588" formatCode="m/d/yyyy">
                  <c:v>46113</c:v>
                </c:pt>
                <c:pt idx="589" formatCode="m/d/yyyy">
                  <c:v>46114</c:v>
                </c:pt>
                <c:pt idx="590" formatCode="m/d/yyyy">
                  <c:v>46115</c:v>
                </c:pt>
                <c:pt idx="591" formatCode="m/d/yyyy">
                  <c:v>46119</c:v>
                </c:pt>
                <c:pt idx="592" formatCode="m/d/yyyy">
                  <c:v>46120</c:v>
                </c:pt>
                <c:pt idx="593" formatCode="m/d/yyyy">
                  <c:v>46121</c:v>
                </c:pt>
                <c:pt idx="594" formatCode="m/d/yyyy">
                  <c:v>46122</c:v>
                </c:pt>
                <c:pt idx="595" formatCode="m/d/yyyy">
                  <c:v>46125</c:v>
                </c:pt>
                <c:pt idx="596" formatCode="m/d/yyyy">
                  <c:v>46126</c:v>
                </c:pt>
                <c:pt idx="597" formatCode="m/d/yyyy">
                  <c:v>46127</c:v>
                </c:pt>
                <c:pt idx="598" formatCode="m/d/yyyy">
                  <c:v>46128</c:v>
                </c:pt>
                <c:pt idx="599" formatCode="m/d/yyyy">
                  <c:v>46129</c:v>
                </c:pt>
                <c:pt idx="600" formatCode="m/d/yyyy">
                  <c:v>46132</c:v>
                </c:pt>
                <c:pt idx="601" formatCode="m/d/yyyy">
                  <c:v>46133</c:v>
                </c:pt>
                <c:pt idx="602" formatCode="m/d/yyyy">
                  <c:v>46134</c:v>
                </c:pt>
                <c:pt idx="603" formatCode="m/d/yyyy">
                  <c:v>46135</c:v>
                </c:pt>
                <c:pt idx="604" formatCode="m/d/yyyy">
                  <c:v>46136</c:v>
                </c:pt>
                <c:pt idx="605" formatCode="m/d/yyyy">
                  <c:v>46139</c:v>
                </c:pt>
                <c:pt idx="606" formatCode="m/d/yyyy">
                  <c:v>46140</c:v>
                </c:pt>
                <c:pt idx="607" formatCode="m/d/yyyy">
                  <c:v>46141</c:v>
                </c:pt>
                <c:pt idx="608" formatCode="m/d/yyyy">
                  <c:v>46142</c:v>
                </c:pt>
                <c:pt idx="609" formatCode="m/d/yyyy">
                  <c:v>46148</c:v>
                </c:pt>
                <c:pt idx="610" formatCode="m/d/yyyy">
                  <c:v>46149</c:v>
                </c:pt>
                <c:pt idx="611" formatCode="m/d/yyyy">
                  <c:v>46150</c:v>
                </c:pt>
              </c:numCache>
            </c:numRef>
          </c:cat>
          <c:val>
            <c:numRef>
              <c:f>连板个股!$GJ$2:$ADW$2</c:f>
              <c:numCache>
                <c:formatCode>General</c:formatCode>
                <c:ptCount val="612"/>
                <c:pt idx="0">
                  <c:v>4</c:v>
                </c:pt>
                <c:pt idx="1">
                  <c:v>4.4000000000000004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4.5999999999999996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4.2</c:v>
                </c:pt>
                <c:pt idx="9">
                  <c:v>4.4000000000000004</c:v>
                </c:pt>
                <c:pt idx="10">
                  <c:v>3.8</c:v>
                </c:pt>
                <c:pt idx="11">
                  <c:v>3.6</c:v>
                </c:pt>
                <c:pt idx="12">
                  <c:v>3.8</c:v>
                </c:pt>
                <c:pt idx="13">
                  <c:v>3.6</c:v>
                </c:pt>
                <c:pt idx="14">
                  <c:v>3.2</c:v>
                </c:pt>
                <c:pt idx="15">
                  <c:v>3.6</c:v>
                </c:pt>
                <c:pt idx="16">
                  <c:v>3.8</c:v>
                </c:pt>
                <c:pt idx="17">
                  <c:v>4.2</c:v>
                </c:pt>
                <c:pt idx="18">
                  <c:v>5</c:v>
                </c:pt>
                <c:pt idx="19">
                  <c:v>5.6</c:v>
                </c:pt>
                <c:pt idx="20">
                  <c:v>5.2</c:v>
                </c:pt>
                <c:pt idx="21">
                  <c:v>5</c:v>
                </c:pt>
                <c:pt idx="22">
                  <c:v>4.5999999999999996</c:v>
                </c:pt>
                <c:pt idx="23">
                  <c:v>3.6</c:v>
                </c:pt>
                <c:pt idx="24">
                  <c:v>2.8</c:v>
                </c:pt>
                <c:pt idx="25">
                  <c:v>3</c:v>
                </c:pt>
                <c:pt idx="26">
                  <c:v>3.4</c:v>
                </c:pt>
                <c:pt idx="27">
                  <c:v>3.8</c:v>
                </c:pt>
                <c:pt idx="28">
                  <c:v>4.4000000000000004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3.6</c:v>
                </c:pt>
                <c:pt idx="32">
                  <c:v>3</c:v>
                </c:pt>
                <c:pt idx="33">
                  <c:v>2.4</c:v>
                </c:pt>
                <c:pt idx="34">
                  <c:v>2.2000000000000002</c:v>
                </c:pt>
                <c:pt idx="35">
                  <c:v>2.4</c:v>
                </c:pt>
                <c:pt idx="36">
                  <c:v>3</c:v>
                </c:pt>
                <c:pt idx="37">
                  <c:v>2.6</c:v>
                </c:pt>
                <c:pt idx="38">
                  <c:v>2.2000000000000002</c:v>
                </c:pt>
                <c:pt idx="39">
                  <c:v>1.8</c:v>
                </c:pt>
                <c:pt idx="40">
                  <c:v>1.4</c:v>
                </c:pt>
                <c:pt idx="41">
                  <c:v>1</c:v>
                </c:pt>
                <c:pt idx="42">
                  <c:v>1.2</c:v>
                </c:pt>
                <c:pt idx="43">
                  <c:v>1.8</c:v>
                </c:pt>
                <c:pt idx="44">
                  <c:v>2</c:v>
                </c:pt>
                <c:pt idx="45">
                  <c:v>2.4</c:v>
                </c:pt>
                <c:pt idx="46">
                  <c:v>3.2</c:v>
                </c:pt>
                <c:pt idx="47">
                  <c:v>4.2</c:v>
                </c:pt>
                <c:pt idx="48">
                  <c:v>4.5999999999999996</c:v>
                </c:pt>
                <c:pt idx="49">
                  <c:v>4.4000000000000004</c:v>
                </c:pt>
                <c:pt idx="50">
                  <c:v>3.8</c:v>
                </c:pt>
                <c:pt idx="51">
                  <c:v>3.6</c:v>
                </c:pt>
                <c:pt idx="52">
                  <c:v>3.2</c:v>
                </c:pt>
                <c:pt idx="53">
                  <c:v>2.4</c:v>
                </c:pt>
                <c:pt idx="54">
                  <c:v>2.4</c:v>
                </c:pt>
                <c:pt idx="55">
                  <c:v>2.6</c:v>
                </c:pt>
                <c:pt idx="56">
                  <c:v>2</c:v>
                </c:pt>
                <c:pt idx="57">
                  <c:v>1.6</c:v>
                </c:pt>
                <c:pt idx="58">
                  <c:v>1.4</c:v>
                </c:pt>
                <c:pt idx="59">
                  <c:v>1.6</c:v>
                </c:pt>
                <c:pt idx="60">
                  <c:v>1.8</c:v>
                </c:pt>
                <c:pt idx="61">
                  <c:v>2.8</c:v>
                </c:pt>
                <c:pt idx="62">
                  <c:v>3.4</c:v>
                </c:pt>
                <c:pt idx="63">
                  <c:v>3.6</c:v>
                </c:pt>
                <c:pt idx="64">
                  <c:v>3.6</c:v>
                </c:pt>
                <c:pt idx="65">
                  <c:v>5.4</c:v>
                </c:pt>
                <c:pt idx="66">
                  <c:v>6</c:v>
                </c:pt>
                <c:pt idx="67">
                  <c:v>5.6</c:v>
                </c:pt>
                <c:pt idx="68">
                  <c:v>5.4</c:v>
                </c:pt>
                <c:pt idx="69">
                  <c:v>5.2</c:v>
                </c:pt>
                <c:pt idx="70">
                  <c:v>3</c:v>
                </c:pt>
                <c:pt idx="71">
                  <c:v>1.4</c:v>
                </c:pt>
                <c:pt idx="72">
                  <c:v>1.2</c:v>
                </c:pt>
                <c:pt idx="73">
                  <c:v>1.2</c:v>
                </c:pt>
                <c:pt idx="74">
                  <c:v>1.4</c:v>
                </c:pt>
                <c:pt idx="75">
                  <c:v>1.6</c:v>
                </c:pt>
                <c:pt idx="76">
                  <c:v>2</c:v>
                </c:pt>
                <c:pt idx="77">
                  <c:v>3.4</c:v>
                </c:pt>
                <c:pt idx="78">
                  <c:v>7.6</c:v>
                </c:pt>
                <c:pt idx="79">
                  <c:v>11.6</c:v>
                </c:pt>
                <c:pt idx="80">
                  <c:v>15.4</c:v>
                </c:pt>
                <c:pt idx="81">
                  <c:v>17.600000000000001</c:v>
                </c:pt>
                <c:pt idx="82">
                  <c:v>16.8</c:v>
                </c:pt>
                <c:pt idx="83">
                  <c:v>13</c:v>
                </c:pt>
                <c:pt idx="84">
                  <c:v>9.4</c:v>
                </c:pt>
                <c:pt idx="85">
                  <c:v>5.8</c:v>
                </c:pt>
                <c:pt idx="86">
                  <c:v>3.8</c:v>
                </c:pt>
                <c:pt idx="87">
                  <c:v>3.6</c:v>
                </c:pt>
                <c:pt idx="88">
                  <c:v>3.4</c:v>
                </c:pt>
                <c:pt idx="89">
                  <c:v>3.4</c:v>
                </c:pt>
                <c:pt idx="90">
                  <c:v>3.6</c:v>
                </c:pt>
                <c:pt idx="91">
                  <c:v>3.4</c:v>
                </c:pt>
                <c:pt idx="92">
                  <c:v>3.4</c:v>
                </c:pt>
                <c:pt idx="93">
                  <c:v>3.6</c:v>
                </c:pt>
                <c:pt idx="94">
                  <c:v>3.6</c:v>
                </c:pt>
                <c:pt idx="95">
                  <c:v>3.4</c:v>
                </c:pt>
                <c:pt idx="96">
                  <c:v>3.8</c:v>
                </c:pt>
                <c:pt idx="97">
                  <c:v>4.4000000000000004</c:v>
                </c:pt>
                <c:pt idx="98">
                  <c:v>5.2</c:v>
                </c:pt>
                <c:pt idx="99">
                  <c:v>4.8</c:v>
                </c:pt>
                <c:pt idx="100">
                  <c:v>4.8</c:v>
                </c:pt>
                <c:pt idx="101">
                  <c:v>4.5999999999999996</c:v>
                </c:pt>
                <c:pt idx="102">
                  <c:v>4</c:v>
                </c:pt>
                <c:pt idx="103">
                  <c:v>3.4</c:v>
                </c:pt>
                <c:pt idx="104">
                  <c:v>3.4</c:v>
                </c:pt>
                <c:pt idx="105">
                  <c:v>3.8</c:v>
                </c:pt>
                <c:pt idx="106">
                  <c:v>4.2</c:v>
                </c:pt>
                <c:pt idx="107">
                  <c:v>4.4000000000000004</c:v>
                </c:pt>
                <c:pt idx="108">
                  <c:v>4</c:v>
                </c:pt>
                <c:pt idx="109">
                  <c:v>4</c:v>
                </c:pt>
                <c:pt idx="110">
                  <c:v>3.4</c:v>
                </c:pt>
                <c:pt idx="111">
                  <c:v>2.6</c:v>
                </c:pt>
                <c:pt idx="112">
                  <c:v>1.8</c:v>
                </c:pt>
                <c:pt idx="113">
                  <c:v>1.6</c:v>
                </c:pt>
                <c:pt idx="114">
                  <c:v>1.2</c:v>
                </c:pt>
                <c:pt idx="115">
                  <c:v>1.2</c:v>
                </c:pt>
                <c:pt idx="116">
                  <c:v>1.4</c:v>
                </c:pt>
                <c:pt idx="117">
                  <c:v>1.6</c:v>
                </c:pt>
                <c:pt idx="118">
                  <c:v>1.8</c:v>
                </c:pt>
                <c:pt idx="119">
                  <c:v>2</c:v>
                </c:pt>
                <c:pt idx="120">
                  <c:v>1.8</c:v>
                </c:pt>
                <c:pt idx="121">
                  <c:v>1.8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2.2000000000000002</c:v>
                </c:pt>
                <c:pt idx="126">
                  <c:v>2</c:v>
                </c:pt>
                <c:pt idx="127">
                  <c:v>2</c:v>
                </c:pt>
                <c:pt idx="128">
                  <c:v>2.2000000000000002</c:v>
                </c:pt>
                <c:pt idx="129">
                  <c:v>2.4</c:v>
                </c:pt>
                <c:pt idx="130">
                  <c:v>2</c:v>
                </c:pt>
                <c:pt idx="131">
                  <c:v>1.8</c:v>
                </c:pt>
                <c:pt idx="132">
                  <c:v>1.4</c:v>
                </c:pt>
                <c:pt idx="133">
                  <c:v>1</c:v>
                </c:pt>
                <c:pt idx="134">
                  <c:v>1</c:v>
                </c:pt>
                <c:pt idx="135">
                  <c:v>1.2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0.6</c:v>
                </c:pt>
                <c:pt idx="144">
                  <c:v>0.4</c:v>
                </c:pt>
                <c:pt idx="145">
                  <c:v>0.4</c:v>
                </c:pt>
                <c:pt idx="146">
                  <c:v>0.6</c:v>
                </c:pt>
                <c:pt idx="147">
                  <c:v>0.4</c:v>
                </c:pt>
                <c:pt idx="148">
                  <c:v>0.6</c:v>
                </c:pt>
                <c:pt idx="149">
                  <c:v>0.6</c:v>
                </c:pt>
                <c:pt idx="150">
                  <c:v>1</c:v>
                </c:pt>
                <c:pt idx="151">
                  <c:v>1</c:v>
                </c:pt>
                <c:pt idx="152">
                  <c:v>1.4</c:v>
                </c:pt>
                <c:pt idx="153">
                  <c:v>1.4</c:v>
                </c:pt>
                <c:pt idx="154">
                  <c:v>1.4</c:v>
                </c:pt>
                <c:pt idx="155">
                  <c:v>1.2</c:v>
                </c:pt>
                <c:pt idx="156">
                  <c:v>1.4</c:v>
                </c:pt>
                <c:pt idx="157">
                  <c:v>1.6</c:v>
                </c:pt>
                <c:pt idx="158">
                  <c:v>1.6</c:v>
                </c:pt>
                <c:pt idx="159">
                  <c:v>1.4</c:v>
                </c:pt>
                <c:pt idx="160">
                  <c:v>1.4</c:v>
                </c:pt>
                <c:pt idx="161">
                  <c:v>1.4</c:v>
                </c:pt>
                <c:pt idx="162">
                  <c:v>1</c:v>
                </c:pt>
                <c:pt idx="163">
                  <c:v>0.8</c:v>
                </c:pt>
                <c:pt idx="164">
                  <c:v>1.2</c:v>
                </c:pt>
                <c:pt idx="165">
                  <c:v>1.4</c:v>
                </c:pt>
                <c:pt idx="166">
                  <c:v>1.4</c:v>
                </c:pt>
                <c:pt idx="167">
                  <c:v>1.2</c:v>
                </c:pt>
                <c:pt idx="168">
                  <c:v>1.6</c:v>
                </c:pt>
                <c:pt idx="169">
                  <c:v>1.2</c:v>
                </c:pt>
                <c:pt idx="170">
                  <c:v>1</c:v>
                </c:pt>
                <c:pt idx="171">
                  <c:v>0.6</c:v>
                </c:pt>
                <c:pt idx="172">
                  <c:v>0.8</c:v>
                </c:pt>
                <c:pt idx="173">
                  <c:v>0.8</c:v>
                </c:pt>
                <c:pt idx="174">
                  <c:v>1.2</c:v>
                </c:pt>
                <c:pt idx="175">
                  <c:v>1.2</c:v>
                </c:pt>
                <c:pt idx="176">
                  <c:v>1.4</c:v>
                </c:pt>
                <c:pt idx="177">
                  <c:v>1.2</c:v>
                </c:pt>
                <c:pt idx="178">
                  <c:v>0.8</c:v>
                </c:pt>
                <c:pt idx="179">
                  <c:v>0.6</c:v>
                </c:pt>
                <c:pt idx="180">
                  <c:v>0.4</c:v>
                </c:pt>
                <c:pt idx="181">
                  <c:v>0.2</c:v>
                </c:pt>
                <c:pt idx="182">
                  <c:v>0.6</c:v>
                </c:pt>
                <c:pt idx="183">
                  <c:v>1</c:v>
                </c:pt>
                <c:pt idx="184">
                  <c:v>1.2</c:v>
                </c:pt>
                <c:pt idx="185">
                  <c:v>2.4</c:v>
                </c:pt>
                <c:pt idx="186">
                  <c:v>3.4</c:v>
                </c:pt>
                <c:pt idx="187">
                  <c:v>4.2</c:v>
                </c:pt>
                <c:pt idx="188">
                  <c:v>4.8</c:v>
                </c:pt>
                <c:pt idx="189">
                  <c:v>5.2</c:v>
                </c:pt>
                <c:pt idx="190">
                  <c:v>4.5999999999999996</c:v>
                </c:pt>
                <c:pt idx="191">
                  <c:v>4</c:v>
                </c:pt>
                <c:pt idx="192">
                  <c:v>3.2</c:v>
                </c:pt>
                <c:pt idx="193">
                  <c:v>2.4</c:v>
                </c:pt>
                <c:pt idx="194">
                  <c:v>1.6</c:v>
                </c:pt>
                <c:pt idx="195">
                  <c:v>1.2</c:v>
                </c:pt>
                <c:pt idx="196">
                  <c:v>1</c:v>
                </c:pt>
                <c:pt idx="197">
                  <c:v>0.6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1.2</c:v>
                </c:pt>
                <c:pt idx="203">
                  <c:v>1</c:v>
                </c:pt>
                <c:pt idx="204">
                  <c:v>1.2</c:v>
                </c:pt>
                <c:pt idx="205">
                  <c:v>1.2</c:v>
                </c:pt>
                <c:pt idx="206">
                  <c:v>1.4</c:v>
                </c:pt>
                <c:pt idx="207">
                  <c:v>1.4</c:v>
                </c:pt>
                <c:pt idx="208">
                  <c:v>1.4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2</c:v>
                </c:pt>
                <c:pt idx="213">
                  <c:v>2.8</c:v>
                </c:pt>
                <c:pt idx="214">
                  <c:v>3</c:v>
                </c:pt>
                <c:pt idx="215">
                  <c:v>3</c:v>
                </c:pt>
                <c:pt idx="216">
                  <c:v>2.8</c:v>
                </c:pt>
                <c:pt idx="217">
                  <c:v>2.4</c:v>
                </c:pt>
                <c:pt idx="218">
                  <c:v>1.8</c:v>
                </c:pt>
                <c:pt idx="219">
                  <c:v>1.4</c:v>
                </c:pt>
                <c:pt idx="220">
                  <c:v>1.4</c:v>
                </c:pt>
                <c:pt idx="221">
                  <c:v>1.8</c:v>
                </c:pt>
                <c:pt idx="222">
                  <c:v>2.2000000000000002</c:v>
                </c:pt>
                <c:pt idx="223">
                  <c:v>2.8</c:v>
                </c:pt>
                <c:pt idx="224">
                  <c:v>3.2</c:v>
                </c:pt>
                <c:pt idx="225">
                  <c:v>4</c:v>
                </c:pt>
                <c:pt idx="226">
                  <c:v>5.6</c:v>
                </c:pt>
                <c:pt idx="227">
                  <c:v>7.6</c:v>
                </c:pt>
                <c:pt idx="228">
                  <c:v>11.8</c:v>
                </c:pt>
                <c:pt idx="229">
                  <c:v>13.2</c:v>
                </c:pt>
                <c:pt idx="230">
                  <c:v>12.4</c:v>
                </c:pt>
                <c:pt idx="231">
                  <c:v>10.199999999999999</c:v>
                </c:pt>
                <c:pt idx="232">
                  <c:v>7.6</c:v>
                </c:pt>
                <c:pt idx="233">
                  <c:v>2.4</c:v>
                </c:pt>
                <c:pt idx="234">
                  <c:v>0.8</c:v>
                </c:pt>
                <c:pt idx="235">
                  <c:v>2.2000000000000002</c:v>
                </c:pt>
                <c:pt idx="236">
                  <c:v>4</c:v>
                </c:pt>
                <c:pt idx="237">
                  <c:v>6.2</c:v>
                </c:pt>
                <c:pt idx="238">
                  <c:v>8.6</c:v>
                </c:pt>
                <c:pt idx="239">
                  <c:v>10.4</c:v>
                </c:pt>
                <c:pt idx="240">
                  <c:v>10.8</c:v>
                </c:pt>
                <c:pt idx="241">
                  <c:v>11.8</c:v>
                </c:pt>
                <c:pt idx="242">
                  <c:v>12.6</c:v>
                </c:pt>
                <c:pt idx="243">
                  <c:v>13.8</c:v>
                </c:pt>
                <c:pt idx="244">
                  <c:v>17</c:v>
                </c:pt>
                <c:pt idx="245">
                  <c:v>21.2</c:v>
                </c:pt>
                <c:pt idx="246">
                  <c:v>20.8</c:v>
                </c:pt>
                <c:pt idx="247">
                  <c:v>18.399999999999999</c:v>
                </c:pt>
                <c:pt idx="248">
                  <c:v>18</c:v>
                </c:pt>
                <c:pt idx="249">
                  <c:v>15.4</c:v>
                </c:pt>
                <c:pt idx="250">
                  <c:v>11.4</c:v>
                </c:pt>
                <c:pt idx="251">
                  <c:v>11.2</c:v>
                </c:pt>
                <c:pt idx="252">
                  <c:v>11.4</c:v>
                </c:pt>
                <c:pt idx="253">
                  <c:v>8.8000000000000007</c:v>
                </c:pt>
                <c:pt idx="254">
                  <c:v>6.4</c:v>
                </c:pt>
                <c:pt idx="255">
                  <c:v>4.5999999999999996</c:v>
                </c:pt>
                <c:pt idx="256">
                  <c:v>2.8</c:v>
                </c:pt>
                <c:pt idx="257">
                  <c:v>3.2</c:v>
                </c:pt>
                <c:pt idx="258">
                  <c:v>3.4</c:v>
                </c:pt>
                <c:pt idx="259">
                  <c:v>4.5999999999999996</c:v>
                </c:pt>
                <c:pt idx="260">
                  <c:v>6.6</c:v>
                </c:pt>
                <c:pt idx="261">
                  <c:v>9.4</c:v>
                </c:pt>
                <c:pt idx="262">
                  <c:v>11.4</c:v>
                </c:pt>
                <c:pt idx="263">
                  <c:v>12.4</c:v>
                </c:pt>
                <c:pt idx="264">
                  <c:v>12.2</c:v>
                </c:pt>
                <c:pt idx="265">
                  <c:v>11</c:v>
                </c:pt>
                <c:pt idx="266">
                  <c:v>10</c:v>
                </c:pt>
                <c:pt idx="267">
                  <c:v>9.6</c:v>
                </c:pt>
                <c:pt idx="268">
                  <c:v>10.4</c:v>
                </c:pt>
                <c:pt idx="269">
                  <c:v>12</c:v>
                </c:pt>
                <c:pt idx="270">
                  <c:v>13.6</c:v>
                </c:pt>
                <c:pt idx="271">
                  <c:v>13.4</c:v>
                </c:pt>
                <c:pt idx="272">
                  <c:v>11.8</c:v>
                </c:pt>
                <c:pt idx="273">
                  <c:v>11</c:v>
                </c:pt>
                <c:pt idx="274">
                  <c:v>9.4</c:v>
                </c:pt>
                <c:pt idx="275">
                  <c:v>8.4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7.2</c:v>
                </c:pt>
                <c:pt idx="279">
                  <c:v>6.8</c:v>
                </c:pt>
                <c:pt idx="280">
                  <c:v>5.8</c:v>
                </c:pt>
                <c:pt idx="281">
                  <c:v>4.4000000000000004</c:v>
                </c:pt>
                <c:pt idx="282">
                  <c:v>3.4</c:v>
                </c:pt>
                <c:pt idx="283">
                  <c:v>3.2</c:v>
                </c:pt>
                <c:pt idx="284">
                  <c:v>2.8</c:v>
                </c:pt>
                <c:pt idx="285">
                  <c:v>2.4</c:v>
                </c:pt>
                <c:pt idx="286">
                  <c:v>2.2000000000000002</c:v>
                </c:pt>
                <c:pt idx="287">
                  <c:v>2.2000000000000002</c:v>
                </c:pt>
                <c:pt idx="288">
                  <c:v>2</c:v>
                </c:pt>
                <c:pt idx="289">
                  <c:v>2</c:v>
                </c:pt>
                <c:pt idx="290">
                  <c:v>2.2000000000000002</c:v>
                </c:pt>
                <c:pt idx="291">
                  <c:v>2.4</c:v>
                </c:pt>
                <c:pt idx="292">
                  <c:v>2.4</c:v>
                </c:pt>
                <c:pt idx="293">
                  <c:v>3.4</c:v>
                </c:pt>
                <c:pt idx="294">
                  <c:v>4.8</c:v>
                </c:pt>
                <c:pt idx="295">
                  <c:v>4.8</c:v>
                </c:pt>
                <c:pt idx="296">
                  <c:v>4.5999999999999996</c:v>
                </c:pt>
                <c:pt idx="297">
                  <c:v>5</c:v>
                </c:pt>
                <c:pt idx="298">
                  <c:v>4.4000000000000004</c:v>
                </c:pt>
                <c:pt idx="299">
                  <c:v>3.2</c:v>
                </c:pt>
                <c:pt idx="300">
                  <c:v>4.2</c:v>
                </c:pt>
                <c:pt idx="301">
                  <c:v>4.5999999999999996</c:v>
                </c:pt>
                <c:pt idx="302">
                  <c:v>4.4000000000000004</c:v>
                </c:pt>
                <c:pt idx="303">
                  <c:v>4.5999999999999996</c:v>
                </c:pt>
                <c:pt idx="304">
                  <c:v>4.5999999999999996</c:v>
                </c:pt>
                <c:pt idx="305">
                  <c:v>3.8</c:v>
                </c:pt>
                <c:pt idx="306">
                  <c:v>3.6</c:v>
                </c:pt>
                <c:pt idx="307">
                  <c:v>3.2</c:v>
                </c:pt>
                <c:pt idx="308">
                  <c:v>2.6</c:v>
                </c:pt>
                <c:pt idx="309">
                  <c:v>3.4</c:v>
                </c:pt>
                <c:pt idx="310">
                  <c:v>4.2</c:v>
                </c:pt>
                <c:pt idx="311">
                  <c:v>6</c:v>
                </c:pt>
                <c:pt idx="312">
                  <c:v>7.4</c:v>
                </c:pt>
                <c:pt idx="313">
                  <c:v>7.8</c:v>
                </c:pt>
                <c:pt idx="314">
                  <c:v>7.2</c:v>
                </c:pt>
                <c:pt idx="315">
                  <c:v>6.4</c:v>
                </c:pt>
                <c:pt idx="316">
                  <c:v>4.8</c:v>
                </c:pt>
                <c:pt idx="317">
                  <c:v>3.4</c:v>
                </c:pt>
                <c:pt idx="318">
                  <c:v>3.8</c:v>
                </c:pt>
                <c:pt idx="319">
                  <c:v>3.2</c:v>
                </c:pt>
                <c:pt idx="320">
                  <c:v>3.4</c:v>
                </c:pt>
                <c:pt idx="321">
                  <c:v>3</c:v>
                </c:pt>
                <c:pt idx="322">
                  <c:v>4</c:v>
                </c:pt>
                <c:pt idx="323">
                  <c:v>3.8</c:v>
                </c:pt>
                <c:pt idx="324">
                  <c:v>3.6</c:v>
                </c:pt>
                <c:pt idx="325">
                  <c:v>2.8</c:v>
                </c:pt>
                <c:pt idx="326">
                  <c:v>2.8</c:v>
                </c:pt>
                <c:pt idx="327">
                  <c:v>1.8</c:v>
                </c:pt>
                <c:pt idx="328">
                  <c:v>1.2</c:v>
                </c:pt>
                <c:pt idx="329">
                  <c:v>1.6</c:v>
                </c:pt>
                <c:pt idx="330">
                  <c:v>1.6</c:v>
                </c:pt>
                <c:pt idx="331">
                  <c:v>2</c:v>
                </c:pt>
                <c:pt idx="332">
                  <c:v>2.4</c:v>
                </c:pt>
                <c:pt idx="333">
                  <c:v>2.8</c:v>
                </c:pt>
                <c:pt idx="334">
                  <c:v>2.6</c:v>
                </c:pt>
                <c:pt idx="335">
                  <c:v>3</c:v>
                </c:pt>
                <c:pt idx="336">
                  <c:v>3.6</c:v>
                </c:pt>
                <c:pt idx="337">
                  <c:v>3.6</c:v>
                </c:pt>
                <c:pt idx="338">
                  <c:v>4.2</c:v>
                </c:pt>
                <c:pt idx="339">
                  <c:v>4.5999999999999996</c:v>
                </c:pt>
                <c:pt idx="340">
                  <c:v>4.5999999999999996</c:v>
                </c:pt>
                <c:pt idx="341">
                  <c:v>3.4</c:v>
                </c:pt>
                <c:pt idx="342">
                  <c:v>3.2</c:v>
                </c:pt>
                <c:pt idx="343">
                  <c:v>2.2000000000000002</c:v>
                </c:pt>
                <c:pt idx="344">
                  <c:v>1.4</c:v>
                </c:pt>
                <c:pt idx="345">
                  <c:v>1</c:v>
                </c:pt>
                <c:pt idx="346">
                  <c:v>1.2</c:v>
                </c:pt>
                <c:pt idx="347">
                  <c:v>1.2</c:v>
                </c:pt>
                <c:pt idx="348">
                  <c:v>0.8</c:v>
                </c:pt>
                <c:pt idx="349">
                  <c:v>1</c:v>
                </c:pt>
                <c:pt idx="350">
                  <c:v>1.2</c:v>
                </c:pt>
                <c:pt idx="351">
                  <c:v>2.4</c:v>
                </c:pt>
                <c:pt idx="352">
                  <c:v>2.8</c:v>
                </c:pt>
                <c:pt idx="353">
                  <c:v>3.6</c:v>
                </c:pt>
                <c:pt idx="354">
                  <c:v>3.8</c:v>
                </c:pt>
                <c:pt idx="355">
                  <c:v>3.8</c:v>
                </c:pt>
                <c:pt idx="356">
                  <c:v>2.8</c:v>
                </c:pt>
                <c:pt idx="357">
                  <c:v>2.8</c:v>
                </c:pt>
                <c:pt idx="358">
                  <c:v>3</c:v>
                </c:pt>
                <c:pt idx="359">
                  <c:v>3.6</c:v>
                </c:pt>
                <c:pt idx="360">
                  <c:v>4.2</c:v>
                </c:pt>
                <c:pt idx="361">
                  <c:v>4.2</c:v>
                </c:pt>
                <c:pt idx="362">
                  <c:v>4.2</c:v>
                </c:pt>
                <c:pt idx="363">
                  <c:v>3.6</c:v>
                </c:pt>
                <c:pt idx="364">
                  <c:v>2.8</c:v>
                </c:pt>
                <c:pt idx="365">
                  <c:v>2</c:v>
                </c:pt>
                <c:pt idx="366">
                  <c:v>2</c:v>
                </c:pt>
                <c:pt idx="367">
                  <c:v>1.4</c:v>
                </c:pt>
                <c:pt idx="368">
                  <c:v>1.6</c:v>
                </c:pt>
                <c:pt idx="369">
                  <c:v>1.8</c:v>
                </c:pt>
                <c:pt idx="370">
                  <c:v>2.2000000000000002</c:v>
                </c:pt>
                <c:pt idx="371">
                  <c:v>2.6</c:v>
                </c:pt>
                <c:pt idx="372">
                  <c:v>3</c:v>
                </c:pt>
                <c:pt idx="373">
                  <c:v>3.2</c:v>
                </c:pt>
                <c:pt idx="374">
                  <c:v>3.4</c:v>
                </c:pt>
                <c:pt idx="375">
                  <c:v>4</c:v>
                </c:pt>
                <c:pt idx="376">
                  <c:v>4</c:v>
                </c:pt>
                <c:pt idx="377">
                  <c:v>3.8</c:v>
                </c:pt>
                <c:pt idx="378">
                  <c:v>3.6</c:v>
                </c:pt>
                <c:pt idx="379">
                  <c:v>4</c:v>
                </c:pt>
                <c:pt idx="380">
                  <c:v>3</c:v>
                </c:pt>
                <c:pt idx="381">
                  <c:v>2.4</c:v>
                </c:pt>
                <c:pt idx="382">
                  <c:v>2.8</c:v>
                </c:pt>
                <c:pt idx="383">
                  <c:v>2.6</c:v>
                </c:pt>
                <c:pt idx="384">
                  <c:v>2.6</c:v>
                </c:pt>
                <c:pt idx="385">
                  <c:v>2.8</c:v>
                </c:pt>
                <c:pt idx="386">
                  <c:v>3.2</c:v>
                </c:pt>
                <c:pt idx="387">
                  <c:v>2.6</c:v>
                </c:pt>
                <c:pt idx="388">
                  <c:v>2.4</c:v>
                </c:pt>
                <c:pt idx="389">
                  <c:v>2</c:v>
                </c:pt>
                <c:pt idx="390">
                  <c:v>2.4</c:v>
                </c:pt>
                <c:pt idx="391">
                  <c:v>2.2000000000000002</c:v>
                </c:pt>
                <c:pt idx="392">
                  <c:v>2.6</c:v>
                </c:pt>
                <c:pt idx="393">
                  <c:v>3</c:v>
                </c:pt>
                <c:pt idx="394">
                  <c:v>2.6</c:v>
                </c:pt>
                <c:pt idx="395">
                  <c:v>2</c:v>
                </c:pt>
                <c:pt idx="396">
                  <c:v>1.6</c:v>
                </c:pt>
                <c:pt idx="397">
                  <c:v>2</c:v>
                </c:pt>
                <c:pt idx="398">
                  <c:v>1.8</c:v>
                </c:pt>
                <c:pt idx="399">
                  <c:v>2</c:v>
                </c:pt>
                <c:pt idx="400">
                  <c:v>2.4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2.6</c:v>
                </c:pt>
                <c:pt idx="407">
                  <c:v>1.8</c:v>
                </c:pt>
                <c:pt idx="408">
                  <c:v>2</c:v>
                </c:pt>
                <c:pt idx="409">
                  <c:v>2</c:v>
                </c:pt>
                <c:pt idx="410">
                  <c:v>1.4</c:v>
                </c:pt>
                <c:pt idx="411">
                  <c:v>2</c:v>
                </c:pt>
                <c:pt idx="412">
                  <c:v>2.8</c:v>
                </c:pt>
                <c:pt idx="413">
                  <c:v>3.2</c:v>
                </c:pt>
                <c:pt idx="414">
                  <c:v>3.4</c:v>
                </c:pt>
                <c:pt idx="415">
                  <c:v>3.8</c:v>
                </c:pt>
                <c:pt idx="416">
                  <c:v>3.2</c:v>
                </c:pt>
                <c:pt idx="417">
                  <c:v>3.2</c:v>
                </c:pt>
                <c:pt idx="418">
                  <c:v>2.8</c:v>
                </c:pt>
                <c:pt idx="419">
                  <c:v>2.6</c:v>
                </c:pt>
                <c:pt idx="420">
                  <c:v>2.4</c:v>
                </c:pt>
                <c:pt idx="421">
                  <c:v>3</c:v>
                </c:pt>
                <c:pt idx="422">
                  <c:v>2.2000000000000002</c:v>
                </c:pt>
                <c:pt idx="423">
                  <c:v>4.2</c:v>
                </c:pt>
                <c:pt idx="424">
                  <c:v>4.4000000000000004</c:v>
                </c:pt>
                <c:pt idx="425">
                  <c:v>4.5999999999999996</c:v>
                </c:pt>
                <c:pt idx="426">
                  <c:v>4</c:v>
                </c:pt>
                <c:pt idx="427">
                  <c:v>4</c:v>
                </c:pt>
                <c:pt idx="428">
                  <c:v>1.8</c:v>
                </c:pt>
                <c:pt idx="429">
                  <c:v>1.2</c:v>
                </c:pt>
                <c:pt idx="430">
                  <c:v>1</c:v>
                </c:pt>
                <c:pt idx="431">
                  <c:v>1.2</c:v>
                </c:pt>
                <c:pt idx="432">
                  <c:v>1.4</c:v>
                </c:pt>
                <c:pt idx="433">
                  <c:v>2</c:v>
                </c:pt>
                <c:pt idx="434">
                  <c:v>2.8</c:v>
                </c:pt>
                <c:pt idx="435">
                  <c:v>2.6</c:v>
                </c:pt>
                <c:pt idx="436">
                  <c:v>2.4</c:v>
                </c:pt>
                <c:pt idx="437">
                  <c:v>2.6</c:v>
                </c:pt>
                <c:pt idx="438">
                  <c:v>1.8</c:v>
                </c:pt>
                <c:pt idx="439">
                  <c:v>1.2</c:v>
                </c:pt>
                <c:pt idx="440">
                  <c:v>2.2000000000000002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2.4</c:v>
                </c:pt>
                <c:pt idx="444">
                  <c:v>3</c:v>
                </c:pt>
                <c:pt idx="445">
                  <c:v>2.4</c:v>
                </c:pt>
                <c:pt idx="446">
                  <c:v>2.4</c:v>
                </c:pt>
                <c:pt idx="447">
                  <c:v>2</c:v>
                </c:pt>
                <c:pt idx="448">
                  <c:v>1.8</c:v>
                </c:pt>
                <c:pt idx="449">
                  <c:v>1.4</c:v>
                </c:pt>
                <c:pt idx="450">
                  <c:v>1.6</c:v>
                </c:pt>
                <c:pt idx="451">
                  <c:v>1.8</c:v>
                </c:pt>
                <c:pt idx="452">
                  <c:v>1.8</c:v>
                </c:pt>
                <c:pt idx="453">
                  <c:v>1.6</c:v>
                </c:pt>
                <c:pt idx="454">
                  <c:v>1.4</c:v>
                </c:pt>
                <c:pt idx="455">
                  <c:v>1</c:v>
                </c:pt>
                <c:pt idx="456">
                  <c:v>1.2</c:v>
                </c:pt>
                <c:pt idx="457">
                  <c:v>1.4</c:v>
                </c:pt>
                <c:pt idx="458">
                  <c:v>1.4</c:v>
                </c:pt>
                <c:pt idx="459">
                  <c:v>1.8</c:v>
                </c:pt>
                <c:pt idx="460">
                  <c:v>1.8</c:v>
                </c:pt>
                <c:pt idx="461">
                  <c:v>1.4</c:v>
                </c:pt>
                <c:pt idx="462">
                  <c:v>1.8</c:v>
                </c:pt>
                <c:pt idx="463">
                  <c:v>3.2</c:v>
                </c:pt>
                <c:pt idx="464">
                  <c:v>3.2</c:v>
                </c:pt>
                <c:pt idx="465">
                  <c:v>3.6</c:v>
                </c:pt>
                <c:pt idx="466">
                  <c:v>4</c:v>
                </c:pt>
                <c:pt idx="467">
                  <c:v>3.4</c:v>
                </c:pt>
                <c:pt idx="468">
                  <c:v>2.6</c:v>
                </c:pt>
                <c:pt idx="469">
                  <c:v>2.2000000000000002</c:v>
                </c:pt>
                <c:pt idx="470">
                  <c:v>1.8</c:v>
                </c:pt>
                <c:pt idx="471">
                  <c:v>1.6</c:v>
                </c:pt>
                <c:pt idx="472">
                  <c:v>1.6</c:v>
                </c:pt>
                <c:pt idx="473">
                  <c:v>1</c:v>
                </c:pt>
                <c:pt idx="474">
                  <c:v>1</c:v>
                </c:pt>
                <c:pt idx="475">
                  <c:v>1.2</c:v>
                </c:pt>
                <c:pt idx="476">
                  <c:v>0.8</c:v>
                </c:pt>
                <c:pt idx="477">
                  <c:v>0.6</c:v>
                </c:pt>
                <c:pt idx="478">
                  <c:v>1</c:v>
                </c:pt>
                <c:pt idx="479">
                  <c:v>1.4</c:v>
                </c:pt>
                <c:pt idx="480">
                  <c:v>1.2</c:v>
                </c:pt>
                <c:pt idx="481">
                  <c:v>1.4</c:v>
                </c:pt>
                <c:pt idx="482">
                  <c:v>2.2000000000000002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2.8</c:v>
                </c:pt>
                <c:pt idx="486">
                  <c:v>3.2</c:v>
                </c:pt>
                <c:pt idx="487">
                  <c:v>2.8</c:v>
                </c:pt>
                <c:pt idx="488">
                  <c:v>3</c:v>
                </c:pt>
                <c:pt idx="489">
                  <c:v>2.6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2.2000000000000002</c:v>
                </c:pt>
                <c:pt idx="495">
                  <c:v>2.4</c:v>
                </c:pt>
                <c:pt idx="496">
                  <c:v>2.4</c:v>
                </c:pt>
                <c:pt idx="497">
                  <c:v>3.4</c:v>
                </c:pt>
                <c:pt idx="498">
                  <c:v>4.2</c:v>
                </c:pt>
                <c:pt idx="499">
                  <c:v>5.2</c:v>
                </c:pt>
                <c:pt idx="500">
                  <c:v>5.8</c:v>
                </c:pt>
                <c:pt idx="501">
                  <c:v>6.2</c:v>
                </c:pt>
                <c:pt idx="502">
                  <c:v>5.6</c:v>
                </c:pt>
                <c:pt idx="503">
                  <c:v>4.5999999999999996</c:v>
                </c:pt>
                <c:pt idx="504">
                  <c:v>3.8</c:v>
                </c:pt>
                <c:pt idx="505">
                  <c:v>3.2</c:v>
                </c:pt>
                <c:pt idx="506">
                  <c:v>3</c:v>
                </c:pt>
                <c:pt idx="507">
                  <c:v>2.6</c:v>
                </c:pt>
                <c:pt idx="508">
                  <c:v>2.6</c:v>
                </c:pt>
                <c:pt idx="509">
                  <c:v>2.6</c:v>
                </c:pt>
                <c:pt idx="510">
                  <c:v>3.4</c:v>
                </c:pt>
                <c:pt idx="511">
                  <c:v>3.4</c:v>
                </c:pt>
                <c:pt idx="512">
                  <c:v>3.2</c:v>
                </c:pt>
                <c:pt idx="513">
                  <c:v>3.2</c:v>
                </c:pt>
                <c:pt idx="514">
                  <c:v>3.4</c:v>
                </c:pt>
                <c:pt idx="515">
                  <c:v>3</c:v>
                </c:pt>
                <c:pt idx="516">
                  <c:v>2.8</c:v>
                </c:pt>
                <c:pt idx="517">
                  <c:v>3.2</c:v>
                </c:pt>
                <c:pt idx="518">
                  <c:v>3</c:v>
                </c:pt>
                <c:pt idx="519">
                  <c:v>2.4</c:v>
                </c:pt>
                <c:pt idx="520">
                  <c:v>2.2000000000000002</c:v>
                </c:pt>
                <c:pt idx="521">
                  <c:v>2</c:v>
                </c:pt>
                <c:pt idx="522">
                  <c:v>2</c:v>
                </c:pt>
                <c:pt idx="523">
                  <c:v>2.2000000000000002</c:v>
                </c:pt>
                <c:pt idx="524">
                  <c:v>2.8</c:v>
                </c:pt>
                <c:pt idx="525">
                  <c:v>3</c:v>
                </c:pt>
                <c:pt idx="526">
                  <c:v>3.4</c:v>
                </c:pt>
                <c:pt idx="527">
                  <c:v>4.2</c:v>
                </c:pt>
                <c:pt idx="528">
                  <c:v>4.8</c:v>
                </c:pt>
                <c:pt idx="529">
                  <c:v>5.4</c:v>
                </c:pt>
                <c:pt idx="530">
                  <c:v>5.6</c:v>
                </c:pt>
                <c:pt idx="531">
                  <c:v>5.4</c:v>
                </c:pt>
                <c:pt idx="532">
                  <c:v>4.4000000000000004</c:v>
                </c:pt>
                <c:pt idx="533">
                  <c:v>4.4000000000000004</c:v>
                </c:pt>
                <c:pt idx="534">
                  <c:v>4</c:v>
                </c:pt>
                <c:pt idx="535">
                  <c:v>4.8</c:v>
                </c:pt>
                <c:pt idx="536">
                  <c:v>5.6</c:v>
                </c:pt>
                <c:pt idx="537">
                  <c:v>6.8</c:v>
                </c:pt>
                <c:pt idx="538">
                  <c:v>6.8</c:v>
                </c:pt>
                <c:pt idx="539">
                  <c:v>6.8</c:v>
                </c:pt>
                <c:pt idx="540">
                  <c:v>5.4</c:v>
                </c:pt>
                <c:pt idx="541">
                  <c:v>4.2</c:v>
                </c:pt>
                <c:pt idx="542">
                  <c:v>3</c:v>
                </c:pt>
                <c:pt idx="543">
                  <c:v>2.2000000000000002</c:v>
                </c:pt>
                <c:pt idx="544">
                  <c:v>1.6</c:v>
                </c:pt>
                <c:pt idx="545">
                  <c:v>1.6</c:v>
                </c:pt>
                <c:pt idx="546">
                  <c:v>2</c:v>
                </c:pt>
                <c:pt idx="547">
                  <c:v>1.8</c:v>
                </c:pt>
                <c:pt idx="548">
                  <c:v>1.8</c:v>
                </c:pt>
                <c:pt idx="549">
                  <c:v>2.4</c:v>
                </c:pt>
                <c:pt idx="550">
                  <c:v>3</c:v>
                </c:pt>
                <c:pt idx="551">
                  <c:v>2.6</c:v>
                </c:pt>
                <c:pt idx="552">
                  <c:v>2.4</c:v>
                </c:pt>
                <c:pt idx="553">
                  <c:v>2.8</c:v>
                </c:pt>
                <c:pt idx="554">
                  <c:v>2.2000000000000002</c:v>
                </c:pt>
                <c:pt idx="555">
                  <c:v>1.4</c:v>
                </c:pt>
                <c:pt idx="556">
                  <c:v>1.4</c:v>
                </c:pt>
                <c:pt idx="557">
                  <c:v>2</c:v>
                </c:pt>
                <c:pt idx="558">
                  <c:v>1.4</c:v>
                </c:pt>
                <c:pt idx="559">
                  <c:v>1.2</c:v>
                </c:pt>
                <c:pt idx="560">
                  <c:v>1.8</c:v>
                </c:pt>
                <c:pt idx="561">
                  <c:v>1.8</c:v>
                </c:pt>
                <c:pt idx="562">
                  <c:v>1.6</c:v>
                </c:pt>
                <c:pt idx="563">
                  <c:v>2</c:v>
                </c:pt>
                <c:pt idx="564">
                  <c:v>2.2000000000000002</c:v>
                </c:pt>
                <c:pt idx="565">
                  <c:v>1.8</c:v>
                </c:pt>
                <c:pt idx="566">
                  <c:v>1.6</c:v>
                </c:pt>
                <c:pt idx="567">
                  <c:v>1.2</c:v>
                </c:pt>
                <c:pt idx="568">
                  <c:v>1.2</c:v>
                </c:pt>
                <c:pt idx="569">
                  <c:v>0.8</c:v>
                </c:pt>
                <c:pt idx="570">
                  <c:v>0.4</c:v>
                </c:pt>
                <c:pt idx="571">
                  <c:v>0.8</c:v>
                </c:pt>
                <c:pt idx="572">
                  <c:v>1</c:v>
                </c:pt>
                <c:pt idx="573">
                  <c:v>0.8</c:v>
                </c:pt>
                <c:pt idx="574">
                  <c:v>1</c:v>
                </c:pt>
                <c:pt idx="575">
                  <c:v>1.4</c:v>
                </c:pt>
                <c:pt idx="576">
                  <c:v>1</c:v>
                </c:pt>
                <c:pt idx="577">
                  <c:v>1.2</c:v>
                </c:pt>
                <c:pt idx="578">
                  <c:v>1.2</c:v>
                </c:pt>
                <c:pt idx="579">
                  <c:v>1.4</c:v>
                </c:pt>
                <c:pt idx="580">
                  <c:v>1.4</c:v>
                </c:pt>
                <c:pt idx="581">
                  <c:v>1.8</c:v>
                </c:pt>
                <c:pt idx="582">
                  <c:v>1.6</c:v>
                </c:pt>
                <c:pt idx="583">
                  <c:v>1.8</c:v>
                </c:pt>
                <c:pt idx="584">
                  <c:v>1.4</c:v>
                </c:pt>
                <c:pt idx="585">
                  <c:v>2.2000000000000002</c:v>
                </c:pt>
                <c:pt idx="586">
                  <c:v>2</c:v>
                </c:pt>
                <c:pt idx="587">
                  <c:v>2</c:v>
                </c:pt>
                <c:pt idx="588">
                  <c:v>1.8</c:v>
                </c:pt>
                <c:pt idx="589">
                  <c:v>2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1.2</c:v>
                </c:pt>
                <c:pt idx="596">
                  <c:v>1.6</c:v>
                </c:pt>
                <c:pt idx="597">
                  <c:v>1.6</c:v>
                </c:pt>
                <c:pt idx="598">
                  <c:v>1.8</c:v>
                </c:pt>
                <c:pt idx="599">
                  <c:v>2.2000000000000002</c:v>
                </c:pt>
                <c:pt idx="600">
                  <c:v>2</c:v>
                </c:pt>
                <c:pt idx="601">
                  <c:v>1.6</c:v>
                </c:pt>
                <c:pt idx="602">
                  <c:v>1.8</c:v>
                </c:pt>
                <c:pt idx="603">
                  <c:v>1.6</c:v>
                </c:pt>
                <c:pt idx="604">
                  <c:v>1</c:v>
                </c:pt>
                <c:pt idx="605">
                  <c:v>1</c:v>
                </c:pt>
                <c:pt idx="606">
                  <c:v>1.2</c:v>
                </c:pt>
                <c:pt idx="607">
                  <c:v>0.8</c:v>
                </c:pt>
                <c:pt idx="608">
                  <c:v>0.8</c:v>
                </c:pt>
                <c:pt idx="609">
                  <c:v>1.4</c:v>
                </c:pt>
                <c:pt idx="610">
                  <c:v>1.4</c:v>
                </c:pt>
                <c:pt idx="61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16-42BC-A6DE-9C869878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783855"/>
        <c:axId val="1094788655"/>
      </c:lineChart>
      <c:dateAx>
        <c:axId val="1094790095"/>
        <c:scaling>
          <c:orientation val="minMax"/>
        </c:scaling>
        <c:delete val="0"/>
        <c:axPos val="b"/>
        <c:numFmt formatCode="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74735"/>
        <c:crosses val="autoZero"/>
        <c:auto val="1"/>
        <c:lblOffset val="100"/>
        <c:baseTimeUnit val="days"/>
        <c:majorUnit val="2"/>
        <c:majorTimeUnit val="months"/>
        <c:minorUnit val="4"/>
        <c:minorTimeUnit val="days"/>
      </c:dateAx>
      <c:valAx>
        <c:axId val="109477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90095"/>
        <c:crosses val="autoZero"/>
        <c:crossBetween val="between"/>
      </c:valAx>
      <c:dateAx>
        <c:axId val="109478385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094788655"/>
        <c:crosses val="autoZero"/>
        <c:auto val="1"/>
        <c:lblOffset val="100"/>
        <c:baseTimeUnit val="days"/>
      </c:dateAx>
      <c:valAx>
        <c:axId val="1094788655"/>
        <c:scaling>
          <c:orientation val="minMax"/>
          <c:max val="2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094783855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/>
              <a:t>上证指数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指数!$D$3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val>
            <c:numRef>
              <c:f>指数!$D$5:$D$246</c:f>
              <c:numCache>
                <c:formatCode>0.0000</c:formatCode>
                <c:ptCount val="242"/>
                <c:pt idx="0">
                  <c:v>1423181000</c:v>
                </c:pt>
                <c:pt idx="1">
                  <c:v>571116400</c:v>
                </c:pt>
                <c:pt idx="2">
                  <c:v>490443100</c:v>
                </c:pt>
                <c:pt idx="3">
                  <c:v>613239000</c:v>
                </c:pt>
                <c:pt idx="4">
                  <c:v>522611900</c:v>
                </c:pt>
                <c:pt idx="5">
                  <c:v>407982700</c:v>
                </c:pt>
                <c:pt idx="6">
                  <c:v>377016100</c:v>
                </c:pt>
                <c:pt idx="7">
                  <c:v>338215700</c:v>
                </c:pt>
                <c:pt idx="8">
                  <c:v>326840000</c:v>
                </c:pt>
                <c:pt idx="9">
                  <c:v>321451000</c:v>
                </c:pt>
                <c:pt idx="10">
                  <c:v>409244500</c:v>
                </c:pt>
                <c:pt idx="11">
                  <c:v>366014400</c:v>
                </c:pt>
                <c:pt idx="12">
                  <c:v>324403500</c:v>
                </c:pt>
                <c:pt idx="13">
                  <c:v>325911700</c:v>
                </c:pt>
                <c:pt idx="14">
                  <c:v>316649500</c:v>
                </c:pt>
                <c:pt idx="15">
                  <c:v>288940200</c:v>
                </c:pt>
                <c:pt idx="16">
                  <c:v>301201200</c:v>
                </c:pt>
                <c:pt idx="17">
                  <c:v>299341900</c:v>
                </c:pt>
                <c:pt idx="18">
                  <c:v>287600900</c:v>
                </c:pt>
                <c:pt idx="19">
                  <c:v>237120300</c:v>
                </c:pt>
                <c:pt idx="20">
                  <c:v>242328900</c:v>
                </c:pt>
                <c:pt idx="21">
                  <c:v>217950200</c:v>
                </c:pt>
                <c:pt idx="22">
                  <c:v>237321300</c:v>
                </c:pt>
                <c:pt idx="23">
                  <c:v>230371800</c:v>
                </c:pt>
                <c:pt idx="24">
                  <c:v>230327400</c:v>
                </c:pt>
                <c:pt idx="25">
                  <c:v>219583500</c:v>
                </c:pt>
                <c:pt idx="26">
                  <c:v>208433800</c:v>
                </c:pt>
                <c:pt idx="27">
                  <c:v>179733600</c:v>
                </c:pt>
                <c:pt idx="28">
                  <c:v>211226600</c:v>
                </c:pt>
                <c:pt idx="29">
                  <c:v>201726100</c:v>
                </c:pt>
                <c:pt idx="30">
                  <c:v>266294000</c:v>
                </c:pt>
                <c:pt idx="31">
                  <c:v>275063200</c:v>
                </c:pt>
                <c:pt idx="32">
                  <c:v>209567600</c:v>
                </c:pt>
                <c:pt idx="33">
                  <c:v>207868700</c:v>
                </c:pt>
                <c:pt idx="34">
                  <c:v>198147000</c:v>
                </c:pt>
                <c:pt idx="35">
                  <c:v>216062400</c:v>
                </c:pt>
                <c:pt idx="36">
                  <c:v>172764300</c:v>
                </c:pt>
                <c:pt idx="37">
                  <c:v>192875700</c:v>
                </c:pt>
                <c:pt idx="38">
                  <c:v>166495900</c:v>
                </c:pt>
                <c:pt idx="39">
                  <c:v>170044100</c:v>
                </c:pt>
                <c:pt idx="40">
                  <c:v>166376600</c:v>
                </c:pt>
                <c:pt idx="41">
                  <c:v>180632400</c:v>
                </c:pt>
                <c:pt idx="42">
                  <c:v>179596300</c:v>
                </c:pt>
                <c:pt idx="43">
                  <c:v>190306800</c:v>
                </c:pt>
                <c:pt idx="44">
                  <c:v>195895500</c:v>
                </c:pt>
                <c:pt idx="45">
                  <c:v>195259500</c:v>
                </c:pt>
                <c:pt idx="46">
                  <c:v>174162200</c:v>
                </c:pt>
                <c:pt idx="47">
                  <c:v>220165900</c:v>
                </c:pt>
                <c:pt idx="48">
                  <c:v>199029100</c:v>
                </c:pt>
                <c:pt idx="49">
                  <c:v>181453100</c:v>
                </c:pt>
                <c:pt idx="50">
                  <c:v>227771900</c:v>
                </c:pt>
                <c:pt idx="51">
                  <c:v>226532400</c:v>
                </c:pt>
                <c:pt idx="52">
                  <c:v>171174200</c:v>
                </c:pt>
                <c:pt idx="53">
                  <c:v>156093500</c:v>
                </c:pt>
                <c:pt idx="54">
                  <c:v>136674400</c:v>
                </c:pt>
                <c:pt idx="55">
                  <c:v>171556700</c:v>
                </c:pt>
                <c:pt idx="56">
                  <c:v>139834400</c:v>
                </c:pt>
                <c:pt idx="57">
                  <c:v>214181700</c:v>
                </c:pt>
                <c:pt idx="58">
                  <c:v>223423800</c:v>
                </c:pt>
                <c:pt idx="59">
                  <c:v>214612400</c:v>
                </c:pt>
                <c:pt idx="60">
                  <c:v>182237900</c:v>
                </c:pt>
                <c:pt idx="61">
                  <c:v>201539400</c:v>
                </c:pt>
                <c:pt idx="62">
                  <c:v>147483000</c:v>
                </c:pt>
                <c:pt idx="63">
                  <c:v>151016300</c:v>
                </c:pt>
                <c:pt idx="64">
                  <c:v>147706200</c:v>
                </c:pt>
                <c:pt idx="65">
                  <c:v>124916600</c:v>
                </c:pt>
                <c:pt idx="66">
                  <c:v>120112900</c:v>
                </c:pt>
                <c:pt idx="67">
                  <c:v>104365100</c:v>
                </c:pt>
                <c:pt idx="68">
                  <c:v>101216500</c:v>
                </c:pt>
                <c:pt idx="69">
                  <c:v>138112700</c:v>
                </c:pt>
                <c:pt idx="70">
                  <c:v>138527400</c:v>
                </c:pt>
                <c:pt idx="71">
                  <c:v>216093000</c:v>
                </c:pt>
                <c:pt idx="72">
                  <c:v>143766400</c:v>
                </c:pt>
                <c:pt idx="73">
                  <c:v>149769700</c:v>
                </c:pt>
                <c:pt idx="74">
                  <c:v>144738100</c:v>
                </c:pt>
                <c:pt idx="75">
                  <c:v>155189800</c:v>
                </c:pt>
                <c:pt idx="76">
                  <c:v>119589500</c:v>
                </c:pt>
                <c:pt idx="77">
                  <c:v>131361700</c:v>
                </c:pt>
                <c:pt idx="78">
                  <c:v>133596800</c:v>
                </c:pt>
                <c:pt idx="79">
                  <c:v>187352400</c:v>
                </c:pt>
                <c:pt idx="80">
                  <c:v>181914500</c:v>
                </c:pt>
                <c:pt idx="81">
                  <c:v>180478700</c:v>
                </c:pt>
                <c:pt idx="82">
                  <c:v>115468500</c:v>
                </c:pt>
                <c:pt idx="83">
                  <c:v>130115800</c:v>
                </c:pt>
                <c:pt idx="84">
                  <c:v>121461200</c:v>
                </c:pt>
                <c:pt idx="85">
                  <c:v>114614800</c:v>
                </c:pt>
                <c:pt idx="86">
                  <c:v>104864900</c:v>
                </c:pt>
                <c:pt idx="87">
                  <c:v>122683500</c:v>
                </c:pt>
                <c:pt idx="88">
                  <c:v>105812700</c:v>
                </c:pt>
                <c:pt idx="89">
                  <c:v>87083800</c:v>
                </c:pt>
                <c:pt idx="90">
                  <c:v>87561100</c:v>
                </c:pt>
                <c:pt idx="91">
                  <c:v>115482400</c:v>
                </c:pt>
                <c:pt idx="92">
                  <c:v>93748400</c:v>
                </c:pt>
                <c:pt idx="93">
                  <c:v>111862300</c:v>
                </c:pt>
                <c:pt idx="94">
                  <c:v>103851700</c:v>
                </c:pt>
                <c:pt idx="95">
                  <c:v>113376500</c:v>
                </c:pt>
                <c:pt idx="96">
                  <c:v>142546100</c:v>
                </c:pt>
                <c:pt idx="97">
                  <c:v>114009800</c:v>
                </c:pt>
                <c:pt idx="98">
                  <c:v>101037900</c:v>
                </c:pt>
                <c:pt idx="99">
                  <c:v>90945000</c:v>
                </c:pt>
                <c:pt idx="100">
                  <c:v>115001300</c:v>
                </c:pt>
                <c:pt idx="101">
                  <c:v>82165500</c:v>
                </c:pt>
                <c:pt idx="102">
                  <c:v>86954700</c:v>
                </c:pt>
                <c:pt idx="103">
                  <c:v>92048600</c:v>
                </c:pt>
                <c:pt idx="104">
                  <c:v>94062900</c:v>
                </c:pt>
                <c:pt idx="105">
                  <c:v>101309500</c:v>
                </c:pt>
                <c:pt idx="106">
                  <c:v>92527700</c:v>
                </c:pt>
                <c:pt idx="107">
                  <c:v>92652400</c:v>
                </c:pt>
                <c:pt idx="108">
                  <c:v>87774800</c:v>
                </c:pt>
                <c:pt idx="109">
                  <c:v>80544900</c:v>
                </c:pt>
                <c:pt idx="110">
                  <c:v>88067700</c:v>
                </c:pt>
                <c:pt idx="111">
                  <c:v>71739800</c:v>
                </c:pt>
                <c:pt idx="112">
                  <c:v>100341200</c:v>
                </c:pt>
                <c:pt idx="113">
                  <c:v>82132400</c:v>
                </c:pt>
                <c:pt idx="114">
                  <c:v>73329200</c:v>
                </c:pt>
                <c:pt idx="115">
                  <c:v>81316300</c:v>
                </c:pt>
                <c:pt idx="116">
                  <c:v>85174000</c:v>
                </c:pt>
                <c:pt idx="117">
                  <c:v>85100000</c:v>
                </c:pt>
                <c:pt idx="118">
                  <c:v>102066300</c:v>
                </c:pt>
                <c:pt idx="119">
                  <c:v>119030600</c:v>
                </c:pt>
                <c:pt idx="120">
                  <c:v>1551000</c:v>
                </c:pt>
                <c:pt idx="121">
                  <c:v>291805800</c:v>
                </c:pt>
                <c:pt idx="122">
                  <c:v>94003200</c:v>
                </c:pt>
                <c:pt idx="123">
                  <c:v>85220500</c:v>
                </c:pt>
                <c:pt idx="124">
                  <c:v>108242400</c:v>
                </c:pt>
                <c:pt idx="125">
                  <c:v>156722000</c:v>
                </c:pt>
                <c:pt idx="126">
                  <c:v>119295600</c:v>
                </c:pt>
                <c:pt idx="127">
                  <c:v>118485500</c:v>
                </c:pt>
                <c:pt idx="128">
                  <c:v>120043900</c:v>
                </c:pt>
                <c:pt idx="129">
                  <c:v>108138400</c:v>
                </c:pt>
                <c:pt idx="130">
                  <c:v>99681100</c:v>
                </c:pt>
                <c:pt idx="131">
                  <c:v>110885100</c:v>
                </c:pt>
                <c:pt idx="132">
                  <c:v>100591800</c:v>
                </c:pt>
                <c:pt idx="133">
                  <c:v>138467400</c:v>
                </c:pt>
                <c:pt idx="134">
                  <c:v>106026300</c:v>
                </c:pt>
                <c:pt idx="135">
                  <c:v>119815100</c:v>
                </c:pt>
                <c:pt idx="136">
                  <c:v>104567200</c:v>
                </c:pt>
                <c:pt idx="137">
                  <c:v>94433400</c:v>
                </c:pt>
                <c:pt idx="138">
                  <c:v>93478700</c:v>
                </c:pt>
                <c:pt idx="139">
                  <c:v>104254200</c:v>
                </c:pt>
                <c:pt idx="140">
                  <c:v>116132200</c:v>
                </c:pt>
                <c:pt idx="141">
                  <c:v>129938700</c:v>
                </c:pt>
                <c:pt idx="142">
                  <c:v>110049000</c:v>
                </c:pt>
                <c:pt idx="143">
                  <c:v>99653100</c:v>
                </c:pt>
                <c:pt idx="144">
                  <c:v>100963000</c:v>
                </c:pt>
                <c:pt idx="145">
                  <c:v>106312900</c:v>
                </c:pt>
                <c:pt idx="146">
                  <c:v>91795700</c:v>
                </c:pt>
                <c:pt idx="147">
                  <c:v>101161800</c:v>
                </c:pt>
                <c:pt idx="148">
                  <c:v>79257400</c:v>
                </c:pt>
                <c:pt idx="149">
                  <c:v>91410900</c:v>
                </c:pt>
                <c:pt idx="150">
                  <c:v>103596000</c:v>
                </c:pt>
                <c:pt idx="151">
                  <c:v>114257800</c:v>
                </c:pt>
                <c:pt idx="152">
                  <c:v>87884200</c:v>
                </c:pt>
                <c:pt idx="153">
                  <c:v>106395400</c:v>
                </c:pt>
                <c:pt idx="154">
                  <c:v>103502900</c:v>
                </c:pt>
                <c:pt idx="155">
                  <c:v>95996800</c:v>
                </c:pt>
                <c:pt idx="156">
                  <c:v>99956300</c:v>
                </c:pt>
                <c:pt idx="157">
                  <c:v>104754200</c:v>
                </c:pt>
                <c:pt idx="158">
                  <c:v>86251800</c:v>
                </c:pt>
                <c:pt idx="159">
                  <c:v>93075700</c:v>
                </c:pt>
                <c:pt idx="160">
                  <c:v>107048700</c:v>
                </c:pt>
                <c:pt idx="161">
                  <c:v>93721000</c:v>
                </c:pt>
                <c:pt idx="162">
                  <c:v>101070100</c:v>
                </c:pt>
                <c:pt idx="163">
                  <c:v>95514200</c:v>
                </c:pt>
                <c:pt idx="164">
                  <c:v>88270900</c:v>
                </c:pt>
                <c:pt idx="165">
                  <c:v>84831800</c:v>
                </c:pt>
                <c:pt idx="166">
                  <c:v>97915000</c:v>
                </c:pt>
                <c:pt idx="167">
                  <c:v>149660700</c:v>
                </c:pt>
                <c:pt idx="168">
                  <c:v>105000000</c:v>
                </c:pt>
                <c:pt idx="169">
                  <c:v>89030100</c:v>
                </c:pt>
                <c:pt idx="170">
                  <c:v>94772600</c:v>
                </c:pt>
                <c:pt idx="171">
                  <c:v>92173200</c:v>
                </c:pt>
                <c:pt idx="172">
                  <c:v>84961500</c:v>
                </c:pt>
                <c:pt idx="173">
                  <c:v>92529600</c:v>
                </c:pt>
                <c:pt idx="174">
                  <c:v>80034200</c:v>
                </c:pt>
                <c:pt idx="175">
                  <c:v>95189100</c:v>
                </c:pt>
                <c:pt idx="176">
                  <c:v>87932000</c:v>
                </c:pt>
                <c:pt idx="177">
                  <c:v>89666500</c:v>
                </c:pt>
                <c:pt idx="178">
                  <c:v>89854900</c:v>
                </c:pt>
                <c:pt idx="179">
                  <c:v>89241000</c:v>
                </c:pt>
                <c:pt idx="180">
                  <c:v>84954700</c:v>
                </c:pt>
                <c:pt idx="181">
                  <c:v>108112800</c:v>
                </c:pt>
                <c:pt idx="182">
                  <c:v>112614000</c:v>
                </c:pt>
                <c:pt idx="183">
                  <c:v>80092500</c:v>
                </c:pt>
                <c:pt idx="184">
                  <c:v>79975500</c:v>
                </c:pt>
                <c:pt idx="185">
                  <c:v>83515100</c:v>
                </c:pt>
                <c:pt idx="186">
                  <c:v>104487600</c:v>
                </c:pt>
                <c:pt idx="187">
                  <c:v>170101100</c:v>
                </c:pt>
                <c:pt idx="188">
                  <c:v>95107200</c:v>
                </c:pt>
                <c:pt idx="189">
                  <c:v>85855200</c:v>
                </c:pt>
                <c:pt idx="190">
                  <c:v>81544300</c:v>
                </c:pt>
                <c:pt idx="191">
                  <c:v>86221700</c:v>
                </c:pt>
                <c:pt idx="192">
                  <c:v>84960700</c:v>
                </c:pt>
                <c:pt idx="193">
                  <c:v>96555100</c:v>
                </c:pt>
                <c:pt idx="194">
                  <c:v>94814900</c:v>
                </c:pt>
                <c:pt idx="195">
                  <c:v>101156900</c:v>
                </c:pt>
                <c:pt idx="196">
                  <c:v>96565800</c:v>
                </c:pt>
                <c:pt idx="197">
                  <c:v>100122700</c:v>
                </c:pt>
                <c:pt idx="198">
                  <c:v>93695900</c:v>
                </c:pt>
                <c:pt idx="199">
                  <c:v>100454500</c:v>
                </c:pt>
                <c:pt idx="200">
                  <c:v>98090300</c:v>
                </c:pt>
                <c:pt idx="201">
                  <c:v>96527400</c:v>
                </c:pt>
                <c:pt idx="202">
                  <c:v>100886900</c:v>
                </c:pt>
                <c:pt idx="203">
                  <c:v>106778000</c:v>
                </c:pt>
                <c:pt idx="204">
                  <c:v>116559700</c:v>
                </c:pt>
                <c:pt idx="205">
                  <c:v>129506100</c:v>
                </c:pt>
                <c:pt idx="206">
                  <c:v>124805300</c:v>
                </c:pt>
                <c:pt idx="207">
                  <c:v>121324000</c:v>
                </c:pt>
                <c:pt idx="208">
                  <c:v>116059100</c:v>
                </c:pt>
                <c:pt idx="209">
                  <c:v>134793000</c:v>
                </c:pt>
                <c:pt idx="210">
                  <c:v>109073000</c:v>
                </c:pt>
                <c:pt idx="211">
                  <c:v>140047100</c:v>
                </c:pt>
                <c:pt idx="212">
                  <c:v>99150200</c:v>
                </c:pt>
                <c:pt idx="213">
                  <c:v>123525800</c:v>
                </c:pt>
                <c:pt idx="214">
                  <c:v>108995700</c:v>
                </c:pt>
                <c:pt idx="215">
                  <c:v>98468400</c:v>
                </c:pt>
                <c:pt idx="216">
                  <c:v>108547100</c:v>
                </c:pt>
                <c:pt idx="217">
                  <c:v>148627500</c:v>
                </c:pt>
                <c:pt idx="218">
                  <c:v>108196200</c:v>
                </c:pt>
                <c:pt idx="219">
                  <c:v>121845600</c:v>
                </c:pt>
                <c:pt idx="220">
                  <c:v>111679100</c:v>
                </c:pt>
                <c:pt idx="221">
                  <c:v>113691500</c:v>
                </c:pt>
                <c:pt idx="222">
                  <c:v>140421600</c:v>
                </c:pt>
                <c:pt idx="223">
                  <c:v>164857700</c:v>
                </c:pt>
                <c:pt idx="224">
                  <c:v>147958900</c:v>
                </c:pt>
                <c:pt idx="225">
                  <c:v>149001500</c:v>
                </c:pt>
                <c:pt idx="226">
                  <c:v>163007600</c:v>
                </c:pt>
                <c:pt idx="227">
                  <c:v>173749000</c:v>
                </c:pt>
                <c:pt idx="228">
                  <c:v>156171600</c:v>
                </c:pt>
                <c:pt idx="229">
                  <c:v>170884700</c:v>
                </c:pt>
                <c:pt idx="230">
                  <c:v>151626400</c:v>
                </c:pt>
                <c:pt idx="231">
                  <c:v>199625800</c:v>
                </c:pt>
                <c:pt idx="232">
                  <c:v>206898600</c:v>
                </c:pt>
                <c:pt idx="233">
                  <c:v>200241500</c:v>
                </c:pt>
                <c:pt idx="234">
                  <c:v>203146200</c:v>
                </c:pt>
                <c:pt idx="235">
                  <c:v>235276100</c:v>
                </c:pt>
                <c:pt idx="236">
                  <c:v>255155800</c:v>
                </c:pt>
                <c:pt idx="237">
                  <c:v>274493900</c:v>
                </c:pt>
                <c:pt idx="238">
                  <c:v>5029600</c:v>
                </c:pt>
                <c:pt idx="239">
                  <c:v>0</c:v>
                </c:pt>
                <c:pt idx="240">
                  <c:v>0</c:v>
                </c:pt>
                <c:pt idx="241">
                  <c:v>480548100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3-426E-99CD-8086A26A2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0"/>
          <c:tx>
            <c:strRef>
              <c:f>指数!$C$3</c:f>
              <c:strCache>
                <c:ptCount val="1"/>
                <c:pt idx="0">
                  <c:v>收盘价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指数!$C$5:$C$246</c:f>
              <c:numCache>
                <c:formatCode>0.0000</c:formatCode>
                <c:ptCount val="242"/>
                <c:pt idx="0">
                  <c:v>3231.7289999999998</c:v>
                </c:pt>
                <c:pt idx="1">
                  <c:v>3229.6298999999999</c:v>
                </c:pt>
                <c:pt idx="2">
                  <c:v>3232.4504000000002</c:v>
                </c:pt>
                <c:pt idx="3">
                  <c:v>3229.9830000000002</c:v>
                </c:pt>
                <c:pt idx="4">
                  <c:v>3237.2791000000002</c:v>
                </c:pt>
                <c:pt idx="5">
                  <c:v>3237.9749000000002</c:v>
                </c:pt>
                <c:pt idx="6">
                  <c:v>3239.1592000000001</c:v>
                </c:pt>
                <c:pt idx="7">
                  <c:v>3236.5902000000001</c:v>
                </c:pt>
                <c:pt idx="8">
                  <c:v>3236.9798000000001</c:v>
                </c:pt>
                <c:pt idx="9">
                  <c:v>3238.2595000000001</c:v>
                </c:pt>
                <c:pt idx="10">
                  <c:v>3240.5592000000001</c:v>
                </c:pt>
                <c:pt idx="11">
                  <c:v>3241.7015000000001</c:v>
                </c:pt>
                <c:pt idx="12">
                  <c:v>3241.7338</c:v>
                </c:pt>
                <c:pt idx="13">
                  <c:v>3242.6392000000001</c:v>
                </c:pt>
                <c:pt idx="14">
                  <c:v>3242.8006</c:v>
                </c:pt>
                <c:pt idx="15">
                  <c:v>3242.9407999999999</c:v>
                </c:pt>
                <c:pt idx="16">
                  <c:v>3242.9674</c:v>
                </c:pt>
                <c:pt idx="17">
                  <c:v>3241.3859000000002</c:v>
                </c:pt>
                <c:pt idx="18">
                  <c:v>3243.8856999999998</c:v>
                </c:pt>
                <c:pt idx="19">
                  <c:v>3245.7352999999998</c:v>
                </c:pt>
                <c:pt idx="20">
                  <c:v>3245.7568000000001</c:v>
                </c:pt>
                <c:pt idx="21">
                  <c:v>3247.0502999999999</c:v>
                </c:pt>
                <c:pt idx="22">
                  <c:v>3247.6687999999999</c:v>
                </c:pt>
                <c:pt idx="23">
                  <c:v>3246.9571000000001</c:v>
                </c:pt>
                <c:pt idx="24">
                  <c:v>3248.1615999999999</c:v>
                </c:pt>
                <c:pt idx="25">
                  <c:v>3250.3323</c:v>
                </c:pt>
                <c:pt idx="26">
                  <c:v>3251.6351</c:v>
                </c:pt>
                <c:pt idx="27">
                  <c:v>3253.0448999999999</c:v>
                </c:pt>
                <c:pt idx="28">
                  <c:v>3255.8573000000001</c:v>
                </c:pt>
                <c:pt idx="29">
                  <c:v>3254.0437999999999</c:v>
                </c:pt>
                <c:pt idx="30">
                  <c:v>3257.3836000000001</c:v>
                </c:pt>
                <c:pt idx="31">
                  <c:v>3260.3499000000002</c:v>
                </c:pt>
                <c:pt idx="32">
                  <c:v>3260.8179</c:v>
                </c:pt>
                <c:pt idx="33">
                  <c:v>3261.9468000000002</c:v>
                </c:pt>
                <c:pt idx="34">
                  <c:v>3261.0576000000001</c:v>
                </c:pt>
                <c:pt idx="35">
                  <c:v>3259.3685999999998</c:v>
                </c:pt>
                <c:pt idx="36">
                  <c:v>3261.9829</c:v>
                </c:pt>
                <c:pt idx="37">
                  <c:v>3257.7192</c:v>
                </c:pt>
                <c:pt idx="38">
                  <c:v>3259.5234</c:v>
                </c:pt>
                <c:pt idx="39">
                  <c:v>3260.5268999999998</c:v>
                </c:pt>
                <c:pt idx="40">
                  <c:v>3261.2289000000001</c:v>
                </c:pt>
                <c:pt idx="41">
                  <c:v>3264.8269</c:v>
                </c:pt>
                <c:pt idx="42">
                  <c:v>3265.7483999999999</c:v>
                </c:pt>
                <c:pt idx="43">
                  <c:v>3267.3072000000002</c:v>
                </c:pt>
                <c:pt idx="44">
                  <c:v>3265.8987000000002</c:v>
                </c:pt>
                <c:pt idx="45">
                  <c:v>3268.0297999999998</c:v>
                </c:pt>
                <c:pt idx="46">
                  <c:v>3267.7950999999998</c:v>
                </c:pt>
                <c:pt idx="47">
                  <c:v>3271.5354000000002</c:v>
                </c:pt>
                <c:pt idx="48">
                  <c:v>3271.4004</c:v>
                </c:pt>
                <c:pt idx="49">
                  <c:v>3272.6082999999999</c:v>
                </c:pt>
                <c:pt idx="50">
                  <c:v>3272.4722999999999</c:v>
                </c:pt>
                <c:pt idx="51">
                  <c:v>3268.9740999999999</c:v>
                </c:pt>
                <c:pt idx="52">
                  <c:v>3267.5210999999999</c:v>
                </c:pt>
                <c:pt idx="53">
                  <c:v>3265.8047999999999</c:v>
                </c:pt>
                <c:pt idx="54">
                  <c:v>3268.4823999999999</c:v>
                </c:pt>
                <c:pt idx="55">
                  <c:v>3267.0039999999999</c:v>
                </c:pt>
                <c:pt idx="56">
                  <c:v>3267.9373000000001</c:v>
                </c:pt>
                <c:pt idx="57">
                  <c:v>3264.4063000000001</c:v>
                </c:pt>
                <c:pt idx="58">
                  <c:v>3263.2134000000001</c:v>
                </c:pt>
                <c:pt idx="59">
                  <c:v>3265.2950999999998</c:v>
                </c:pt>
                <c:pt idx="60">
                  <c:v>3264.9405999999999</c:v>
                </c:pt>
                <c:pt idx="61">
                  <c:v>3266.8438999999998</c:v>
                </c:pt>
                <c:pt idx="62">
                  <c:v>3263.8674000000001</c:v>
                </c:pt>
                <c:pt idx="63">
                  <c:v>3263.2172999999998</c:v>
                </c:pt>
                <c:pt idx="64">
                  <c:v>3265.2797999999998</c:v>
                </c:pt>
                <c:pt idx="65">
                  <c:v>3266.2390999999998</c:v>
                </c:pt>
                <c:pt idx="66">
                  <c:v>3263.5979000000002</c:v>
                </c:pt>
                <c:pt idx="67">
                  <c:v>3264.3611999999998</c:v>
                </c:pt>
                <c:pt idx="68">
                  <c:v>3264.7838999999999</c:v>
                </c:pt>
                <c:pt idx="69">
                  <c:v>3268.1410999999998</c:v>
                </c:pt>
                <c:pt idx="70">
                  <c:v>3268.3463999999999</c:v>
                </c:pt>
                <c:pt idx="71">
                  <c:v>3275.0389</c:v>
                </c:pt>
                <c:pt idx="72">
                  <c:v>3274.5545000000002</c:v>
                </c:pt>
                <c:pt idx="73">
                  <c:v>3275.5284000000001</c:v>
                </c:pt>
                <c:pt idx="74">
                  <c:v>3278.4079000000002</c:v>
                </c:pt>
                <c:pt idx="75">
                  <c:v>3278.5329999999999</c:v>
                </c:pt>
                <c:pt idx="76">
                  <c:v>3277.7993999999999</c:v>
                </c:pt>
                <c:pt idx="77">
                  <c:v>3277.8719000000001</c:v>
                </c:pt>
                <c:pt idx="78">
                  <c:v>3282.2691</c:v>
                </c:pt>
                <c:pt idx="79">
                  <c:v>3282.6633999999999</c:v>
                </c:pt>
                <c:pt idx="80">
                  <c:v>3286.9078</c:v>
                </c:pt>
                <c:pt idx="81">
                  <c:v>3284.1232</c:v>
                </c:pt>
                <c:pt idx="82">
                  <c:v>3283.4573</c:v>
                </c:pt>
                <c:pt idx="83">
                  <c:v>3284.9283999999998</c:v>
                </c:pt>
                <c:pt idx="84">
                  <c:v>3282.3647000000001</c:v>
                </c:pt>
                <c:pt idx="85">
                  <c:v>3282.4836</c:v>
                </c:pt>
                <c:pt idx="86">
                  <c:v>3280.7471</c:v>
                </c:pt>
                <c:pt idx="87">
                  <c:v>3279.8697000000002</c:v>
                </c:pt>
                <c:pt idx="88">
                  <c:v>3278.4387999999999</c:v>
                </c:pt>
                <c:pt idx="89">
                  <c:v>3279.0246999999999</c:v>
                </c:pt>
                <c:pt idx="90">
                  <c:v>3280.0839999999998</c:v>
                </c:pt>
                <c:pt idx="91">
                  <c:v>3278.8431</c:v>
                </c:pt>
                <c:pt idx="92">
                  <c:v>3277.2089000000001</c:v>
                </c:pt>
                <c:pt idx="93">
                  <c:v>3276.1976</c:v>
                </c:pt>
                <c:pt idx="94">
                  <c:v>3275.1309999999999</c:v>
                </c:pt>
                <c:pt idx="95">
                  <c:v>3276.3409999999999</c:v>
                </c:pt>
                <c:pt idx="96">
                  <c:v>3272.3265999999999</c:v>
                </c:pt>
                <c:pt idx="97">
                  <c:v>3272.2022000000002</c:v>
                </c:pt>
                <c:pt idx="98">
                  <c:v>3272.7267999999999</c:v>
                </c:pt>
                <c:pt idx="99">
                  <c:v>3273.4263000000001</c:v>
                </c:pt>
                <c:pt idx="100">
                  <c:v>3271.8701999999998</c:v>
                </c:pt>
                <c:pt idx="101">
                  <c:v>3273.6120000000001</c:v>
                </c:pt>
                <c:pt idx="102">
                  <c:v>3273.7330999999999</c:v>
                </c:pt>
                <c:pt idx="103">
                  <c:v>3273.8182999999999</c:v>
                </c:pt>
                <c:pt idx="104">
                  <c:v>3276.6851999999999</c:v>
                </c:pt>
                <c:pt idx="105">
                  <c:v>3275.7673</c:v>
                </c:pt>
                <c:pt idx="106">
                  <c:v>3277.3544999999999</c:v>
                </c:pt>
                <c:pt idx="107">
                  <c:v>3278.1062999999999</c:v>
                </c:pt>
                <c:pt idx="108">
                  <c:v>3279.3910999999998</c:v>
                </c:pt>
                <c:pt idx="109">
                  <c:v>3278.6543000000001</c:v>
                </c:pt>
                <c:pt idx="110">
                  <c:v>3276.5354000000002</c:v>
                </c:pt>
                <c:pt idx="111">
                  <c:v>3276.64</c:v>
                </c:pt>
                <c:pt idx="112">
                  <c:v>3275.2388999999998</c:v>
                </c:pt>
                <c:pt idx="113">
                  <c:v>3274.5965999999999</c:v>
                </c:pt>
                <c:pt idx="114">
                  <c:v>3275.8272000000002</c:v>
                </c:pt>
                <c:pt idx="115">
                  <c:v>3275.3117000000002</c:v>
                </c:pt>
                <c:pt idx="116">
                  <c:v>3275.5173</c:v>
                </c:pt>
                <c:pt idx="117">
                  <c:v>3275.8679999999999</c:v>
                </c:pt>
                <c:pt idx="118">
                  <c:v>3274.3245999999999</c:v>
                </c:pt>
                <c:pt idx="119">
                  <c:v>3272.2105999999999</c:v>
                </c:pt>
                <c:pt idx="120">
                  <c:v>3272.4002999999998</c:v>
                </c:pt>
                <c:pt idx="121">
                  <c:v>3271.5834</c:v>
                </c:pt>
                <c:pt idx="122">
                  <c:v>3271.5342999999998</c:v>
                </c:pt>
                <c:pt idx="123">
                  <c:v>3272.5394999999999</c:v>
                </c:pt>
                <c:pt idx="124">
                  <c:v>3270.8233</c:v>
                </c:pt>
                <c:pt idx="125">
                  <c:v>3267.4083999999998</c:v>
                </c:pt>
                <c:pt idx="126">
                  <c:v>3268.6486</c:v>
                </c:pt>
                <c:pt idx="127">
                  <c:v>3269.0001999999999</c:v>
                </c:pt>
                <c:pt idx="128">
                  <c:v>3269.5129999999999</c:v>
                </c:pt>
                <c:pt idx="129">
                  <c:v>3268.5225999999998</c:v>
                </c:pt>
                <c:pt idx="130">
                  <c:v>3269.3838000000001</c:v>
                </c:pt>
                <c:pt idx="131">
                  <c:v>3270.7728000000002</c:v>
                </c:pt>
                <c:pt idx="132">
                  <c:v>3272.1777000000002</c:v>
                </c:pt>
                <c:pt idx="133">
                  <c:v>3272.8290000000002</c:v>
                </c:pt>
                <c:pt idx="134">
                  <c:v>3273.9933999999998</c:v>
                </c:pt>
                <c:pt idx="135">
                  <c:v>3273.8222999999998</c:v>
                </c:pt>
                <c:pt idx="136">
                  <c:v>3272.6590000000001</c:v>
                </c:pt>
                <c:pt idx="137">
                  <c:v>3273.5706</c:v>
                </c:pt>
                <c:pt idx="138">
                  <c:v>3274.4562999999998</c:v>
                </c:pt>
                <c:pt idx="139">
                  <c:v>3275.6444999999999</c:v>
                </c:pt>
                <c:pt idx="140">
                  <c:v>3277.9110999999998</c:v>
                </c:pt>
                <c:pt idx="141">
                  <c:v>3276.8042999999998</c:v>
                </c:pt>
                <c:pt idx="142">
                  <c:v>3276.9949000000001</c:v>
                </c:pt>
                <c:pt idx="143">
                  <c:v>3277.9794999999999</c:v>
                </c:pt>
                <c:pt idx="144">
                  <c:v>3277.5832999999998</c:v>
                </c:pt>
                <c:pt idx="145">
                  <c:v>3276.8575000000001</c:v>
                </c:pt>
                <c:pt idx="146">
                  <c:v>3276.7945</c:v>
                </c:pt>
                <c:pt idx="147">
                  <c:v>3274.8416999999999</c:v>
                </c:pt>
                <c:pt idx="148">
                  <c:v>3274.2274000000002</c:v>
                </c:pt>
                <c:pt idx="149">
                  <c:v>3273.2302</c:v>
                </c:pt>
                <c:pt idx="150">
                  <c:v>3272.3231999999998</c:v>
                </c:pt>
                <c:pt idx="151">
                  <c:v>3273.7411999999999</c:v>
                </c:pt>
                <c:pt idx="152">
                  <c:v>3273.8895000000002</c:v>
                </c:pt>
                <c:pt idx="153">
                  <c:v>3274.5070999999998</c:v>
                </c:pt>
                <c:pt idx="154">
                  <c:v>3273.2357999999999</c:v>
                </c:pt>
                <c:pt idx="155">
                  <c:v>3272.9205000000002</c:v>
                </c:pt>
                <c:pt idx="156">
                  <c:v>3273.7496999999998</c:v>
                </c:pt>
                <c:pt idx="157">
                  <c:v>3272.0992999999999</c:v>
                </c:pt>
                <c:pt idx="158">
                  <c:v>3272.1242000000002</c:v>
                </c:pt>
                <c:pt idx="159">
                  <c:v>3271.2374</c:v>
                </c:pt>
                <c:pt idx="160">
                  <c:v>3269.77</c:v>
                </c:pt>
                <c:pt idx="161">
                  <c:v>3270.5248999999999</c:v>
                </c:pt>
                <c:pt idx="162">
                  <c:v>3272.7926000000002</c:v>
                </c:pt>
                <c:pt idx="163">
                  <c:v>3273.5944</c:v>
                </c:pt>
                <c:pt idx="164">
                  <c:v>3274.8906999999999</c:v>
                </c:pt>
                <c:pt idx="165">
                  <c:v>3275.3841000000002</c:v>
                </c:pt>
                <c:pt idx="166">
                  <c:v>3276.5135</c:v>
                </c:pt>
                <c:pt idx="167">
                  <c:v>3279.1156999999998</c:v>
                </c:pt>
                <c:pt idx="168">
                  <c:v>3276.8008</c:v>
                </c:pt>
                <c:pt idx="169">
                  <c:v>3277.4090999999999</c:v>
                </c:pt>
                <c:pt idx="170">
                  <c:v>3276.3824</c:v>
                </c:pt>
                <c:pt idx="171">
                  <c:v>3276.2370999999998</c:v>
                </c:pt>
                <c:pt idx="172">
                  <c:v>3276.6142</c:v>
                </c:pt>
                <c:pt idx="173">
                  <c:v>3278.1030999999998</c:v>
                </c:pt>
                <c:pt idx="174">
                  <c:v>3277.453</c:v>
                </c:pt>
                <c:pt idx="175">
                  <c:v>3277.3245999999999</c:v>
                </c:pt>
                <c:pt idx="176">
                  <c:v>3276.3969999999999</c:v>
                </c:pt>
                <c:pt idx="177">
                  <c:v>3276.8535000000002</c:v>
                </c:pt>
                <c:pt idx="178">
                  <c:v>3278.1215000000002</c:v>
                </c:pt>
                <c:pt idx="179">
                  <c:v>3277.8611000000001</c:v>
                </c:pt>
                <c:pt idx="180">
                  <c:v>3277.1037000000001</c:v>
                </c:pt>
                <c:pt idx="181">
                  <c:v>3275.7058000000002</c:v>
                </c:pt>
                <c:pt idx="182">
                  <c:v>3273.5563999999999</c:v>
                </c:pt>
                <c:pt idx="183">
                  <c:v>3274.8973999999998</c:v>
                </c:pt>
                <c:pt idx="184">
                  <c:v>3275.0877</c:v>
                </c:pt>
                <c:pt idx="185">
                  <c:v>3276.6518000000001</c:v>
                </c:pt>
                <c:pt idx="186">
                  <c:v>3278.3737999999998</c:v>
                </c:pt>
                <c:pt idx="187">
                  <c:v>3280.6089000000002</c:v>
                </c:pt>
                <c:pt idx="188">
                  <c:v>3280.8724999999999</c:v>
                </c:pt>
                <c:pt idx="189">
                  <c:v>3280.6208999999999</c:v>
                </c:pt>
                <c:pt idx="190">
                  <c:v>3280.3561</c:v>
                </c:pt>
                <c:pt idx="191">
                  <c:v>3279.0515999999998</c:v>
                </c:pt>
                <c:pt idx="192">
                  <c:v>3278.6871000000001</c:v>
                </c:pt>
                <c:pt idx="193">
                  <c:v>3279.0115000000001</c:v>
                </c:pt>
                <c:pt idx="194">
                  <c:v>3279.8895000000002</c:v>
                </c:pt>
                <c:pt idx="195">
                  <c:v>3280.1714000000002</c:v>
                </c:pt>
                <c:pt idx="196">
                  <c:v>3279.627</c:v>
                </c:pt>
                <c:pt idx="197">
                  <c:v>3279.1188999999999</c:v>
                </c:pt>
                <c:pt idx="198">
                  <c:v>3278.0574000000001</c:v>
                </c:pt>
                <c:pt idx="199">
                  <c:v>3278.9119999999998</c:v>
                </c:pt>
                <c:pt idx="200">
                  <c:v>3278.7547</c:v>
                </c:pt>
                <c:pt idx="201">
                  <c:v>3279.0628000000002</c:v>
                </c:pt>
                <c:pt idx="202">
                  <c:v>3279.4857999999999</c:v>
                </c:pt>
                <c:pt idx="203">
                  <c:v>3278.9551999999999</c:v>
                </c:pt>
                <c:pt idx="204">
                  <c:v>3279.3733000000002</c:v>
                </c:pt>
                <c:pt idx="205">
                  <c:v>3280.4068000000002</c:v>
                </c:pt>
                <c:pt idx="206">
                  <c:v>3280.3969000000002</c:v>
                </c:pt>
                <c:pt idx="207">
                  <c:v>3281.6466999999998</c:v>
                </c:pt>
                <c:pt idx="208">
                  <c:v>3281.9285</c:v>
                </c:pt>
                <c:pt idx="209">
                  <c:v>3281.0735</c:v>
                </c:pt>
                <c:pt idx="210">
                  <c:v>3280.0205999999998</c:v>
                </c:pt>
                <c:pt idx="211">
                  <c:v>3279.6441</c:v>
                </c:pt>
                <c:pt idx="212">
                  <c:v>3278.2656999999999</c:v>
                </c:pt>
                <c:pt idx="213">
                  <c:v>3278.3009000000002</c:v>
                </c:pt>
                <c:pt idx="214">
                  <c:v>3277.7782999999999</c:v>
                </c:pt>
                <c:pt idx="215">
                  <c:v>3277.2864</c:v>
                </c:pt>
                <c:pt idx="216">
                  <c:v>3276.1929</c:v>
                </c:pt>
                <c:pt idx="217">
                  <c:v>3278.4618</c:v>
                </c:pt>
                <c:pt idx="218">
                  <c:v>3278.6122999999998</c:v>
                </c:pt>
                <c:pt idx="219">
                  <c:v>3279.4123</c:v>
                </c:pt>
                <c:pt idx="220">
                  <c:v>3278.7530999999999</c:v>
                </c:pt>
                <c:pt idx="221">
                  <c:v>3278.3249999999998</c:v>
                </c:pt>
                <c:pt idx="222">
                  <c:v>3279.3352</c:v>
                </c:pt>
                <c:pt idx="223">
                  <c:v>3280.8490000000002</c:v>
                </c:pt>
                <c:pt idx="224">
                  <c:v>3280.9870000000001</c:v>
                </c:pt>
                <c:pt idx="225">
                  <c:v>3280.8631999999998</c:v>
                </c:pt>
                <c:pt idx="226">
                  <c:v>3281.2831999999999</c:v>
                </c:pt>
                <c:pt idx="227">
                  <c:v>3281.5735</c:v>
                </c:pt>
                <c:pt idx="228">
                  <c:v>3281.8490000000002</c:v>
                </c:pt>
                <c:pt idx="229">
                  <c:v>3281.5812000000001</c:v>
                </c:pt>
                <c:pt idx="230">
                  <c:v>3280.7903000000001</c:v>
                </c:pt>
                <c:pt idx="231">
                  <c:v>3280.5189999999998</c:v>
                </c:pt>
                <c:pt idx="232">
                  <c:v>3280.4751999999999</c:v>
                </c:pt>
                <c:pt idx="233">
                  <c:v>3279.4247</c:v>
                </c:pt>
                <c:pt idx="234">
                  <c:v>3279.7662</c:v>
                </c:pt>
                <c:pt idx="235">
                  <c:v>3280.1455999999998</c:v>
                </c:pt>
                <c:pt idx="236">
                  <c:v>3280.5680000000002</c:v>
                </c:pt>
                <c:pt idx="237">
                  <c:v>3280.9202</c:v>
                </c:pt>
                <c:pt idx="238">
                  <c:v>3280.9025000000001</c:v>
                </c:pt>
                <c:pt idx="239">
                  <c:v>3280.9025000000001</c:v>
                </c:pt>
                <c:pt idx="240">
                  <c:v>3280.9025000000001</c:v>
                </c:pt>
                <c:pt idx="241">
                  <c:v>3282.7166000000002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3-426E-99CD-8086A26A2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912000"/>
        <c:axId val="1"/>
      </c:lineChart>
      <c:catAx>
        <c:axId val="5819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1200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</a:rPr>
              <a:t>深证成指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Calibri" panose="020F0502020204030204"/>
                <a:ea typeface="等线" panose="02010600030101010101" charset="-122"/>
                <a:cs typeface="Calibri" panose="020F0502020204030204"/>
              </a:rPr>
              <a:t> 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指数!$P$3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val>
            <c:numRef>
              <c:f>指数!$P$5:$P$246</c:f>
              <c:numCache>
                <c:formatCode>0.0000</c:formatCode>
                <c:ptCount val="242"/>
                <c:pt idx="0">
                  <c:v>2107356400</c:v>
                </c:pt>
                <c:pt idx="1">
                  <c:v>944662500</c:v>
                </c:pt>
                <c:pt idx="2">
                  <c:v>765797500</c:v>
                </c:pt>
                <c:pt idx="3">
                  <c:v>945416800</c:v>
                </c:pt>
                <c:pt idx="4">
                  <c:v>652790400</c:v>
                </c:pt>
                <c:pt idx="5">
                  <c:v>585100000</c:v>
                </c:pt>
                <c:pt idx="6">
                  <c:v>543378400</c:v>
                </c:pt>
                <c:pt idx="7">
                  <c:v>532339000</c:v>
                </c:pt>
                <c:pt idx="8">
                  <c:v>473792800</c:v>
                </c:pt>
                <c:pt idx="9">
                  <c:v>469941700</c:v>
                </c:pt>
                <c:pt idx="10">
                  <c:v>495801800</c:v>
                </c:pt>
                <c:pt idx="11">
                  <c:v>441587600</c:v>
                </c:pt>
                <c:pt idx="12">
                  <c:v>439356000</c:v>
                </c:pt>
                <c:pt idx="13">
                  <c:v>384981600</c:v>
                </c:pt>
                <c:pt idx="14">
                  <c:v>351755700</c:v>
                </c:pt>
                <c:pt idx="15">
                  <c:v>395041700</c:v>
                </c:pt>
                <c:pt idx="16">
                  <c:v>413293300</c:v>
                </c:pt>
                <c:pt idx="17">
                  <c:v>381080700</c:v>
                </c:pt>
                <c:pt idx="18">
                  <c:v>372003600</c:v>
                </c:pt>
                <c:pt idx="19">
                  <c:v>356873100</c:v>
                </c:pt>
                <c:pt idx="20">
                  <c:v>337218800</c:v>
                </c:pt>
                <c:pt idx="21">
                  <c:v>319924400</c:v>
                </c:pt>
                <c:pt idx="22">
                  <c:v>324554300</c:v>
                </c:pt>
                <c:pt idx="23">
                  <c:v>299033100</c:v>
                </c:pt>
                <c:pt idx="24">
                  <c:v>300676600</c:v>
                </c:pt>
                <c:pt idx="25">
                  <c:v>268654800</c:v>
                </c:pt>
                <c:pt idx="26">
                  <c:v>267114100</c:v>
                </c:pt>
                <c:pt idx="27">
                  <c:v>236265000</c:v>
                </c:pt>
                <c:pt idx="28">
                  <c:v>247102500</c:v>
                </c:pt>
                <c:pt idx="29">
                  <c:v>257401900</c:v>
                </c:pt>
                <c:pt idx="30">
                  <c:v>274497500</c:v>
                </c:pt>
                <c:pt idx="31">
                  <c:v>308537600</c:v>
                </c:pt>
                <c:pt idx="32">
                  <c:v>246962600</c:v>
                </c:pt>
                <c:pt idx="33">
                  <c:v>220005800</c:v>
                </c:pt>
                <c:pt idx="34">
                  <c:v>228856900</c:v>
                </c:pt>
                <c:pt idx="35">
                  <c:v>237702300</c:v>
                </c:pt>
                <c:pt idx="36">
                  <c:v>213644400</c:v>
                </c:pt>
                <c:pt idx="37">
                  <c:v>217285200</c:v>
                </c:pt>
                <c:pt idx="38">
                  <c:v>189252500</c:v>
                </c:pt>
                <c:pt idx="39">
                  <c:v>170928400</c:v>
                </c:pt>
                <c:pt idx="40">
                  <c:v>187236300</c:v>
                </c:pt>
                <c:pt idx="41">
                  <c:v>184645700</c:v>
                </c:pt>
                <c:pt idx="42">
                  <c:v>217570400</c:v>
                </c:pt>
                <c:pt idx="43">
                  <c:v>219826000</c:v>
                </c:pt>
                <c:pt idx="44">
                  <c:v>213938800</c:v>
                </c:pt>
                <c:pt idx="45">
                  <c:v>202992200</c:v>
                </c:pt>
                <c:pt idx="46">
                  <c:v>206335600</c:v>
                </c:pt>
                <c:pt idx="47">
                  <c:v>229878200</c:v>
                </c:pt>
                <c:pt idx="48">
                  <c:v>203883500</c:v>
                </c:pt>
                <c:pt idx="49">
                  <c:v>207908200</c:v>
                </c:pt>
                <c:pt idx="50">
                  <c:v>237392400</c:v>
                </c:pt>
                <c:pt idx="51">
                  <c:v>247687000</c:v>
                </c:pt>
                <c:pt idx="52">
                  <c:v>201630300</c:v>
                </c:pt>
                <c:pt idx="53">
                  <c:v>212856900</c:v>
                </c:pt>
                <c:pt idx="54">
                  <c:v>203968800</c:v>
                </c:pt>
                <c:pt idx="55">
                  <c:v>200989700</c:v>
                </c:pt>
                <c:pt idx="56">
                  <c:v>204465000</c:v>
                </c:pt>
                <c:pt idx="57">
                  <c:v>277269200</c:v>
                </c:pt>
                <c:pt idx="58">
                  <c:v>238243600</c:v>
                </c:pt>
                <c:pt idx="59">
                  <c:v>244132700</c:v>
                </c:pt>
                <c:pt idx="60">
                  <c:v>206853600</c:v>
                </c:pt>
                <c:pt idx="61">
                  <c:v>276215100</c:v>
                </c:pt>
                <c:pt idx="62">
                  <c:v>239891100</c:v>
                </c:pt>
                <c:pt idx="63">
                  <c:v>200787100</c:v>
                </c:pt>
                <c:pt idx="64">
                  <c:v>193153000</c:v>
                </c:pt>
                <c:pt idx="65">
                  <c:v>185121100</c:v>
                </c:pt>
                <c:pt idx="66">
                  <c:v>155597500</c:v>
                </c:pt>
                <c:pt idx="67">
                  <c:v>151840900</c:v>
                </c:pt>
                <c:pt idx="68">
                  <c:v>153106800</c:v>
                </c:pt>
                <c:pt idx="69">
                  <c:v>143511700</c:v>
                </c:pt>
                <c:pt idx="70">
                  <c:v>140078700</c:v>
                </c:pt>
                <c:pt idx="71">
                  <c:v>182094900</c:v>
                </c:pt>
                <c:pt idx="72">
                  <c:v>173744600</c:v>
                </c:pt>
                <c:pt idx="73">
                  <c:v>161756100</c:v>
                </c:pt>
                <c:pt idx="74">
                  <c:v>159172200</c:v>
                </c:pt>
                <c:pt idx="75">
                  <c:v>177149400</c:v>
                </c:pt>
                <c:pt idx="76">
                  <c:v>142538100</c:v>
                </c:pt>
                <c:pt idx="77">
                  <c:v>130493400</c:v>
                </c:pt>
                <c:pt idx="78">
                  <c:v>164566100</c:v>
                </c:pt>
                <c:pt idx="79">
                  <c:v>146318100</c:v>
                </c:pt>
                <c:pt idx="80">
                  <c:v>167551500</c:v>
                </c:pt>
                <c:pt idx="81">
                  <c:v>157915400</c:v>
                </c:pt>
                <c:pt idx="82">
                  <c:v>133809300</c:v>
                </c:pt>
                <c:pt idx="83">
                  <c:v>129364600</c:v>
                </c:pt>
                <c:pt idx="84">
                  <c:v>129611300</c:v>
                </c:pt>
                <c:pt idx="85">
                  <c:v>120259000</c:v>
                </c:pt>
                <c:pt idx="86">
                  <c:v>126820500</c:v>
                </c:pt>
                <c:pt idx="87">
                  <c:v>129973300</c:v>
                </c:pt>
                <c:pt idx="88">
                  <c:v>114783300</c:v>
                </c:pt>
                <c:pt idx="89">
                  <c:v>118707400</c:v>
                </c:pt>
                <c:pt idx="90">
                  <c:v>127413600</c:v>
                </c:pt>
                <c:pt idx="91">
                  <c:v>135468000</c:v>
                </c:pt>
                <c:pt idx="92">
                  <c:v>163803700</c:v>
                </c:pt>
                <c:pt idx="93">
                  <c:v>174224800</c:v>
                </c:pt>
                <c:pt idx="94">
                  <c:v>162152500</c:v>
                </c:pt>
                <c:pt idx="95">
                  <c:v>147328600</c:v>
                </c:pt>
                <c:pt idx="96">
                  <c:v>205210900</c:v>
                </c:pt>
                <c:pt idx="97">
                  <c:v>162128400</c:v>
                </c:pt>
                <c:pt idx="98">
                  <c:v>133353200</c:v>
                </c:pt>
                <c:pt idx="99">
                  <c:v>121442600</c:v>
                </c:pt>
                <c:pt idx="100">
                  <c:v>138698800</c:v>
                </c:pt>
                <c:pt idx="101">
                  <c:v>123372800</c:v>
                </c:pt>
                <c:pt idx="102">
                  <c:v>140616900</c:v>
                </c:pt>
                <c:pt idx="103">
                  <c:v>121825300</c:v>
                </c:pt>
                <c:pt idx="104">
                  <c:v>116979600</c:v>
                </c:pt>
                <c:pt idx="105">
                  <c:v>114957200</c:v>
                </c:pt>
                <c:pt idx="106">
                  <c:v>101711300</c:v>
                </c:pt>
                <c:pt idx="107">
                  <c:v>123847000</c:v>
                </c:pt>
                <c:pt idx="108">
                  <c:v>136973500</c:v>
                </c:pt>
                <c:pt idx="109">
                  <c:v>112044700</c:v>
                </c:pt>
                <c:pt idx="110">
                  <c:v>126935800</c:v>
                </c:pt>
                <c:pt idx="111">
                  <c:v>112628800</c:v>
                </c:pt>
                <c:pt idx="112">
                  <c:v>106501400</c:v>
                </c:pt>
                <c:pt idx="113">
                  <c:v>102368800</c:v>
                </c:pt>
                <c:pt idx="114">
                  <c:v>117709800</c:v>
                </c:pt>
                <c:pt idx="115">
                  <c:v>102861700</c:v>
                </c:pt>
                <c:pt idx="116">
                  <c:v>100034300</c:v>
                </c:pt>
                <c:pt idx="117">
                  <c:v>116409100</c:v>
                </c:pt>
                <c:pt idx="118">
                  <c:v>126519500</c:v>
                </c:pt>
                <c:pt idx="119">
                  <c:v>136812800</c:v>
                </c:pt>
                <c:pt idx="120">
                  <c:v>5572500</c:v>
                </c:pt>
                <c:pt idx="121">
                  <c:v>343427600</c:v>
                </c:pt>
                <c:pt idx="122">
                  <c:v>117240000</c:v>
                </c:pt>
                <c:pt idx="123">
                  <c:v>109682100</c:v>
                </c:pt>
                <c:pt idx="124">
                  <c:v>102581300</c:v>
                </c:pt>
                <c:pt idx="125">
                  <c:v>148170200</c:v>
                </c:pt>
                <c:pt idx="126">
                  <c:v>133335900</c:v>
                </c:pt>
                <c:pt idx="127">
                  <c:v>131425200</c:v>
                </c:pt>
                <c:pt idx="128">
                  <c:v>129559800</c:v>
                </c:pt>
                <c:pt idx="129">
                  <c:v>130157500</c:v>
                </c:pt>
                <c:pt idx="130">
                  <c:v>134254200</c:v>
                </c:pt>
                <c:pt idx="131">
                  <c:v>135768900</c:v>
                </c:pt>
                <c:pt idx="132">
                  <c:v>121491900</c:v>
                </c:pt>
                <c:pt idx="133">
                  <c:v>135302400</c:v>
                </c:pt>
                <c:pt idx="134">
                  <c:v>120136500</c:v>
                </c:pt>
                <c:pt idx="135">
                  <c:v>134976200</c:v>
                </c:pt>
                <c:pt idx="136">
                  <c:v>144046900</c:v>
                </c:pt>
                <c:pt idx="137">
                  <c:v>106325800</c:v>
                </c:pt>
                <c:pt idx="138">
                  <c:v>122813800</c:v>
                </c:pt>
                <c:pt idx="139">
                  <c:v>112476300</c:v>
                </c:pt>
                <c:pt idx="140">
                  <c:v>129762700</c:v>
                </c:pt>
                <c:pt idx="141">
                  <c:v>155292100</c:v>
                </c:pt>
                <c:pt idx="142">
                  <c:v>123256600</c:v>
                </c:pt>
                <c:pt idx="143">
                  <c:v>120014800</c:v>
                </c:pt>
                <c:pt idx="144">
                  <c:v>124427400</c:v>
                </c:pt>
                <c:pt idx="145">
                  <c:v>114155900</c:v>
                </c:pt>
                <c:pt idx="146">
                  <c:v>122396100</c:v>
                </c:pt>
                <c:pt idx="147">
                  <c:v>120173800</c:v>
                </c:pt>
                <c:pt idx="148">
                  <c:v>113512400</c:v>
                </c:pt>
                <c:pt idx="149">
                  <c:v>129460100</c:v>
                </c:pt>
                <c:pt idx="150">
                  <c:v>130022900</c:v>
                </c:pt>
                <c:pt idx="151">
                  <c:v>136074100</c:v>
                </c:pt>
                <c:pt idx="152">
                  <c:v>115757900</c:v>
                </c:pt>
                <c:pt idx="153">
                  <c:v>121010200</c:v>
                </c:pt>
                <c:pt idx="154">
                  <c:v>150317600</c:v>
                </c:pt>
                <c:pt idx="155">
                  <c:v>127894800</c:v>
                </c:pt>
                <c:pt idx="156">
                  <c:v>137384000</c:v>
                </c:pt>
                <c:pt idx="157">
                  <c:v>136582800</c:v>
                </c:pt>
                <c:pt idx="158">
                  <c:v>151919500</c:v>
                </c:pt>
                <c:pt idx="159">
                  <c:v>129778000</c:v>
                </c:pt>
                <c:pt idx="160">
                  <c:v>139568100</c:v>
                </c:pt>
                <c:pt idx="161">
                  <c:v>125713100</c:v>
                </c:pt>
                <c:pt idx="162">
                  <c:v>133019800</c:v>
                </c:pt>
                <c:pt idx="163">
                  <c:v>126175600</c:v>
                </c:pt>
                <c:pt idx="164">
                  <c:v>120883100</c:v>
                </c:pt>
                <c:pt idx="165">
                  <c:v>115783900</c:v>
                </c:pt>
                <c:pt idx="166">
                  <c:v>120988500</c:v>
                </c:pt>
                <c:pt idx="167">
                  <c:v>136763900</c:v>
                </c:pt>
                <c:pt idx="168">
                  <c:v>125220500</c:v>
                </c:pt>
                <c:pt idx="169">
                  <c:v>98052400</c:v>
                </c:pt>
                <c:pt idx="170">
                  <c:v>95140000</c:v>
                </c:pt>
                <c:pt idx="171">
                  <c:v>103107500</c:v>
                </c:pt>
                <c:pt idx="172">
                  <c:v>96229700</c:v>
                </c:pt>
                <c:pt idx="173">
                  <c:v>107013500</c:v>
                </c:pt>
                <c:pt idx="174">
                  <c:v>104916400</c:v>
                </c:pt>
                <c:pt idx="175">
                  <c:v>94081500</c:v>
                </c:pt>
                <c:pt idx="176">
                  <c:v>98698600</c:v>
                </c:pt>
                <c:pt idx="177">
                  <c:v>97350700</c:v>
                </c:pt>
                <c:pt idx="178">
                  <c:v>102001800</c:v>
                </c:pt>
                <c:pt idx="179">
                  <c:v>103453900</c:v>
                </c:pt>
                <c:pt idx="180">
                  <c:v>109422700</c:v>
                </c:pt>
                <c:pt idx="181">
                  <c:v>134392800</c:v>
                </c:pt>
                <c:pt idx="182">
                  <c:v>126484800</c:v>
                </c:pt>
                <c:pt idx="183">
                  <c:v>116911400</c:v>
                </c:pt>
                <c:pt idx="184">
                  <c:v>100759700</c:v>
                </c:pt>
                <c:pt idx="185">
                  <c:v>101509700</c:v>
                </c:pt>
                <c:pt idx="186">
                  <c:v>110455700</c:v>
                </c:pt>
                <c:pt idx="187">
                  <c:v>172513800</c:v>
                </c:pt>
                <c:pt idx="188">
                  <c:v>105275300</c:v>
                </c:pt>
                <c:pt idx="189">
                  <c:v>100269800</c:v>
                </c:pt>
                <c:pt idx="190">
                  <c:v>93285000</c:v>
                </c:pt>
                <c:pt idx="191">
                  <c:v>99489500</c:v>
                </c:pt>
                <c:pt idx="192">
                  <c:v>95227200</c:v>
                </c:pt>
                <c:pt idx="193">
                  <c:v>96532900</c:v>
                </c:pt>
                <c:pt idx="194">
                  <c:v>100960300</c:v>
                </c:pt>
                <c:pt idx="195">
                  <c:v>103395200</c:v>
                </c:pt>
                <c:pt idx="196">
                  <c:v>110516200</c:v>
                </c:pt>
                <c:pt idx="197">
                  <c:v>119429900</c:v>
                </c:pt>
                <c:pt idx="198">
                  <c:v>120534000</c:v>
                </c:pt>
                <c:pt idx="199">
                  <c:v>114216100</c:v>
                </c:pt>
                <c:pt idx="200">
                  <c:v>111179100</c:v>
                </c:pt>
                <c:pt idx="201">
                  <c:v>121312800</c:v>
                </c:pt>
                <c:pt idx="202">
                  <c:v>117750200</c:v>
                </c:pt>
                <c:pt idx="203">
                  <c:v>112757000</c:v>
                </c:pt>
                <c:pt idx="204">
                  <c:v>124921200</c:v>
                </c:pt>
                <c:pt idx="205">
                  <c:v>132476100</c:v>
                </c:pt>
                <c:pt idx="206">
                  <c:v>142522100</c:v>
                </c:pt>
                <c:pt idx="207">
                  <c:v>125563000</c:v>
                </c:pt>
                <c:pt idx="208">
                  <c:v>132250200</c:v>
                </c:pt>
                <c:pt idx="209">
                  <c:v>135587100</c:v>
                </c:pt>
                <c:pt idx="210">
                  <c:v>132804700</c:v>
                </c:pt>
                <c:pt idx="211">
                  <c:v>139651200</c:v>
                </c:pt>
                <c:pt idx="212">
                  <c:v>136133100</c:v>
                </c:pt>
                <c:pt idx="213">
                  <c:v>131798500</c:v>
                </c:pt>
                <c:pt idx="214">
                  <c:v>132652200</c:v>
                </c:pt>
                <c:pt idx="215">
                  <c:v>129849000</c:v>
                </c:pt>
                <c:pt idx="216">
                  <c:v>144805300</c:v>
                </c:pt>
                <c:pt idx="217">
                  <c:v>156391000</c:v>
                </c:pt>
                <c:pt idx="218">
                  <c:v>126467200</c:v>
                </c:pt>
                <c:pt idx="219">
                  <c:v>128620500</c:v>
                </c:pt>
                <c:pt idx="220">
                  <c:v>135070100</c:v>
                </c:pt>
                <c:pt idx="221">
                  <c:v>139071400</c:v>
                </c:pt>
                <c:pt idx="222">
                  <c:v>155985300</c:v>
                </c:pt>
                <c:pt idx="223">
                  <c:v>173968800</c:v>
                </c:pt>
                <c:pt idx="224">
                  <c:v>159925600</c:v>
                </c:pt>
                <c:pt idx="225">
                  <c:v>155275200</c:v>
                </c:pt>
                <c:pt idx="226">
                  <c:v>189198800</c:v>
                </c:pt>
                <c:pt idx="227">
                  <c:v>168136300</c:v>
                </c:pt>
                <c:pt idx="228">
                  <c:v>194171300</c:v>
                </c:pt>
                <c:pt idx="229">
                  <c:v>190942100</c:v>
                </c:pt>
                <c:pt idx="230">
                  <c:v>198671000</c:v>
                </c:pt>
                <c:pt idx="231">
                  <c:v>242741000</c:v>
                </c:pt>
                <c:pt idx="232">
                  <c:v>236987800</c:v>
                </c:pt>
                <c:pt idx="233">
                  <c:v>250317100</c:v>
                </c:pt>
                <c:pt idx="234">
                  <c:v>263931800</c:v>
                </c:pt>
                <c:pt idx="235">
                  <c:v>291961400</c:v>
                </c:pt>
                <c:pt idx="236">
                  <c:v>317653600</c:v>
                </c:pt>
                <c:pt idx="237">
                  <c:v>358658300</c:v>
                </c:pt>
                <c:pt idx="238">
                  <c:v>19354200</c:v>
                </c:pt>
                <c:pt idx="239">
                  <c:v>0</c:v>
                </c:pt>
                <c:pt idx="240">
                  <c:v>0</c:v>
                </c:pt>
                <c:pt idx="241">
                  <c:v>630485200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4-45D2-8B2D-07E7841C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0"/>
          <c:tx>
            <c:strRef>
              <c:f>指数!$O$3</c:f>
              <c:strCache>
                <c:ptCount val="1"/>
                <c:pt idx="0">
                  <c:v>收盘价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指数!$O$5:$O$246</c:f>
              <c:numCache>
                <c:formatCode>0.0000</c:formatCode>
                <c:ptCount val="242"/>
                <c:pt idx="0">
                  <c:v>12035.7538</c:v>
                </c:pt>
                <c:pt idx="1">
                  <c:v>12025.6121</c:v>
                </c:pt>
                <c:pt idx="2">
                  <c:v>12034.017</c:v>
                </c:pt>
                <c:pt idx="3">
                  <c:v>12032.9053</c:v>
                </c:pt>
                <c:pt idx="4">
                  <c:v>12054.7583</c:v>
                </c:pt>
                <c:pt idx="5">
                  <c:v>12048.499599999999</c:v>
                </c:pt>
                <c:pt idx="6">
                  <c:v>12060.319799999999</c:v>
                </c:pt>
                <c:pt idx="7">
                  <c:v>12044.2088</c:v>
                </c:pt>
                <c:pt idx="8">
                  <c:v>12042.706700000001</c:v>
                </c:pt>
                <c:pt idx="9">
                  <c:v>12043.001399999999</c:v>
                </c:pt>
                <c:pt idx="10">
                  <c:v>12050.6054</c:v>
                </c:pt>
                <c:pt idx="11">
                  <c:v>12058.1106</c:v>
                </c:pt>
                <c:pt idx="12">
                  <c:v>12059.290800000001</c:v>
                </c:pt>
                <c:pt idx="13">
                  <c:v>12055.86</c:v>
                </c:pt>
                <c:pt idx="14">
                  <c:v>12050.612300000001</c:v>
                </c:pt>
                <c:pt idx="15">
                  <c:v>12047.858099999999</c:v>
                </c:pt>
                <c:pt idx="16">
                  <c:v>12048.179700000001</c:v>
                </c:pt>
                <c:pt idx="17">
                  <c:v>12049.7412</c:v>
                </c:pt>
                <c:pt idx="18">
                  <c:v>12068.330099999999</c:v>
                </c:pt>
                <c:pt idx="19">
                  <c:v>12073.084800000001</c:v>
                </c:pt>
                <c:pt idx="20">
                  <c:v>12075.412700000001</c:v>
                </c:pt>
                <c:pt idx="21">
                  <c:v>12078.3662</c:v>
                </c:pt>
                <c:pt idx="22">
                  <c:v>12089.418900000001</c:v>
                </c:pt>
                <c:pt idx="23">
                  <c:v>12083.906199999999</c:v>
                </c:pt>
                <c:pt idx="24">
                  <c:v>12085.7127</c:v>
                </c:pt>
                <c:pt idx="25">
                  <c:v>12085.9602</c:v>
                </c:pt>
                <c:pt idx="26">
                  <c:v>12094.662399999999</c:v>
                </c:pt>
                <c:pt idx="27">
                  <c:v>12095.528200000001</c:v>
                </c:pt>
                <c:pt idx="28">
                  <c:v>12113.5514</c:v>
                </c:pt>
                <c:pt idx="29">
                  <c:v>12105.800800000001</c:v>
                </c:pt>
                <c:pt idx="30">
                  <c:v>12117.786599999999</c:v>
                </c:pt>
                <c:pt idx="31">
                  <c:v>12132.532300000001</c:v>
                </c:pt>
                <c:pt idx="32">
                  <c:v>12134.849200000001</c:v>
                </c:pt>
                <c:pt idx="33">
                  <c:v>12141.495000000001</c:v>
                </c:pt>
                <c:pt idx="34">
                  <c:v>12134.0398</c:v>
                </c:pt>
                <c:pt idx="35">
                  <c:v>12132.5237</c:v>
                </c:pt>
                <c:pt idx="36">
                  <c:v>12146.9915</c:v>
                </c:pt>
                <c:pt idx="37">
                  <c:v>12124.754199999999</c:v>
                </c:pt>
                <c:pt idx="38">
                  <c:v>12134.4884</c:v>
                </c:pt>
                <c:pt idx="39">
                  <c:v>12143.924000000001</c:v>
                </c:pt>
                <c:pt idx="40">
                  <c:v>12143.853800000001</c:v>
                </c:pt>
                <c:pt idx="41">
                  <c:v>12157.4766</c:v>
                </c:pt>
                <c:pt idx="42">
                  <c:v>12168.692800000001</c:v>
                </c:pt>
                <c:pt idx="43">
                  <c:v>12167.900600000001</c:v>
                </c:pt>
                <c:pt idx="44">
                  <c:v>12163.902700000001</c:v>
                </c:pt>
                <c:pt idx="45">
                  <c:v>12181.7371</c:v>
                </c:pt>
                <c:pt idx="46">
                  <c:v>12182.6654</c:v>
                </c:pt>
                <c:pt idx="47">
                  <c:v>12199.046399999999</c:v>
                </c:pt>
                <c:pt idx="48">
                  <c:v>12196.2325</c:v>
                </c:pt>
                <c:pt idx="49">
                  <c:v>12205.319100000001</c:v>
                </c:pt>
                <c:pt idx="50">
                  <c:v>12204.611500000001</c:v>
                </c:pt>
                <c:pt idx="51">
                  <c:v>12188.2988</c:v>
                </c:pt>
                <c:pt idx="52">
                  <c:v>12185.578</c:v>
                </c:pt>
                <c:pt idx="53">
                  <c:v>12172.7021</c:v>
                </c:pt>
                <c:pt idx="54">
                  <c:v>12181.408600000001</c:v>
                </c:pt>
                <c:pt idx="55">
                  <c:v>12179.315000000001</c:v>
                </c:pt>
                <c:pt idx="56">
                  <c:v>12187.8784</c:v>
                </c:pt>
                <c:pt idx="57">
                  <c:v>12175.4966</c:v>
                </c:pt>
                <c:pt idx="58">
                  <c:v>12177.206</c:v>
                </c:pt>
                <c:pt idx="59">
                  <c:v>12197.512000000001</c:v>
                </c:pt>
                <c:pt idx="60">
                  <c:v>12189.813</c:v>
                </c:pt>
                <c:pt idx="61">
                  <c:v>12201.388300000001</c:v>
                </c:pt>
                <c:pt idx="62">
                  <c:v>12182.1008</c:v>
                </c:pt>
                <c:pt idx="63">
                  <c:v>12178.3776</c:v>
                </c:pt>
                <c:pt idx="64">
                  <c:v>12192.254499999999</c:v>
                </c:pt>
                <c:pt idx="65">
                  <c:v>12192.899799999999</c:v>
                </c:pt>
                <c:pt idx="66">
                  <c:v>12184.2593</c:v>
                </c:pt>
                <c:pt idx="67">
                  <c:v>12186.079599999999</c:v>
                </c:pt>
                <c:pt idx="68">
                  <c:v>12188.9642</c:v>
                </c:pt>
                <c:pt idx="69">
                  <c:v>12199.8336</c:v>
                </c:pt>
                <c:pt idx="70">
                  <c:v>12201.381100000001</c:v>
                </c:pt>
                <c:pt idx="71">
                  <c:v>12225.833199999999</c:v>
                </c:pt>
                <c:pt idx="72">
                  <c:v>12232.1484</c:v>
                </c:pt>
                <c:pt idx="73">
                  <c:v>12235.16</c:v>
                </c:pt>
                <c:pt idx="74">
                  <c:v>12247.0825</c:v>
                </c:pt>
                <c:pt idx="75">
                  <c:v>12246.075999999999</c:v>
                </c:pt>
                <c:pt idx="76">
                  <c:v>12245.1458</c:v>
                </c:pt>
                <c:pt idx="77">
                  <c:v>12241.3092</c:v>
                </c:pt>
                <c:pt idx="78">
                  <c:v>12259.1854</c:v>
                </c:pt>
                <c:pt idx="79">
                  <c:v>12257.1091</c:v>
                </c:pt>
                <c:pt idx="80">
                  <c:v>12274.2068</c:v>
                </c:pt>
                <c:pt idx="81">
                  <c:v>12266.0615</c:v>
                </c:pt>
                <c:pt idx="82">
                  <c:v>12262.526</c:v>
                </c:pt>
                <c:pt idx="83">
                  <c:v>12270.883900000001</c:v>
                </c:pt>
                <c:pt idx="84">
                  <c:v>12256.9745</c:v>
                </c:pt>
                <c:pt idx="85">
                  <c:v>12259.4548</c:v>
                </c:pt>
                <c:pt idx="86">
                  <c:v>12250.062900000001</c:v>
                </c:pt>
                <c:pt idx="87">
                  <c:v>12250.327600000001</c:v>
                </c:pt>
                <c:pt idx="88">
                  <c:v>12242.750099999999</c:v>
                </c:pt>
                <c:pt idx="89">
                  <c:v>12244.135</c:v>
                </c:pt>
                <c:pt idx="90">
                  <c:v>12251.795700000001</c:v>
                </c:pt>
                <c:pt idx="91">
                  <c:v>12250.653899999999</c:v>
                </c:pt>
                <c:pt idx="92">
                  <c:v>12240.606599999999</c:v>
                </c:pt>
                <c:pt idx="93">
                  <c:v>12239.870800000001</c:v>
                </c:pt>
                <c:pt idx="94">
                  <c:v>12238.761</c:v>
                </c:pt>
                <c:pt idx="95">
                  <c:v>12246.1353</c:v>
                </c:pt>
                <c:pt idx="96">
                  <c:v>12228.2929</c:v>
                </c:pt>
                <c:pt idx="97">
                  <c:v>12227.7574</c:v>
                </c:pt>
                <c:pt idx="98">
                  <c:v>12230.4383</c:v>
                </c:pt>
                <c:pt idx="99">
                  <c:v>12236.470799999999</c:v>
                </c:pt>
                <c:pt idx="100">
                  <c:v>12226.814700000001</c:v>
                </c:pt>
                <c:pt idx="101">
                  <c:v>12236.003699999999</c:v>
                </c:pt>
                <c:pt idx="102">
                  <c:v>12235.5762</c:v>
                </c:pt>
                <c:pt idx="103">
                  <c:v>12241.1121</c:v>
                </c:pt>
                <c:pt idx="104">
                  <c:v>12251.1754</c:v>
                </c:pt>
                <c:pt idx="105">
                  <c:v>12247.015600000001</c:v>
                </c:pt>
                <c:pt idx="106">
                  <c:v>12255.0782</c:v>
                </c:pt>
                <c:pt idx="107">
                  <c:v>12256.6924</c:v>
                </c:pt>
                <c:pt idx="108">
                  <c:v>12262.087100000001</c:v>
                </c:pt>
                <c:pt idx="109">
                  <c:v>12257.334800000001</c:v>
                </c:pt>
                <c:pt idx="110">
                  <c:v>12248.918100000001</c:v>
                </c:pt>
                <c:pt idx="111">
                  <c:v>12249.935299999999</c:v>
                </c:pt>
                <c:pt idx="112">
                  <c:v>12246.663200000001</c:v>
                </c:pt>
                <c:pt idx="113">
                  <c:v>12244.0777</c:v>
                </c:pt>
                <c:pt idx="114">
                  <c:v>12242.858399999999</c:v>
                </c:pt>
                <c:pt idx="115">
                  <c:v>12245.0928</c:v>
                </c:pt>
                <c:pt idx="116">
                  <c:v>12246.6314</c:v>
                </c:pt>
                <c:pt idx="117">
                  <c:v>12250.5568</c:v>
                </c:pt>
                <c:pt idx="118">
                  <c:v>12236.4802</c:v>
                </c:pt>
                <c:pt idx="119">
                  <c:v>12225.750099999999</c:v>
                </c:pt>
                <c:pt idx="120">
                  <c:v>12225.3737</c:v>
                </c:pt>
                <c:pt idx="121">
                  <c:v>12222.6571</c:v>
                </c:pt>
                <c:pt idx="122">
                  <c:v>12223.476500000001</c:v>
                </c:pt>
                <c:pt idx="123">
                  <c:v>12234.5316</c:v>
                </c:pt>
                <c:pt idx="124">
                  <c:v>12221.472599999999</c:v>
                </c:pt>
                <c:pt idx="125">
                  <c:v>12207.668900000001</c:v>
                </c:pt>
                <c:pt idx="126">
                  <c:v>12215.5695</c:v>
                </c:pt>
                <c:pt idx="127">
                  <c:v>12215.564700000001</c:v>
                </c:pt>
                <c:pt idx="128">
                  <c:v>12217.373799999999</c:v>
                </c:pt>
                <c:pt idx="129">
                  <c:v>12216.0288</c:v>
                </c:pt>
                <c:pt idx="130">
                  <c:v>12220.8339</c:v>
                </c:pt>
                <c:pt idx="131">
                  <c:v>12224.1847</c:v>
                </c:pt>
                <c:pt idx="132">
                  <c:v>12229.929</c:v>
                </c:pt>
                <c:pt idx="133">
                  <c:v>12228.4874</c:v>
                </c:pt>
                <c:pt idx="134">
                  <c:v>12233.996800000001</c:v>
                </c:pt>
                <c:pt idx="135">
                  <c:v>12233.4612</c:v>
                </c:pt>
                <c:pt idx="136">
                  <c:v>12227.3835</c:v>
                </c:pt>
                <c:pt idx="137">
                  <c:v>12230.359899999999</c:v>
                </c:pt>
                <c:pt idx="138">
                  <c:v>12230.16</c:v>
                </c:pt>
                <c:pt idx="139">
                  <c:v>12235.745800000001</c:v>
                </c:pt>
                <c:pt idx="140">
                  <c:v>12243.971799999999</c:v>
                </c:pt>
                <c:pt idx="141">
                  <c:v>12238.577300000001</c:v>
                </c:pt>
                <c:pt idx="142">
                  <c:v>12239.7376</c:v>
                </c:pt>
                <c:pt idx="143">
                  <c:v>12245.257</c:v>
                </c:pt>
                <c:pt idx="144">
                  <c:v>12242.6144</c:v>
                </c:pt>
                <c:pt idx="145">
                  <c:v>12241.087299999999</c:v>
                </c:pt>
                <c:pt idx="146">
                  <c:v>12242.073399999999</c:v>
                </c:pt>
                <c:pt idx="147">
                  <c:v>12234.6402</c:v>
                </c:pt>
                <c:pt idx="148">
                  <c:v>12231.899100000001</c:v>
                </c:pt>
                <c:pt idx="149">
                  <c:v>12228.401900000001</c:v>
                </c:pt>
                <c:pt idx="150">
                  <c:v>12220.341399999999</c:v>
                </c:pt>
                <c:pt idx="151">
                  <c:v>12226.1978</c:v>
                </c:pt>
                <c:pt idx="152">
                  <c:v>12224.1504</c:v>
                </c:pt>
                <c:pt idx="153">
                  <c:v>12228.861699999999</c:v>
                </c:pt>
                <c:pt idx="154">
                  <c:v>12221.084199999999</c:v>
                </c:pt>
                <c:pt idx="155">
                  <c:v>12220.9048</c:v>
                </c:pt>
                <c:pt idx="156">
                  <c:v>12221.0828</c:v>
                </c:pt>
                <c:pt idx="157">
                  <c:v>12210.6559</c:v>
                </c:pt>
                <c:pt idx="158">
                  <c:v>12210.0056</c:v>
                </c:pt>
                <c:pt idx="159">
                  <c:v>12207.510200000001</c:v>
                </c:pt>
                <c:pt idx="160">
                  <c:v>12198.105100000001</c:v>
                </c:pt>
                <c:pt idx="161">
                  <c:v>12202.430399999999</c:v>
                </c:pt>
                <c:pt idx="162">
                  <c:v>12212.1312</c:v>
                </c:pt>
                <c:pt idx="163">
                  <c:v>12218.688</c:v>
                </c:pt>
                <c:pt idx="164">
                  <c:v>12223.6062</c:v>
                </c:pt>
                <c:pt idx="165">
                  <c:v>12224.671399999999</c:v>
                </c:pt>
                <c:pt idx="166">
                  <c:v>12227.238499999999</c:v>
                </c:pt>
                <c:pt idx="167">
                  <c:v>12235.5723</c:v>
                </c:pt>
                <c:pt idx="168">
                  <c:v>12228.117099999999</c:v>
                </c:pt>
                <c:pt idx="169">
                  <c:v>12230.4627</c:v>
                </c:pt>
                <c:pt idx="170">
                  <c:v>12226.724099999999</c:v>
                </c:pt>
                <c:pt idx="171">
                  <c:v>12223.676799999999</c:v>
                </c:pt>
                <c:pt idx="172">
                  <c:v>12227.1774</c:v>
                </c:pt>
                <c:pt idx="173">
                  <c:v>12230.617399999999</c:v>
                </c:pt>
                <c:pt idx="174">
                  <c:v>12227.6157</c:v>
                </c:pt>
                <c:pt idx="175">
                  <c:v>12225.398999999999</c:v>
                </c:pt>
                <c:pt idx="176">
                  <c:v>12224.3271</c:v>
                </c:pt>
                <c:pt idx="177">
                  <c:v>12223.249299999999</c:v>
                </c:pt>
                <c:pt idx="178">
                  <c:v>12229.424999999999</c:v>
                </c:pt>
                <c:pt idx="179">
                  <c:v>12229.9786</c:v>
                </c:pt>
                <c:pt idx="180">
                  <c:v>12227.3565</c:v>
                </c:pt>
                <c:pt idx="181">
                  <c:v>12218.2294</c:v>
                </c:pt>
                <c:pt idx="182">
                  <c:v>12210.2418</c:v>
                </c:pt>
                <c:pt idx="183">
                  <c:v>12214.6206</c:v>
                </c:pt>
                <c:pt idx="184">
                  <c:v>12215.727999999999</c:v>
                </c:pt>
                <c:pt idx="185">
                  <c:v>12221.1854</c:v>
                </c:pt>
                <c:pt idx="186">
                  <c:v>12226.180700000001</c:v>
                </c:pt>
                <c:pt idx="187">
                  <c:v>12238.702499999999</c:v>
                </c:pt>
                <c:pt idx="188">
                  <c:v>12237.962100000001</c:v>
                </c:pt>
                <c:pt idx="189">
                  <c:v>12234.5293</c:v>
                </c:pt>
                <c:pt idx="190">
                  <c:v>12237.3688</c:v>
                </c:pt>
                <c:pt idx="191">
                  <c:v>12232.3714</c:v>
                </c:pt>
                <c:pt idx="192">
                  <c:v>12230.747499999999</c:v>
                </c:pt>
                <c:pt idx="193">
                  <c:v>12230.9684</c:v>
                </c:pt>
                <c:pt idx="194">
                  <c:v>12228.4548</c:v>
                </c:pt>
                <c:pt idx="195">
                  <c:v>12232.3069</c:v>
                </c:pt>
                <c:pt idx="196">
                  <c:v>12228.153</c:v>
                </c:pt>
                <c:pt idx="197">
                  <c:v>12226.2384</c:v>
                </c:pt>
                <c:pt idx="198">
                  <c:v>12222.773499999999</c:v>
                </c:pt>
                <c:pt idx="199">
                  <c:v>12223.3356</c:v>
                </c:pt>
                <c:pt idx="200">
                  <c:v>12223.251</c:v>
                </c:pt>
                <c:pt idx="201">
                  <c:v>12224.688200000001</c:v>
                </c:pt>
                <c:pt idx="202">
                  <c:v>12228.578600000001</c:v>
                </c:pt>
                <c:pt idx="203">
                  <c:v>12228.7934</c:v>
                </c:pt>
                <c:pt idx="204">
                  <c:v>12230.2153</c:v>
                </c:pt>
                <c:pt idx="205">
                  <c:v>12232.8249</c:v>
                </c:pt>
                <c:pt idx="206">
                  <c:v>12234.813200000001</c:v>
                </c:pt>
                <c:pt idx="207">
                  <c:v>12238.367200000001</c:v>
                </c:pt>
                <c:pt idx="208">
                  <c:v>12236.951800000001</c:v>
                </c:pt>
                <c:pt idx="209">
                  <c:v>12233.5005</c:v>
                </c:pt>
                <c:pt idx="210">
                  <c:v>12231.3627</c:v>
                </c:pt>
                <c:pt idx="211">
                  <c:v>12225.5574</c:v>
                </c:pt>
                <c:pt idx="212">
                  <c:v>12221.0519</c:v>
                </c:pt>
                <c:pt idx="213">
                  <c:v>12218.6486</c:v>
                </c:pt>
                <c:pt idx="214">
                  <c:v>12220.0085</c:v>
                </c:pt>
                <c:pt idx="215">
                  <c:v>12217.927600000001</c:v>
                </c:pt>
                <c:pt idx="216">
                  <c:v>12211.959800000001</c:v>
                </c:pt>
                <c:pt idx="217">
                  <c:v>12220.394899999999</c:v>
                </c:pt>
                <c:pt idx="218">
                  <c:v>12220.2286</c:v>
                </c:pt>
                <c:pt idx="219">
                  <c:v>12223.286599999999</c:v>
                </c:pt>
                <c:pt idx="220">
                  <c:v>12223.410099999999</c:v>
                </c:pt>
                <c:pt idx="221">
                  <c:v>12220.705400000001</c:v>
                </c:pt>
                <c:pt idx="222">
                  <c:v>12224.9409</c:v>
                </c:pt>
                <c:pt idx="223">
                  <c:v>12227.5751</c:v>
                </c:pt>
                <c:pt idx="224">
                  <c:v>12229.0982</c:v>
                </c:pt>
                <c:pt idx="225">
                  <c:v>12228.7377</c:v>
                </c:pt>
                <c:pt idx="226">
                  <c:v>12229.6109</c:v>
                </c:pt>
                <c:pt idx="227">
                  <c:v>12230.712299999999</c:v>
                </c:pt>
                <c:pt idx="228">
                  <c:v>12229.887000000001</c:v>
                </c:pt>
                <c:pt idx="229">
                  <c:v>12228.0875</c:v>
                </c:pt>
                <c:pt idx="230">
                  <c:v>12226.365299999999</c:v>
                </c:pt>
                <c:pt idx="231">
                  <c:v>12222.2003</c:v>
                </c:pt>
                <c:pt idx="232">
                  <c:v>12223.656800000001</c:v>
                </c:pt>
                <c:pt idx="233">
                  <c:v>12220.5569</c:v>
                </c:pt>
                <c:pt idx="234">
                  <c:v>12221.089099999999</c:v>
                </c:pt>
                <c:pt idx="235">
                  <c:v>12220.544</c:v>
                </c:pt>
                <c:pt idx="236">
                  <c:v>12221.874299999999</c:v>
                </c:pt>
                <c:pt idx="237">
                  <c:v>12224.148499999999</c:v>
                </c:pt>
                <c:pt idx="238">
                  <c:v>12225.028200000001</c:v>
                </c:pt>
                <c:pt idx="239">
                  <c:v>12225.028200000001</c:v>
                </c:pt>
                <c:pt idx="240">
                  <c:v>12225.028200000001</c:v>
                </c:pt>
                <c:pt idx="241">
                  <c:v>12227.9303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4-45D2-8B2D-07E7841C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916640"/>
        <c:axId val="1"/>
      </c:lineChart>
      <c:catAx>
        <c:axId val="5819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1664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</a:rPr>
              <a:t>创业板指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Calibri" panose="020F0502020204030204"/>
                <a:ea typeface="等线" panose="02010600030101010101" charset="-122"/>
                <a:cs typeface="Calibri" panose="020F0502020204030204"/>
              </a:rPr>
              <a:t>  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指数!$T$3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指数!$T$5:$T$246</c:f>
              <c:numCache>
                <c:formatCode>0.0000</c:formatCode>
                <c:ptCount val="242"/>
                <c:pt idx="0">
                  <c:v>421737300</c:v>
                </c:pt>
                <c:pt idx="1">
                  <c:v>210061100</c:v>
                </c:pt>
                <c:pt idx="2">
                  <c:v>185660800</c:v>
                </c:pt>
                <c:pt idx="3">
                  <c:v>253601200</c:v>
                </c:pt>
                <c:pt idx="4">
                  <c:v>157526400</c:v>
                </c:pt>
                <c:pt idx="5">
                  <c:v>151925400</c:v>
                </c:pt>
                <c:pt idx="6">
                  <c:v>126979100</c:v>
                </c:pt>
                <c:pt idx="7">
                  <c:v>131653300</c:v>
                </c:pt>
                <c:pt idx="8">
                  <c:v>123115000</c:v>
                </c:pt>
                <c:pt idx="9">
                  <c:v>118284400</c:v>
                </c:pt>
                <c:pt idx="10">
                  <c:v>129210400</c:v>
                </c:pt>
                <c:pt idx="11">
                  <c:v>105377000</c:v>
                </c:pt>
                <c:pt idx="12">
                  <c:v>102347500</c:v>
                </c:pt>
                <c:pt idx="13">
                  <c:v>98958400</c:v>
                </c:pt>
                <c:pt idx="14">
                  <c:v>83016600</c:v>
                </c:pt>
                <c:pt idx="15">
                  <c:v>87895400</c:v>
                </c:pt>
                <c:pt idx="16">
                  <c:v>105818500</c:v>
                </c:pt>
                <c:pt idx="17">
                  <c:v>98626000</c:v>
                </c:pt>
                <c:pt idx="18">
                  <c:v>96176400</c:v>
                </c:pt>
                <c:pt idx="19">
                  <c:v>85202000</c:v>
                </c:pt>
                <c:pt idx="20">
                  <c:v>87706000</c:v>
                </c:pt>
                <c:pt idx="21">
                  <c:v>81065900</c:v>
                </c:pt>
                <c:pt idx="22">
                  <c:v>82735900</c:v>
                </c:pt>
                <c:pt idx="23">
                  <c:v>80912800</c:v>
                </c:pt>
                <c:pt idx="24">
                  <c:v>75137200</c:v>
                </c:pt>
                <c:pt idx="25">
                  <c:v>68791200</c:v>
                </c:pt>
                <c:pt idx="26">
                  <c:v>68708600</c:v>
                </c:pt>
                <c:pt idx="27">
                  <c:v>61129900</c:v>
                </c:pt>
                <c:pt idx="28">
                  <c:v>64310500</c:v>
                </c:pt>
                <c:pt idx="29">
                  <c:v>67218200</c:v>
                </c:pt>
                <c:pt idx="30">
                  <c:v>72109000</c:v>
                </c:pt>
                <c:pt idx="31">
                  <c:v>67613700</c:v>
                </c:pt>
                <c:pt idx="32">
                  <c:v>59722800</c:v>
                </c:pt>
                <c:pt idx="33">
                  <c:v>51255200</c:v>
                </c:pt>
                <c:pt idx="34">
                  <c:v>54475100</c:v>
                </c:pt>
                <c:pt idx="35">
                  <c:v>56437400</c:v>
                </c:pt>
                <c:pt idx="36">
                  <c:v>54171700</c:v>
                </c:pt>
                <c:pt idx="37">
                  <c:v>57835800</c:v>
                </c:pt>
                <c:pt idx="38">
                  <c:v>48378800</c:v>
                </c:pt>
                <c:pt idx="39">
                  <c:v>46562700</c:v>
                </c:pt>
                <c:pt idx="40">
                  <c:v>52184100</c:v>
                </c:pt>
                <c:pt idx="41">
                  <c:v>56933200</c:v>
                </c:pt>
                <c:pt idx="42">
                  <c:v>69059500</c:v>
                </c:pt>
                <c:pt idx="43">
                  <c:v>61468200</c:v>
                </c:pt>
                <c:pt idx="44">
                  <c:v>57605900</c:v>
                </c:pt>
                <c:pt idx="45">
                  <c:v>55052800</c:v>
                </c:pt>
                <c:pt idx="46">
                  <c:v>59699900</c:v>
                </c:pt>
                <c:pt idx="47">
                  <c:v>61482900</c:v>
                </c:pt>
                <c:pt idx="48">
                  <c:v>54802300</c:v>
                </c:pt>
                <c:pt idx="49">
                  <c:v>55573500</c:v>
                </c:pt>
                <c:pt idx="50">
                  <c:v>64485600</c:v>
                </c:pt>
                <c:pt idx="51">
                  <c:v>63176100</c:v>
                </c:pt>
                <c:pt idx="52">
                  <c:v>52129900</c:v>
                </c:pt>
                <c:pt idx="53">
                  <c:v>46754600</c:v>
                </c:pt>
                <c:pt idx="54">
                  <c:v>44736100</c:v>
                </c:pt>
                <c:pt idx="55">
                  <c:v>52127300</c:v>
                </c:pt>
                <c:pt idx="56">
                  <c:v>50502400</c:v>
                </c:pt>
                <c:pt idx="57">
                  <c:v>53572700</c:v>
                </c:pt>
                <c:pt idx="58">
                  <c:v>51150600</c:v>
                </c:pt>
                <c:pt idx="59">
                  <c:v>49737300</c:v>
                </c:pt>
                <c:pt idx="60">
                  <c:v>50222700</c:v>
                </c:pt>
                <c:pt idx="61">
                  <c:v>50740000</c:v>
                </c:pt>
                <c:pt idx="62">
                  <c:v>45884100</c:v>
                </c:pt>
                <c:pt idx="63">
                  <c:v>42707000</c:v>
                </c:pt>
                <c:pt idx="64">
                  <c:v>37749800</c:v>
                </c:pt>
                <c:pt idx="65">
                  <c:v>36354500</c:v>
                </c:pt>
                <c:pt idx="66">
                  <c:v>37588500</c:v>
                </c:pt>
                <c:pt idx="67">
                  <c:v>35261600</c:v>
                </c:pt>
                <c:pt idx="68">
                  <c:v>32582600</c:v>
                </c:pt>
                <c:pt idx="69">
                  <c:v>34958600</c:v>
                </c:pt>
                <c:pt idx="70">
                  <c:v>33941000</c:v>
                </c:pt>
                <c:pt idx="71">
                  <c:v>38482000</c:v>
                </c:pt>
                <c:pt idx="72">
                  <c:v>41433800</c:v>
                </c:pt>
                <c:pt idx="73">
                  <c:v>32931600</c:v>
                </c:pt>
                <c:pt idx="74">
                  <c:v>38232100</c:v>
                </c:pt>
                <c:pt idx="75">
                  <c:v>43755200</c:v>
                </c:pt>
                <c:pt idx="76">
                  <c:v>35527300</c:v>
                </c:pt>
                <c:pt idx="77">
                  <c:v>31390700</c:v>
                </c:pt>
                <c:pt idx="78">
                  <c:v>35077400</c:v>
                </c:pt>
                <c:pt idx="79">
                  <c:v>37069500</c:v>
                </c:pt>
                <c:pt idx="80">
                  <c:v>35972900</c:v>
                </c:pt>
                <c:pt idx="81">
                  <c:v>38206700</c:v>
                </c:pt>
                <c:pt idx="82">
                  <c:v>29950400</c:v>
                </c:pt>
                <c:pt idx="83">
                  <c:v>28834100</c:v>
                </c:pt>
                <c:pt idx="84">
                  <c:v>32045100</c:v>
                </c:pt>
                <c:pt idx="85">
                  <c:v>29512700</c:v>
                </c:pt>
                <c:pt idx="86">
                  <c:v>30826100</c:v>
                </c:pt>
                <c:pt idx="87">
                  <c:v>30755800</c:v>
                </c:pt>
                <c:pt idx="88">
                  <c:v>31459200</c:v>
                </c:pt>
                <c:pt idx="89">
                  <c:v>34465200</c:v>
                </c:pt>
                <c:pt idx="90">
                  <c:v>33442100</c:v>
                </c:pt>
                <c:pt idx="91">
                  <c:v>35608500</c:v>
                </c:pt>
                <c:pt idx="92">
                  <c:v>47810400</c:v>
                </c:pt>
                <c:pt idx="93">
                  <c:v>58788500</c:v>
                </c:pt>
                <c:pt idx="94">
                  <c:v>46817600</c:v>
                </c:pt>
                <c:pt idx="95">
                  <c:v>39464000</c:v>
                </c:pt>
                <c:pt idx="96">
                  <c:v>57864800</c:v>
                </c:pt>
                <c:pt idx="97">
                  <c:v>42879200</c:v>
                </c:pt>
                <c:pt idx="98">
                  <c:v>34550700</c:v>
                </c:pt>
                <c:pt idx="99">
                  <c:v>30885900</c:v>
                </c:pt>
                <c:pt idx="100">
                  <c:v>41991400</c:v>
                </c:pt>
                <c:pt idx="101">
                  <c:v>34156600</c:v>
                </c:pt>
                <c:pt idx="102">
                  <c:v>37487800</c:v>
                </c:pt>
                <c:pt idx="103">
                  <c:v>35703600</c:v>
                </c:pt>
                <c:pt idx="104">
                  <c:v>33461200</c:v>
                </c:pt>
                <c:pt idx="105">
                  <c:v>32994400</c:v>
                </c:pt>
                <c:pt idx="106">
                  <c:v>29419800</c:v>
                </c:pt>
                <c:pt idx="107">
                  <c:v>39202000</c:v>
                </c:pt>
                <c:pt idx="108">
                  <c:v>41771600</c:v>
                </c:pt>
                <c:pt idx="109">
                  <c:v>39581800</c:v>
                </c:pt>
                <c:pt idx="110">
                  <c:v>42434900</c:v>
                </c:pt>
                <c:pt idx="111">
                  <c:v>33942100</c:v>
                </c:pt>
                <c:pt idx="112">
                  <c:v>32664800</c:v>
                </c:pt>
                <c:pt idx="113">
                  <c:v>35122600</c:v>
                </c:pt>
                <c:pt idx="114">
                  <c:v>35567400</c:v>
                </c:pt>
                <c:pt idx="115">
                  <c:v>32727800</c:v>
                </c:pt>
                <c:pt idx="116">
                  <c:v>32534900</c:v>
                </c:pt>
                <c:pt idx="117">
                  <c:v>34846700</c:v>
                </c:pt>
                <c:pt idx="118">
                  <c:v>37178500</c:v>
                </c:pt>
                <c:pt idx="119">
                  <c:v>42349100</c:v>
                </c:pt>
                <c:pt idx="120">
                  <c:v>2353400</c:v>
                </c:pt>
                <c:pt idx="121">
                  <c:v>84180500</c:v>
                </c:pt>
                <c:pt idx="122">
                  <c:v>35668700</c:v>
                </c:pt>
                <c:pt idx="123">
                  <c:v>29041300</c:v>
                </c:pt>
                <c:pt idx="124">
                  <c:v>29298800</c:v>
                </c:pt>
                <c:pt idx="125">
                  <c:v>38661900</c:v>
                </c:pt>
                <c:pt idx="126">
                  <c:v>31231700</c:v>
                </c:pt>
                <c:pt idx="127">
                  <c:v>29551700</c:v>
                </c:pt>
                <c:pt idx="128">
                  <c:v>27198000</c:v>
                </c:pt>
                <c:pt idx="129">
                  <c:v>31783100</c:v>
                </c:pt>
                <c:pt idx="130">
                  <c:v>29170300</c:v>
                </c:pt>
                <c:pt idx="131">
                  <c:v>30492900</c:v>
                </c:pt>
                <c:pt idx="132">
                  <c:v>29671100</c:v>
                </c:pt>
                <c:pt idx="133">
                  <c:v>27581500</c:v>
                </c:pt>
                <c:pt idx="134">
                  <c:v>27638900</c:v>
                </c:pt>
                <c:pt idx="135">
                  <c:v>28384300</c:v>
                </c:pt>
                <c:pt idx="136">
                  <c:v>34874200</c:v>
                </c:pt>
                <c:pt idx="137">
                  <c:v>24668300</c:v>
                </c:pt>
                <c:pt idx="138">
                  <c:v>26989100</c:v>
                </c:pt>
                <c:pt idx="139">
                  <c:v>27765200</c:v>
                </c:pt>
                <c:pt idx="140">
                  <c:v>33492700</c:v>
                </c:pt>
                <c:pt idx="141">
                  <c:v>31605200</c:v>
                </c:pt>
                <c:pt idx="142">
                  <c:v>28348700</c:v>
                </c:pt>
                <c:pt idx="143">
                  <c:v>27928900</c:v>
                </c:pt>
                <c:pt idx="144">
                  <c:v>24827400</c:v>
                </c:pt>
                <c:pt idx="145">
                  <c:v>26815200</c:v>
                </c:pt>
                <c:pt idx="146">
                  <c:v>30649700</c:v>
                </c:pt>
                <c:pt idx="147">
                  <c:v>32249300</c:v>
                </c:pt>
                <c:pt idx="148">
                  <c:v>28152600</c:v>
                </c:pt>
                <c:pt idx="149">
                  <c:v>29653300</c:v>
                </c:pt>
                <c:pt idx="150">
                  <c:v>33427700</c:v>
                </c:pt>
                <c:pt idx="151">
                  <c:v>34447700</c:v>
                </c:pt>
                <c:pt idx="152">
                  <c:v>31154600</c:v>
                </c:pt>
                <c:pt idx="153">
                  <c:v>34123500</c:v>
                </c:pt>
                <c:pt idx="154">
                  <c:v>41520300</c:v>
                </c:pt>
                <c:pt idx="155">
                  <c:v>39255500</c:v>
                </c:pt>
                <c:pt idx="156">
                  <c:v>36123200</c:v>
                </c:pt>
                <c:pt idx="157">
                  <c:v>35853200</c:v>
                </c:pt>
                <c:pt idx="158">
                  <c:v>47839600</c:v>
                </c:pt>
                <c:pt idx="159">
                  <c:v>34414500</c:v>
                </c:pt>
                <c:pt idx="160">
                  <c:v>35957600</c:v>
                </c:pt>
                <c:pt idx="161">
                  <c:v>37539100</c:v>
                </c:pt>
                <c:pt idx="162">
                  <c:v>41449400</c:v>
                </c:pt>
                <c:pt idx="163">
                  <c:v>36537600</c:v>
                </c:pt>
                <c:pt idx="164">
                  <c:v>32128700</c:v>
                </c:pt>
                <c:pt idx="165">
                  <c:v>30007800</c:v>
                </c:pt>
                <c:pt idx="166">
                  <c:v>27260900</c:v>
                </c:pt>
                <c:pt idx="167">
                  <c:v>29586500</c:v>
                </c:pt>
                <c:pt idx="168">
                  <c:v>30784200</c:v>
                </c:pt>
                <c:pt idx="169">
                  <c:v>26449400</c:v>
                </c:pt>
                <c:pt idx="170">
                  <c:v>24144500</c:v>
                </c:pt>
                <c:pt idx="171">
                  <c:v>25967800</c:v>
                </c:pt>
                <c:pt idx="172">
                  <c:v>23314400</c:v>
                </c:pt>
                <c:pt idx="173">
                  <c:v>21874400</c:v>
                </c:pt>
                <c:pt idx="174">
                  <c:v>23241800</c:v>
                </c:pt>
                <c:pt idx="175">
                  <c:v>24806200</c:v>
                </c:pt>
                <c:pt idx="176">
                  <c:v>24236600</c:v>
                </c:pt>
                <c:pt idx="177">
                  <c:v>23828100</c:v>
                </c:pt>
                <c:pt idx="178">
                  <c:v>24035600</c:v>
                </c:pt>
                <c:pt idx="179">
                  <c:v>27900100</c:v>
                </c:pt>
                <c:pt idx="180">
                  <c:v>25134900</c:v>
                </c:pt>
                <c:pt idx="181">
                  <c:v>35763300</c:v>
                </c:pt>
                <c:pt idx="182">
                  <c:v>32762200</c:v>
                </c:pt>
                <c:pt idx="183">
                  <c:v>33661900</c:v>
                </c:pt>
                <c:pt idx="184">
                  <c:v>31761700</c:v>
                </c:pt>
                <c:pt idx="185">
                  <c:v>30481900</c:v>
                </c:pt>
                <c:pt idx="186">
                  <c:v>34677000</c:v>
                </c:pt>
                <c:pt idx="187">
                  <c:v>38994400</c:v>
                </c:pt>
                <c:pt idx="188">
                  <c:v>29846200</c:v>
                </c:pt>
                <c:pt idx="189">
                  <c:v>29359600</c:v>
                </c:pt>
                <c:pt idx="190">
                  <c:v>25467800</c:v>
                </c:pt>
                <c:pt idx="191">
                  <c:v>26157900</c:v>
                </c:pt>
                <c:pt idx="192">
                  <c:v>27660400</c:v>
                </c:pt>
                <c:pt idx="193">
                  <c:v>24566800</c:v>
                </c:pt>
                <c:pt idx="194">
                  <c:v>24767600</c:v>
                </c:pt>
                <c:pt idx="195">
                  <c:v>26378800</c:v>
                </c:pt>
                <c:pt idx="196">
                  <c:v>27885100</c:v>
                </c:pt>
                <c:pt idx="197">
                  <c:v>30037300</c:v>
                </c:pt>
                <c:pt idx="198">
                  <c:v>36399000</c:v>
                </c:pt>
                <c:pt idx="199">
                  <c:v>33120800</c:v>
                </c:pt>
                <c:pt idx="200">
                  <c:v>33904800</c:v>
                </c:pt>
                <c:pt idx="201">
                  <c:v>31593800</c:v>
                </c:pt>
                <c:pt idx="202">
                  <c:v>27384700</c:v>
                </c:pt>
                <c:pt idx="203">
                  <c:v>26736600</c:v>
                </c:pt>
                <c:pt idx="204">
                  <c:v>27048800</c:v>
                </c:pt>
                <c:pt idx="205">
                  <c:v>29213700</c:v>
                </c:pt>
                <c:pt idx="206">
                  <c:v>32237700</c:v>
                </c:pt>
                <c:pt idx="207">
                  <c:v>28665700</c:v>
                </c:pt>
                <c:pt idx="208">
                  <c:v>30810500</c:v>
                </c:pt>
                <c:pt idx="209">
                  <c:v>31150000</c:v>
                </c:pt>
                <c:pt idx="210">
                  <c:v>30525900</c:v>
                </c:pt>
                <c:pt idx="211">
                  <c:v>36239700</c:v>
                </c:pt>
                <c:pt idx="212">
                  <c:v>35481600</c:v>
                </c:pt>
                <c:pt idx="213">
                  <c:v>37170000</c:v>
                </c:pt>
                <c:pt idx="214">
                  <c:v>36969300</c:v>
                </c:pt>
                <c:pt idx="215">
                  <c:v>32808300</c:v>
                </c:pt>
                <c:pt idx="216">
                  <c:v>38768500</c:v>
                </c:pt>
                <c:pt idx="217">
                  <c:v>41922900</c:v>
                </c:pt>
                <c:pt idx="218">
                  <c:v>36395300</c:v>
                </c:pt>
                <c:pt idx="219">
                  <c:v>34929800</c:v>
                </c:pt>
                <c:pt idx="220">
                  <c:v>36235900</c:v>
                </c:pt>
                <c:pt idx="221">
                  <c:v>37613500</c:v>
                </c:pt>
                <c:pt idx="222">
                  <c:v>38063400</c:v>
                </c:pt>
                <c:pt idx="223">
                  <c:v>41595100</c:v>
                </c:pt>
                <c:pt idx="224">
                  <c:v>41178700</c:v>
                </c:pt>
                <c:pt idx="225">
                  <c:v>39487300</c:v>
                </c:pt>
                <c:pt idx="226">
                  <c:v>49108500</c:v>
                </c:pt>
                <c:pt idx="227">
                  <c:v>45517200</c:v>
                </c:pt>
                <c:pt idx="228">
                  <c:v>47494700</c:v>
                </c:pt>
                <c:pt idx="229">
                  <c:v>51520400</c:v>
                </c:pt>
                <c:pt idx="230">
                  <c:v>55100000</c:v>
                </c:pt>
                <c:pt idx="231">
                  <c:v>67853400</c:v>
                </c:pt>
                <c:pt idx="232">
                  <c:v>68840400</c:v>
                </c:pt>
                <c:pt idx="233">
                  <c:v>71311200</c:v>
                </c:pt>
                <c:pt idx="234">
                  <c:v>71839900</c:v>
                </c:pt>
                <c:pt idx="235">
                  <c:v>82615300</c:v>
                </c:pt>
                <c:pt idx="236">
                  <c:v>92763600</c:v>
                </c:pt>
                <c:pt idx="237">
                  <c:v>103570600</c:v>
                </c:pt>
                <c:pt idx="238">
                  <c:v>8284900</c:v>
                </c:pt>
                <c:pt idx="239">
                  <c:v>0</c:v>
                </c:pt>
                <c:pt idx="240">
                  <c:v>0</c:v>
                </c:pt>
                <c:pt idx="241">
                  <c:v>173521200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6-41CB-BECB-6E8B50F73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0"/>
          <c:tx>
            <c:strRef>
              <c:f>指数!$S$3</c:f>
              <c:strCache>
                <c:ptCount val="1"/>
                <c:pt idx="0">
                  <c:v>收盘价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指数!$S$5:$S$246</c:f>
              <c:numCache>
                <c:formatCode>0.0000</c:formatCode>
                <c:ptCount val="242"/>
                <c:pt idx="0">
                  <c:v>2641.4497999999999</c:v>
                </c:pt>
                <c:pt idx="1">
                  <c:v>2639.9501</c:v>
                </c:pt>
                <c:pt idx="2">
                  <c:v>2642.1104</c:v>
                </c:pt>
                <c:pt idx="3">
                  <c:v>2645.2898</c:v>
                </c:pt>
                <c:pt idx="4">
                  <c:v>2644.7991000000002</c:v>
                </c:pt>
                <c:pt idx="5">
                  <c:v>2640.7853</c:v>
                </c:pt>
                <c:pt idx="6">
                  <c:v>2643.5509999999999</c:v>
                </c:pt>
                <c:pt idx="7">
                  <c:v>2638.5030000000002</c:v>
                </c:pt>
                <c:pt idx="8">
                  <c:v>2638.1993000000002</c:v>
                </c:pt>
                <c:pt idx="9">
                  <c:v>2637.0538999999999</c:v>
                </c:pt>
                <c:pt idx="10">
                  <c:v>2640.4117999999999</c:v>
                </c:pt>
                <c:pt idx="11">
                  <c:v>2641.7534000000001</c:v>
                </c:pt>
                <c:pt idx="12">
                  <c:v>2642.5626999999999</c:v>
                </c:pt>
                <c:pt idx="13">
                  <c:v>2638.7438000000002</c:v>
                </c:pt>
                <c:pt idx="14">
                  <c:v>2636.3968</c:v>
                </c:pt>
                <c:pt idx="15">
                  <c:v>2635.3172</c:v>
                </c:pt>
                <c:pt idx="16">
                  <c:v>2634.4389999999999</c:v>
                </c:pt>
                <c:pt idx="17">
                  <c:v>2636.3688000000002</c:v>
                </c:pt>
                <c:pt idx="18">
                  <c:v>2641.6705999999999</c:v>
                </c:pt>
                <c:pt idx="19">
                  <c:v>2640.5934000000002</c:v>
                </c:pt>
                <c:pt idx="20">
                  <c:v>2641.4058</c:v>
                </c:pt>
                <c:pt idx="21">
                  <c:v>2641.4333000000001</c:v>
                </c:pt>
                <c:pt idx="22">
                  <c:v>2644.8859000000002</c:v>
                </c:pt>
                <c:pt idx="23">
                  <c:v>2643.8305</c:v>
                </c:pt>
                <c:pt idx="24">
                  <c:v>2641.7350999999999</c:v>
                </c:pt>
                <c:pt idx="25">
                  <c:v>2641.2923000000001</c:v>
                </c:pt>
                <c:pt idx="26">
                  <c:v>2642.0740999999998</c:v>
                </c:pt>
                <c:pt idx="27">
                  <c:v>2642.5873000000001</c:v>
                </c:pt>
                <c:pt idx="28">
                  <c:v>2648.3933000000002</c:v>
                </c:pt>
                <c:pt idx="29">
                  <c:v>2645.8359</c:v>
                </c:pt>
                <c:pt idx="30">
                  <c:v>2646.8566000000001</c:v>
                </c:pt>
                <c:pt idx="31">
                  <c:v>2650.1154000000001</c:v>
                </c:pt>
                <c:pt idx="32">
                  <c:v>2652.3056000000001</c:v>
                </c:pt>
                <c:pt idx="33">
                  <c:v>2655.9508000000001</c:v>
                </c:pt>
                <c:pt idx="34">
                  <c:v>2654.1298999999999</c:v>
                </c:pt>
                <c:pt idx="35">
                  <c:v>2655.6669000000002</c:v>
                </c:pt>
                <c:pt idx="36">
                  <c:v>2658.5497</c:v>
                </c:pt>
                <c:pt idx="37">
                  <c:v>2653.6181000000001</c:v>
                </c:pt>
                <c:pt idx="38">
                  <c:v>2656.0142999999998</c:v>
                </c:pt>
                <c:pt idx="39">
                  <c:v>2658.1176</c:v>
                </c:pt>
                <c:pt idx="40">
                  <c:v>2657.2687999999998</c:v>
                </c:pt>
                <c:pt idx="41">
                  <c:v>2661.1633999999999</c:v>
                </c:pt>
                <c:pt idx="42">
                  <c:v>2664.3551000000002</c:v>
                </c:pt>
                <c:pt idx="43">
                  <c:v>2663.3099000000002</c:v>
                </c:pt>
                <c:pt idx="44">
                  <c:v>2662.1262999999999</c:v>
                </c:pt>
                <c:pt idx="45">
                  <c:v>2667.1462999999999</c:v>
                </c:pt>
                <c:pt idx="46">
                  <c:v>2666.8047000000001</c:v>
                </c:pt>
                <c:pt idx="47">
                  <c:v>2670.7532999999999</c:v>
                </c:pt>
                <c:pt idx="48">
                  <c:v>2670.1120999999998</c:v>
                </c:pt>
                <c:pt idx="49">
                  <c:v>2673.5329000000002</c:v>
                </c:pt>
                <c:pt idx="50">
                  <c:v>2671.8341</c:v>
                </c:pt>
                <c:pt idx="51">
                  <c:v>2667.2521999999999</c:v>
                </c:pt>
                <c:pt idx="52">
                  <c:v>2666.2094000000002</c:v>
                </c:pt>
                <c:pt idx="53">
                  <c:v>2662.5612000000001</c:v>
                </c:pt>
                <c:pt idx="54">
                  <c:v>2664.7645000000002</c:v>
                </c:pt>
                <c:pt idx="55">
                  <c:v>2664.0904</c:v>
                </c:pt>
                <c:pt idx="56">
                  <c:v>2667.0866999999998</c:v>
                </c:pt>
                <c:pt idx="57">
                  <c:v>2664.7743999999998</c:v>
                </c:pt>
                <c:pt idx="58">
                  <c:v>2667.2620999999999</c:v>
                </c:pt>
                <c:pt idx="59">
                  <c:v>2673.9135999999999</c:v>
                </c:pt>
                <c:pt idx="60">
                  <c:v>2671.8508000000002</c:v>
                </c:pt>
                <c:pt idx="61">
                  <c:v>2673.4854</c:v>
                </c:pt>
                <c:pt idx="62">
                  <c:v>2668.2707999999998</c:v>
                </c:pt>
                <c:pt idx="63">
                  <c:v>2666.0335</c:v>
                </c:pt>
                <c:pt idx="64">
                  <c:v>2669.6927000000001</c:v>
                </c:pt>
                <c:pt idx="65">
                  <c:v>2669.7728999999999</c:v>
                </c:pt>
                <c:pt idx="66">
                  <c:v>2668.0717</c:v>
                </c:pt>
                <c:pt idx="67">
                  <c:v>2668.6055999999999</c:v>
                </c:pt>
                <c:pt idx="68">
                  <c:v>2669.82</c:v>
                </c:pt>
                <c:pt idx="69">
                  <c:v>2671.9683</c:v>
                </c:pt>
                <c:pt idx="70">
                  <c:v>2672.3098</c:v>
                </c:pt>
                <c:pt idx="71">
                  <c:v>2677.0034000000001</c:v>
                </c:pt>
                <c:pt idx="72">
                  <c:v>2678.7451999999998</c:v>
                </c:pt>
                <c:pt idx="73">
                  <c:v>2679.8341999999998</c:v>
                </c:pt>
                <c:pt idx="74">
                  <c:v>2683.2856000000002</c:v>
                </c:pt>
                <c:pt idx="75">
                  <c:v>2681.3440000000001</c:v>
                </c:pt>
                <c:pt idx="76">
                  <c:v>2681.8948</c:v>
                </c:pt>
                <c:pt idx="77">
                  <c:v>2680.2031999999999</c:v>
                </c:pt>
                <c:pt idx="78">
                  <c:v>2684.5666999999999</c:v>
                </c:pt>
                <c:pt idx="79">
                  <c:v>2683.7912999999999</c:v>
                </c:pt>
                <c:pt idx="80">
                  <c:v>2686.6008000000002</c:v>
                </c:pt>
                <c:pt idx="81">
                  <c:v>2684.6556</c:v>
                </c:pt>
                <c:pt idx="82">
                  <c:v>2684.7849999999999</c:v>
                </c:pt>
                <c:pt idx="83">
                  <c:v>2686.3957</c:v>
                </c:pt>
                <c:pt idx="84">
                  <c:v>2683.2669000000001</c:v>
                </c:pt>
                <c:pt idx="85">
                  <c:v>2683.7556</c:v>
                </c:pt>
                <c:pt idx="86">
                  <c:v>2681.7384000000002</c:v>
                </c:pt>
                <c:pt idx="87">
                  <c:v>2681.7741000000001</c:v>
                </c:pt>
                <c:pt idx="88">
                  <c:v>2679.3319000000001</c:v>
                </c:pt>
                <c:pt idx="89">
                  <c:v>2679.2046999999998</c:v>
                </c:pt>
                <c:pt idx="90">
                  <c:v>2681.2109999999998</c:v>
                </c:pt>
                <c:pt idx="91">
                  <c:v>2681.6093999999998</c:v>
                </c:pt>
                <c:pt idx="92">
                  <c:v>2679.4805000000001</c:v>
                </c:pt>
                <c:pt idx="93">
                  <c:v>2680.2100999999998</c:v>
                </c:pt>
                <c:pt idx="94">
                  <c:v>2681.2860000000001</c:v>
                </c:pt>
                <c:pt idx="95">
                  <c:v>2683.6595000000002</c:v>
                </c:pt>
                <c:pt idx="96">
                  <c:v>2679.0275999999999</c:v>
                </c:pt>
                <c:pt idx="97">
                  <c:v>2678.9288999999999</c:v>
                </c:pt>
                <c:pt idx="98">
                  <c:v>2679.8420000000001</c:v>
                </c:pt>
                <c:pt idx="99">
                  <c:v>2680.7784999999999</c:v>
                </c:pt>
                <c:pt idx="100">
                  <c:v>2677.0621999999998</c:v>
                </c:pt>
                <c:pt idx="101">
                  <c:v>2680.0945000000002</c:v>
                </c:pt>
                <c:pt idx="102">
                  <c:v>2679.3116</c:v>
                </c:pt>
                <c:pt idx="103">
                  <c:v>2680.2303999999999</c:v>
                </c:pt>
                <c:pt idx="104">
                  <c:v>2682.1545000000001</c:v>
                </c:pt>
                <c:pt idx="105">
                  <c:v>2681.3926999999999</c:v>
                </c:pt>
                <c:pt idx="106">
                  <c:v>2684.0333000000001</c:v>
                </c:pt>
                <c:pt idx="107">
                  <c:v>2685.1284000000001</c:v>
                </c:pt>
                <c:pt idx="108">
                  <c:v>2685.7226000000001</c:v>
                </c:pt>
                <c:pt idx="109">
                  <c:v>2684.2413999999999</c:v>
                </c:pt>
                <c:pt idx="110">
                  <c:v>2681.4072999999999</c:v>
                </c:pt>
                <c:pt idx="111">
                  <c:v>2682.5632000000001</c:v>
                </c:pt>
                <c:pt idx="112">
                  <c:v>2682.3951000000002</c:v>
                </c:pt>
                <c:pt idx="113">
                  <c:v>2681.7190000000001</c:v>
                </c:pt>
                <c:pt idx="114">
                  <c:v>2680.8171000000002</c:v>
                </c:pt>
                <c:pt idx="115">
                  <c:v>2681.7597000000001</c:v>
                </c:pt>
                <c:pt idx="116">
                  <c:v>2681.3782999999999</c:v>
                </c:pt>
                <c:pt idx="117">
                  <c:v>2681.0778</c:v>
                </c:pt>
                <c:pt idx="118">
                  <c:v>2677.0810999999999</c:v>
                </c:pt>
                <c:pt idx="119">
                  <c:v>2675.1064000000001</c:v>
                </c:pt>
                <c:pt idx="120">
                  <c:v>2675.15</c:v>
                </c:pt>
                <c:pt idx="121">
                  <c:v>2675.0767999999998</c:v>
                </c:pt>
                <c:pt idx="122">
                  <c:v>2675.3658</c:v>
                </c:pt>
                <c:pt idx="123">
                  <c:v>2678.2266</c:v>
                </c:pt>
                <c:pt idx="124">
                  <c:v>2674.2799</c:v>
                </c:pt>
                <c:pt idx="125">
                  <c:v>2671.8150000000001</c:v>
                </c:pt>
                <c:pt idx="126">
                  <c:v>2673.5985000000001</c:v>
                </c:pt>
                <c:pt idx="127">
                  <c:v>2673.1615000000002</c:v>
                </c:pt>
                <c:pt idx="128">
                  <c:v>2673.5221999999999</c:v>
                </c:pt>
                <c:pt idx="129">
                  <c:v>2673.8038999999999</c:v>
                </c:pt>
                <c:pt idx="130">
                  <c:v>2674.6388000000002</c:v>
                </c:pt>
                <c:pt idx="131">
                  <c:v>2674.7141000000001</c:v>
                </c:pt>
                <c:pt idx="132">
                  <c:v>2676.1399000000001</c:v>
                </c:pt>
                <c:pt idx="133">
                  <c:v>2674.6386000000002</c:v>
                </c:pt>
                <c:pt idx="134">
                  <c:v>2676.1136999999999</c:v>
                </c:pt>
                <c:pt idx="135">
                  <c:v>2675.5742</c:v>
                </c:pt>
                <c:pt idx="136">
                  <c:v>2674.3292000000001</c:v>
                </c:pt>
                <c:pt idx="137">
                  <c:v>2675.5983000000001</c:v>
                </c:pt>
                <c:pt idx="138">
                  <c:v>2674.8859000000002</c:v>
                </c:pt>
                <c:pt idx="139">
                  <c:v>2676.1875</c:v>
                </c:pt>
                <c:pt idx="140">
                  <c:v>2678.3544999999999</c:v>
                </c:pt>
                <c:pt idx="141">
                  <c:v>2676.6007</c:v>
                </c:pt>
                <c:pt idx="142">
                  <c:v>2676.7372</c:v>
                </c:pt>
                <c:pt idx="143">
                  <c:v>2678.3404999999998</c:v>
                </c:pt>
                <c:pt idx="144">
                  <c:v>2677.0956999999999</c:v>
                </c:pt>
                <c:pt idx="145">
                  <c:v>2677.3445999999999</c:v>
                </c:pt>
                <c:pt idx="146">
                  <c:v>2678.4432000000002</c:v>
                </c:pt>
                <c:pt idx="147">
                  <c:v>2676.9414000000002</c:v>
                </c:pt>
                <c:pt idx="148">
                  <c:v>2675.8364000000001</c:v>
                </c:pt>
                <c:pt idx="149">
                  <c:v>2674.3926999999999</c:v>
                </c:pt>
                <c:pt idx="150">
                  <c:v>2672.5077000000001</c:v>
                </c:pt>
                <c:pt idx="151">
                  <c:v>2673.6365999999998</c:v>
                </c:pt>
                <c:pt idx="152">
                  <c:v>2672.3290000000002</c:v>
                </c:pt>
                <c:pt idx="153">
                  <c:v>2674.2413000000001</c:v>
                </c:pt>
                <c:pt idx="154">
                  <c:v>2672.9306999999999</c:v>
                </c:pt>
                <c:pt idx="155">
                  <c:v>2672.4539</c:v>
                </c:pt>
                <c:pt idx="156">
                  <c:v>2672.1680999999999</c:v>
                </c:pt>
                <c:pt idx="157">
                  <c:v>2668.7004999999999</c:v>
                </c:pt>
                <c:pt idx="158">
                  <c:v>2668.7293</c:v>
                </c:pt>
                <c:pt idx="159">
                  <c:v>2668.3341</c:v>
                </c:pt>
                <c:pt idx="160">
                  <c:v>2665.6635999999999</c:v>
                </c:pt>
                <c:pt idx="161">
                  <c:v>2666.6995000000002</c:v>
                </c:pt>
                <c:pt idx="162">
                  <c:v>2669.0313999999998</c:v>
                </c:pt>
                <c:pt idx="163">
                  <c:v>2671.6840000000002</c:v>
                </c:pt>
                <c:pt idx="164">
                  <c:v>2673.9823999999999</c:v>
                </c:pt>
                <c:pt idx="165">
                  <c:v>2674.1750999999999</c:v>
                </c:pt>
                <c:pt idx="166">
                  <c:v>2673.7116999999998</c:v>
                </c:pt>
                <c:pt idx="167">
                  <c:v>2675.5248000000001</c:v>
                </c:pt>
                <c:pt idx="168">
                  <c:v>2673.1666</c:v>
                </c:pt>
                <c:pt idx="169">
                  <c:v>2673.1860999999999</c:v>
                </c:pt>
                <c:pt idx="170">
                  <c:v>2671.7013999999999</c:v>
                </c:pt>
                <c:pt idx="171">
                  <c:v>2669.7772</c:v>
                </c:pt>
                <c:pt idx="172">
                  <c:v>2670.7901000000002</c:v>
                </c:pt>
                <c:pt idx="173">
                  <c:v>2671.7882</c:v>
                </c:pt>
                <c:pt idx="174">
                  <c:v>2670.8879999999999</c:v>
                </c:pt>
                <c:pt idx="175">
                  <c:v>2669.2964999999999</c:v>
                </c:pt>
                <c:pt idx="176">
                  <c:v>2669.9175</c:v>
                </c:pt>
                <c:pt idx="177">
                  <c:v>2669.1641</c:v>
                </c:pt>
                <c:pt idx="178">
                  <c:v>2671.2318</c:v>
                </c:pt>
                <c:pt idx="179">
                  <c:v>2672.2296000000001</c:v>
                </c:pt>
                <c:pt idx="180">
                  <c:v>2671.5326</c:v>
                </c:pt>
                <c:pt idx="181">
                  <c:v>2669.3141999999998</c:v>
                </c:pt>
                <c:pt idx="182">
                  <c:v>2667.5104999999999</c:v>
                </c:pt>
                <c:pt idx="183">
                  <c:v>2668.7995999999998</c:v>
                </c:pt>
                <c:pt idx="184">
                  <c:v>2669.0531999999998</c:v>
                </c:pt>
                <c:pt idx="185">
                  <c:v>2670.9007000000001</c:v>
                </c:pt>
                <c:pt idx="186">
                  <c:v>2672.1842000000001</c:v>
                </c:pt>
                <c:pt idx="187">
                  <c:v>2674.3897000000002</c:v>
                </c:pt>
                <c:pt idx="188">
                  <c:v>2674.8667</c:v>
                </c:pt>
                <c:pt idx="189">
                  <c:v>2673.8254999999999</c:v>
                </c:pt>
                <c:pt idx="190">
                  <c:v>2674.5057999999999</c:v>
                </c:pt>
                <c:pt idx="191">
                  <c:v>2672.9884000000002</c:v>
                </c:pt>
                <c:pt idx="192">
                  <c:v>2673.0720999999999</c:v>
                </c:pt>
                <c:pt idx="193">
                  <c:v>2672.5635000000002</c:v>
                </c:pt>
                <c:pt idx="194">
                  <c:v>2670.8748999999998</c:v>
                </c:pt>
                <c:pt idx="195">
                  <c:v>2671.9385000000002</c:v>
                </c:pt>
                <c:pt idx="196">
                  <c:v>2670.739</c:v>
                </c:pt>
                <c:pt idx="197">
                  <c:v>2670.0299</c:v>
                </c:pt>
                <c:pt idx="198">
                  <c:v>2669.0279999999998</c:v>
                </c:pt>
                <c:pt idx="199">
                  <c:v>2669.2752999999998</c:v>
                </c:pt>
                <c:pt idx="200">
                  <c:v>2668.6803</c:v>
                </c:pt>
                <c:pt idx="201">
                  <c:v>2669.0052999999998</c:v>
                </c:pt>
                <c:pt idx="202">
                  <c:v>2670.0927000000001</c:v>
                </c:pt>
                <c:pt idx="203">
                  <c:v>2670.3069</c:v>
                </c:pt>
                <c:pt idx="204">
                  <c:v>2670.3996999999999</c:v>
                </c:pt>
                <c:pt idx="205">
                  <c:v>2670.6783</c:v>
                </c:pt>
                <c:pt idx="206">
                  <c:v>2670.7909</c:v>
                </c:pt>
                <c:pt idx="207">
                  <c:v>2671.4481999999998</c:v>
                </c:pt>
                <c:pt idx="208">
                  <c:v>2670.4811</c:v>
                </c:pt>
                <c:pt idx="209">
                  <c:v>2669.5311999999999</c:v>
                </c:pt>
                <c:pt idx="210">
                  <c:v>2668.4639000000002</c:v>
                </c:pt>
                <c:pt idx="211">
                  <c:v>2667.3856999999998</c:v>
                </c:pt>
                <c:pt idx="212">
                  <c:v>2666.2640999999999</c:v>
                </c:pt>
                <c:pt idx="213">
                  <c:v>2665.5531000000001</c:v>
                </c:pt>
                <c:pt idx="214">
                  <c:v>2665.9490999999998</c:v>
                </c:pt>
                <c:pt idx="215">
                  <c:v>2665.4517999999998</c:v>
                </c:pt>
                <c:pt idx="216">
                  <c:v>2664.3085000000001</c:v>
                </c:pt>
                <c:pt idx="217">
                  <c:v>2665.7874000000002</c:v>
                </c:pt>
                <c:pt idx="218">
                  <c:v>2665.6212999999998</c:v>
                </c:pt>
                <c:pt idx="219">
                  <c:v>2666.1035000000002</c:v>
                </c:pt>
                <c:pt idx="220">
                  <c:v>2666.2266</c:v>
                </c:pt>
                <c:pt idx="221">
                  <c:v>2665.3449000000001</c:v>
                </c:pt>
                <c:pt idx="222">
                  <c:v>2665.7411000000002</c:v>
                </c:pt>
                <c:pt idx="223">
                  <c:v>2666.3746999999998</c:v>
                </c:pt>
                <c:pt idx="224">
                  <c:v>2667.3065000000001</c:v>
                </c:pt>
                <c:pt idx="225">
                  <c:v>2667.2923000000001</c:v>
                </c:pt>
                <c:pt idx="226">
                  <c:v>2667.2011000000002</c:v>
                </c:pt>
                <c:pt idx="227">
                  <c:v>2667.1053999999999</c:v>
                </c:pt>
                <c:pt idx="228">
                  <c:v>2666.2177999999999</c:v>
                </c:pt>
                <c:pt idx="229">
                  <c:v>2666.2865000000002</c:v>
                </c:pt>
                <c:pt idx="230">
                  <c:v>2666.2793000000001</c:v>
                </c:pt>
                <c:pt idx="231">
                  <c:v>2664.7352000000001</c:v>
                </c:pt>
                <c:pt idx="232">
                  <c:v>2664.5156000000002</c:v>
                </c:pt>
                <c:pt idx="233">
                  <c:v>2664.2618000000002</c:v>
                </c:pt>
                <c:pt idx="234">
                  <c:v>2664.6718000000001</c:v>
                </c:pt>
                <c:pt idx="235">
                  <c:v>2664.6347999999998</c:v>
                </c:pt>
                <c:pt idx="236">
                  <c:v>2665.0565999999999</c:v>
                </c:pt>
                <c:pt idx="237">
                  <c:v>2665.4058</c:v>
                </c:pt>
                <c:pt idx="238">
                  <c:v>2666.0383000000002</c:v>
                </c:pt>
                <c:pt idx="239">
                  <c:v>2666.0383000000002</c:v>
                </c:pt>
                <c:pt idx="240">
                  <c:v>2666.0383000000002</c:v>
                </c:pt>
                <c:pt idx="241">
                  <c:v>2666.9695999999999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26-41CB-BECB-6E8B50F73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923600"/>
        <c:axId val="1"/>
      </c:lineChart>
      <c:catAx>
        <c:axId val="5819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2360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</a:rPr>
              <a:t>科创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Calibri" panose="020F0502020204030204"/>
                <a:ea typeface="等线" panose="02010600030101010101" charset="-122"/>
                <a:cs typeface="Calibri" panose="020F0502020204030204"/>
              </a:rPr>
              <a:t>50  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指数!$X$3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指数!$X$5:$X$246</c:f>
              <c:numCache>
                <c:formatCode>0.0000</c:formatCode>
                <c:ptCount val="242"/>
                <c:pt idx="0">
                  <c:v>15695100</c:v>
                </c:pt>
                <c:pt idx="1">
                  <c:v>9083700</c:v>
                </c:pt>
                <c:pt idx="2">
                  <c:v>7839000</c:v>
                </c:pt>
                <c:pt idx="3">
                  <c:v>12927600</c:v>
                </c:pt>
                <c:pt idx="4">
                  <c:v>7735300</c:v>
                </c:pt>
                <c:pt idx="5">
                  <c:v>7058600</c:v>
                </c:pt>
                <c:pt idx="6">
                  <c:v>6158500</c:v>
                </c:pt>
                <c:pt idx="7">
                  <c:v>6732200</c:v>
                </c:pt>
                <c:pt idx="8">
                  <c:v>5718100</c:v>
                </c:pt>
                <c:pt idx="9">
                  <c:v>5847100</c:v>
                </c:pt>
                <c:pt idx="10">
                  <c:v>6437900</c:v>
                </c:pt>
                <c:pt idx="11">
                  <c:v>5530600</c:v>
                </c:pt>
                <c:pt idx="12">
                  <c:v>4721000</c:v>
                </c:pt>
                <c:pt idx="13">
                  <c:v>5602600</c:v>
                </c:pt>
                <c:pt idx="14">
                  <c:v>5255900</c:v>
                </c:pt>
                <c:pt idx="15">
                  <c:v>5084100</c:v>
                </c:pt>
                <c:pt idx="16">
                  <c:v>5411200</c:v>
                </c:pt>
                <c:pt idx="17">
                  <c:v>4019200</c:v>
                </c:pt>
                <c:pt idx="18">
                  <c:v>5042200</c:v>
                </c:pt>
                <c:pt idx="19">
                  <c:v>3703200</c:v>
                </c:pt>
                <c:pt idx="20">
                  <c:v>3748300</c:v>
                </c:pt>
                <c:pt idx="21">
                  <c:v>3888800</c:v>
                </c:pt>
                <c:pt idx="22">
                  <c:v>4115200</c:v>
                </c:pt>
                <c:pt idx="23">
                  <c:v>3862800</c:v>
                </c:pt>
                <c:pt idx="24">
                  <c:v>3890700</c:v>
                </c:pt>
                <c:pt idx="25">
                  <c:v>3307700</c:v>
                </c:pt>
                <c:pt idx="26">
                  <c:v>3543400</c:v>
                </c:pt>
                <c:pt idx="27">
                  <c:v>3195300</c:v>
                </c:pt>
                <c:pt idx="28">
                  <c:v>4331300</c:v>
                </c:pt>
                <c:pt idx="29">
                  <c:v>4610200</c:v>
                </c:pt>
                <c:pt idx="30">
                  <c:v>4863000</c:v>
                </c:pt>
                <c:pt idx="31">
                  <c:v>4798600</c:v>
                </c:pt>
                <c:pt idx="32">
                  <c:v>3654300</c:v>
                </c:pt>
                <c:pt idx="33">
                  <c:v>3346400</c:v>
                </c:pt>
                <c:pt idx="34">
                  <c:v>3250200</c:v>
                </c:pt>
                <c:pt idx="35">
                  <c:v>3230700</c:v>
                </c:pt>
                <c:pt idx="36">
                  <c:v>3158900</c:v>
                </c:pt>
                <c:pt idx="37">
                  <c:v>3625200</c:v>
                </c:pt>
                <c:pt idx="38">
                  <c:v>2810500</c:v>
                </c:pt>
                <c:pt idx="39">
                  <c:v>2092900</c:v>
                </c:pt>
                <c:pt idx="40">
                  <c:v>2579800</c:v>
                </c:pt>
                <c:pt idx="41">
                  <c:v>2843000</c:v>
                </c:pt>
                <c:pt idx="42">
                  <c:v>2999300</c:v>
                </c:pt>
                <c:pt idx="43">
                  <c:v>2626300</c:v>
                </c:pt>
                <c:pt idx="44">
                  <c:v>2601500</c:v>
                </c:pt>
                <c:pt idx="45">
                  <c:v>3409400</c:v>
                </c:pt>
                <c:pt idx="46">
                  <c:v>3491700</c:v>
                </c:pt>
                <c:pt idx="47">
                  <c:v>3868300</c:v>
                </c:pt>
                <c:pt idx="48">
                  <c:v>3319900</c:v>
                </c:pt>
                <c:pt idx="49">
                  <c:v>3595000</c:v>
                </c:pt>
                <c:pt idx="50">
                  <c:v>4640300</c:v>
                </c:pt>
                <c:pt idx="51">
                  <c:v>4380000</c:v>
                </c:pt>
                <c:pt idx="52">
                  <c:v>3220300</c:v>
                </c:pt>
                <c:pt idx="53">
                  <c:v>2541200</c:v>
                </c:pt>
                <c:pt idx="54">
                  <c:v>2326400</c:v>
                </c:pt>
                <c:pt idx="55">
                  <c:v>2224100</c:v>
                </c:pt>
                <c:pt idx="56">
                  <c:v>2722400</c:v>
                </c:pt>
                <c:pt idx="57">
                  <c:v>2661700</c:v>
                </c:pt>
                <c:pt idx="58">
                  <c:v>2311700</c:v>
                </c:pt>
                <c:pt idx="59">
                  <c:v>3283600</c:v>
                </c:pt>
                <c:pt idx="60">
                  <c:v>2543100</c:v>
                </c:pt>
                <c:pt idx="61">
                  <c:v>2905200</c:v>
                </c:pt>
                <c:pt idx="62">
                  <c:v>2221000</c:v>
                </c:pt>
                <c:pt idx="63">
                  <c:v>2389600</c:v>
                </c:pt>
                <c:pt idx="64">
                  <c:v>2268900</c:v>
                </c:pt>
                <c:pt idx="65">
                  <c:v>1729500</c:v>
                </c:pt>
                <c:pt idx="66">
                  <c:v>2009500</c:v>
                </c:pt>
                <c:pt idx="67">
                  <c:v>2073900</c:v>
                </c:pt>
                <c:pt idx="68">
                  <c:v>1702800</c:v>
                </c:pt>
                <c:pt idx="69">
                  <c:v>2412900</c:v>
                </c:pt>
                <c:pt idx="70">
                  <c:v>1912000</c:v>
                </c:pt>
                <c:pt idx="71">
                  <c:v>1868500</c:v>
                </c:pt>
                <c:pt idx="72">
                  <c:v>2729500</c:v>
                </c:pt>
                <c:pt idx="73">
                  <c:v>2162900</c:v>
                </c:pt>
                <c:pt idx="74">
                  <c:v>2476300</c:v>
                </c:pt>
                <c:pt idx="75">
                  <c:v>3257300</c:v>
                </c:pt>
                <c:pt idx="76">
                  <c:v>2162600</c:v>
                </c:pt>
                <c:pt idx="77">
                  <c:v>1952100</c:v>
                </c:pt>
                <c:pt idx="78">
                  <c:v>2207100</c:v>
                </c:pt>
                <c:pt idx="79">
                  <c:v>2485100</c:v>
                </c:pt>
                <c:pt idx="80">
                  <c:v>2419500</c:v>
                </c:pt>
                <c:pt idx="81">
                  <c:v>2777000</c:v>
                </c:pt>
                <c:pt idx="82">
                  <c:v>2036500</c:v>
                </c:pt>
                <c:pt idx="83">
                  <c:v>2237400</c:v>
                </c:pt>
                <c:pt idx="84">
                  <c:v>2253100</c:v>
                </c:pt>
                <c:pt idx="85">
                  <c:v>1811300</c:v>
                </c:pt>
                <c:pt idx="86">
                  <c:v>1749000</c:v>
                </c:pt>
                <c:pt idx="87">
                  <c:v>1797800</c:v>
                </c:pt>
                <c:pt idx="88">
                  <c:v>1851900</c:v>
                </c:pt>
                <c:pt idx="89">
                  <c:v>1727800</c:v>
                </c:pt>
                <c:pt idx="90">
                  <c:v>2049800</c:v>
                </c:pt>
                <c:pt idx="91">
                  <c:v>1970300</c:v>
                </c:pt>
                <c:pt idx="92">
                  <c:v>1720700</c:v>
                </c:pt>
                <c:pt idx="93">
                  <c:v>1975600</c:v>
                </c:pt>
                <c:pt idx="94">
                  <c:v>2011400</c:v>
                </c:pt>
                <c:pt idx="95">
                  <c:v>1573200</c:v>
                </c:pt>
                <c:pt idx="96">
                  <c:v>2819900</c:v>
                </c:pt>
                <c:pt idx="97">
                  <c:v>1875700</c:v>
                </c:pt>
                <c:pt idx="98">
                  <c:v>1938700</c:v>
                </c:pt>
                <c:pt idx="99">
                  <c:v>1742700</c:v>
                </c:pt>
                <c:pt idx="100">
                  <c:v>2535700</c:v>
                </c:pt>
                <c:pt idx="101">
                  <c:v>2063100</c:v>
                </c:pt>
                <c:pt idx="102">
                  <c:v>2136600</c:v>
                </c:pt>
                <c:pt idx="103">
                  <c:v>1885800</c:v>
                </c:pt>
                <c:pt idx="104">
                  <c:v>2051800</c:v>
                </c:pt>
                <c:pt idx="105">
                  <c:v>1884800</c:v>
                </c:pt>
                <c:pt idx="106">
                  <c:v>1791000</c:v>
                </c:pt>
                <c:pt idx="107">
                  <c:v>2475000</c:v>
                </c:pt>
                <c:pt idx="108">
                  <c:v>1949800</c:v>
                </c:pt>
                <c:pt idx="109">
                  <c:v>2135100</c:v>
                </c:pt>
                <c:pt idx="110">
                  <c:v>1998200</c:v>
                </c:pt>
                <c:pt idx="111">
                  <c:v>1460100</c:v>
                </c:pt>
                <c:pt idx="112">
                  <c:v>1720200</c:v>
                </c:pt>
                <c:pt idx="113">
                  <c:v>1595600</c:v>
                </c:pt>
                <c:pt idx="114">
                  <c:v>1852500</c:v>
                </c:pt>
                <c:pt idx="115">
                  <c:v>1690100</c:v>
                </c:pt>
                <c:pt idx="116">
                  <c:v>1742200</c:v>
                </c:pt>
                <c:pt idx="117">
                  <c:v>1440500</c:v>
                </c:pt>
                <c:pt idx="118">
                  <c:v>1622900</c:v>
                </c:pt>
                <c:pt idx="119">
                  <c:v>2740500</c:v>
                </c:pt>
                <c:pt idx="120">
                  <c:v>26100</c:v>
                </c:pt>
                <c:pt idx="121">
                  <c:v>4178400</c:v>
                </c:pt>
                <c:pt idx="122">
                  <c:v>1646500</c:v>
                </c:pt>
                <c:pt idx="123">
                  <c:v>1718000</c:v>
                </c:pt>
                <c:pt idx="124">
                  <c:v>1730000</c:v>
                </c:pt>
                <c:pt idx="125">
                  <c:v>3250200</c:v>
                </c:pt>
                <c:pt idx="126">
                  <c:v>1787100</c:v>
                </c:pt>
                <c:pt idx="127">
                  <c:v>1663100</c:v>
                </c:pt>
                <c:pt idx="128">
                  <c:v>1537500</c:v>
                </c:pt>
                <c:pt idx="129">
                  <c:v>1778200</c:v>
                </c:pt>
                <c:pt idx="130">
                  <c:v>1548000</c:v>
                </c:pt>
                <c:pt idx="131">
                  <c:v>1651800</c:v>
                </c:pt>
                <c:pt idx="132">
                  <c:v>1802000</c:v>
                </c:pt>
                <c:pt idx="133">
                  <c:v>1449900</c:v>
                </c:pt>
                <c:pt idx="134">
                  <c:v>1882900</c:v>
                </c:pt>
                <c:pt idx="135">
                  <c:v>1426500</c:v>
                </c:pt>
                <c:pt idx="136">
                  <c:v>2071400</c:v>
                </c:pt>
                <c:pt idx="137">
                  <c:v>1397800</c:v>
                </c:pt>
                <c:pt idx="138">
                  <c:v>1508300</c:v>
                </c:pt>
                <c:pt idx="139">
                  <c:v>1758600</c:v>
                </c:pt>
                <c:pt idx="140">
                  <c:v>1909300</c:v>
                </c:pt>
                <c:pt idx="141">
                  <c:v>2036500</c:v>
                </c:pt>
                <c:pt idx="142">
                  <c:v>1698900</c:v>
                </c:pt>
                <c:pt idx="143">
                  <c:v>1394500</c:v>
                </c:pt>
                <c:pt idx="144">
                  <c:v>1634800</c:v>
                </c:pt>
                <c:pt idx="145">
                  <c:v>1927900</c:v>
                </c:pt>
                <c:pt idx="146">
                  <c:v>2456300</c:v>
                </c:pt>
                <c:pt idx="147">
                  <c:v>1821100</c:v>
                </c:pt>
                <c:pt idx="148">
                  <c:v>1482700</c:v>
                </c:pt>
                <c:pt idx="149">
                  <c:v>1720100</c:v>
                </c:pt>
                <c:pt idx="150">
                  <c:v>1922500</c:v>
                </c:pt>
                <c:pt idx="151">
                  <c:v>2002100</c:v>
                </c:pt>
                <c:pt idx="152">
                  <c:v>2007000</c:v>
                </c:pt>
                <c:pt idx="153">
                  <c:v>1617600</c:v>
                </c:pt>
                <c:pt idx="154">
                  <c:v>2114200</c:v>
                </c:pt>
                <c:pt idx="155">
                  <c:v>2030000</c:v>
                </c:pt>
                <c:pt idx="156">
                  <c:v>2048600</c:v>
                </c:pt>
                <c:pt idx="157">
                  <c:v>1909400</c:v>
                </c:pt>
                <c:pt idx="158">
                  <c:v>2019600</c:v>
                </c:pt>
                <c:pt idx="159">
                  <c:v>2086400</c:v>
                </c:pt>
                <c:pt idx="160">
                  <c:v>2186700</c:v>
                </c:pt>
                <c:pt idx="161">
                  <c:v>2036900</c:v>
                </c:pt>
                <c:pt idx="162">
                  <c:v>1773500</c:v>
                </c:pt>
                <c:pt idx="163">
                  <c:v>2047400</c:v>
                </c:pt>
                <c:pt idx="164">
                  <c:v>1688300</c:v>
                </c:pt>
                <c:pt idx="165">
                  <c:v>1503500</c:v>
                </c:pt>
                <c:pt idx="166">
                  <c:v>1617200</c:v>
                </c:pt>
                <c:pt idx="167">
                  <c:v>1732500</c:v>
                </c:pt>
                <c:pt idx="168">
                  <c:v>1926800</c:v>
                </c:pt>
                <c:pt idx="169">
                  <c:v>1710100</c:v>
                </c:pt>
                <c:pt idx="170">
                  <c:v>1590000</c:v>
                </c:pt>
                <c:pt idx="171">
                  <c:v>1592000</c:v>
                </c:pt>
                <c:pt idx="172">
                  <c:v>2049300</c:v>
                </c:pt>
                <c:pt idx="173">
                  <c:v>1732100</c:v>
                </c:pt>
                <c:pt idx="174">
                  <c:v>2513800</c:v>
                </c:pt>
                <c:pt idx="175">
                  <c:v>2101700</c:v>
                </c:pt>
                <c:pt idx="176">
                  <c:v>1732000</c:v>
                </c:pt>
                <c:pt idx="177">
                  <c:v>1964000</c:v>
                </c:pt>
                <c:pt idx="178">
                  <c:v>2202500</c:v>
                </c:pt>
                <c:pt idx="179">
                  <c:v>1587500</c:v>
                </c:pt>
                <c:pt idx="180">
                  <c:v>1692100</c:v>
                </c:pt>
                <c:pt idx="181">
                  <c:v>2756400</c:v>
                </c:pt>
                <c:pt idx="182">
                  <c:v>1979800</c:v>
                </c:pt>
                <c:pt idx="183">
                  <c:v>1972000</c:v>
                </c:pt>
                <c:pt idx="184">
                  <c:v>1599500</c:v>
                </c:pt>
                <c:pt idx="185">
                  <c:v>1606200</c:v>
                </c:pt>
                <c:pt idx="186">
                  <c:v>2074900</c:v>
                </c:pt>
                <c:pt idx="187">
                  <c:v>2721500</c:v>
                </c:pt>
                <c:pt idx="188">
                  <c:v>1557900</c:v>
                </c:pt>
                <c:pt idx="189">
                  <c:v>1702900</c:v>
                </c:pt>
                <c:pt idx="190">
                  <c:v>1435700</c:v>
                </c:pt>
                <c:pt idx="191">
                  <c:v>2238100</c:v>
                </c:pt>
                <c:pt idx="192">
                  <c:v>2056700</c:v>
                </c:pt>
                <c:pt idx="193">
                  <c:v>1931400</c:v>
                </c:pt>
                <c:pt idx="194">
                  <c:v>2023500</c:v>
                </c:pt>
                <c:pt idx="195">
                  <c:v>1836300</c:v>
                </c:pt>
                <c:pt idx="196">
                  <c:v>2004100</c:v>
                </c:pt>
                <c:pt idx="197">
                  <c:v>1898300</c:v>
                </c:pt>
                <c:pt idx="198">
                  <c:v>1941900</c:v>
                </c:pt>
                <c:pt idx="199">
                  <c:v>1987700</c:v>
                </c:pt>
                <c:pt idx="200">
                  <c:v>1820300</c:v>
                </c:pt>
                <c:pt idx="201">
                  <c:v>2007000</c:v>
                </c:pt>
                <c:pt idx="202">
                  <c:v>2066800</c:v>
                </c:pt>
                <c:pt idx="203">
                  <c:v>1686900</c:v>
                </c:pt>
                <c:pt idx="204">
                  <c:v>1751000</c:v>
                </c:pt>
                <c:pt idx="205">
                  <c:v>1961500</c:v>
                </c:pt>
                <c:pt idx="206">
                  <c:v>1842000</c:v>
                </c:pt>
                <c:pt idx="207">
                  <c:v>2619900</c:v>
                </c:pt>
                <c:pt idx="208">
                  <c:v>1882000</c:v>
                </c:pt>
                <c:pt idx="209">
                  <c:v>2061400</c:v>
                </c:pt>
                <c:pt idx="210">
                  <c:v>1862100</c:v>
                </c:pt>
                <c:pt idx="211">
                  <c:v>3624300</c:v>
                </c:pt>
                <c:pt idx="212">
                  <c:v>2472400</c:v>
                </c:pt>
                <c:pt idx="213">
                  <c:v>2549200</c:v>
                </c:pt>
                <c:pt idx="214">
                  <c:v>2733700</c:v>
                </c:pt>
                <c:pt idx="215">
                  <c:v>1979700</c:v>
                </c:pt>
                <c:pt idx="216">
                  <c:v>2640500</c:v>
                </c:pt>
                <c:pt idx="217">
                  <c:v>2768300</c:v>
                </c:pt>
                <c:pt idx="218">
                  <c:v>2323400</c:v>
                </c:pt>
                <c:pt idx="219">
                  <c:v>2187000</c:v>
                </c:pt>
                <c:pt idx="220">
                  <c:v>2129400</c:v>
                </c:pt>
                <c:pt idx="221">
                  <c:v>2395000</c:v>
                </c:pt>
                <c:pt idx="222">
                  <c:v>2362000</c:v>
                </c:pt>
                <c:pt idx="223">
                  <c:v>2433400</c:v>
                </c:pt>
                <c:pt idx="224">
                  <c:v>2541600</c:v>
                </c:pt>
                <c:pt idx="225">
                  <c:v>2480600</c:v>
                </c:pt>
                <c:pt idx="226">
                  <c:v>2999200</c:v>
                </c:pt>
                <c:pt idx="227">
                  <c:v>3168300</c:v>
                </c:pt>
                <c:pt idx="228">
                  <c:v>3064800</c:v>
                </c:pt>
                <c:pt idx="229">
                  <c:v>2829300</c:v>
                </c:pt>
                <c:pt idx="230">
                  <c:v>3123000</c:v>
                </c:pt>
                <c:pt idx="231">
                  <c:v>3589800</c:v>
                </c:pt>
                <c:pt idx="232">
                  <c:v>2920900</c:v>
                </c:pt>
                <c:pt idx="233">
                  <c:v>3495500</c:v>
                </c:pt>
                <c:pt idx="234">
                  <c:v>3841900</c:v>
                </c:pt>
                <c:pt idx="235">
                  <c:v>4099400</c:v>
                </c:pt>
                <c:pt idx="236">
                  <c:v>4453200</c:v>
                </c:pt>
                <c:pt idx="237">
                  <c:v>5939200</c:v>
                </c:pt>
                <c:pt idx="238">
                  <c:v>112900</c:v>
                </c:pt>
                <c:pt idx="239">
                  <c:v>0</c:v>
                </c:pt>
                <c:pt idx="240">
                  <c:v>0</c:v>
                </c:pt>
                <c:pt idx="241">
                  <c:v>8403100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A-4647-8C0F-D393D095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0"/>
          <c:tx>
            <c:strRef>
              <c:f>指数!$W$3</c:f>
              <c:strCache>
                <c:ptCount val="1"/>
                <c:pt idx="0">
                  <c:v>收盘价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cat>
            <c:strRef>
              <c:f>指数!$A$5:$A$246</c:f>
              <c:strCache>
                <c:ptCount val="186"/>
                <c:pt idx="0">
                  <c:v>#NAME?</c:v>
                </c:pt>
                <c:pt idx="1">
                  <c:v>09:31</c:v>
                </c:pt>
                <c:pt idx="2">
                  <c:v>09:32</c:v>
                </c:pt>
                <c:pt idx="3">
                  <c:v>09:33</c:v>
                </c:pt>
                <c:pt idx="4">
                  <c:v>09:34</c:v>
                </c:pt>
                <c:pt idx="5">
                  <c:v>09:35</c:v>
                </c:pt>
                <c:pt idx="6">
                  <c:v>09:36</c:v>
                </c:pt>
                <c:pt idx="7">
                  <c:v>09:37</c:v>
                </c:pt>
                <c:pt idx="8">
                  <c:v>09:38</c:v>
                </c:pt>
                <c:pt idx="9">
                  <c:v>09:39</c:v>
                </c:pt>
                <c:pt idx="10">
                  <c:v>09:40</c:v>
                </c:pt>
                <c:pt idx="11">
                  <c:v>09:41</c:v>
                </c:pt>
                <c:pt idx="12">
                  <c:v>09:42</c:v>
                </c:pt>
                <c:pt idx="13">
                  <c:v>09:43</c:v>
                </c:pt>
                <c:pt idx="14">
                  <c:v>09:44</c:v>
                </c:pt>
                <c:pt idx="15">
                  <c:v>09:45</c:v>
                </c:pt>
                <c:pt idx="16">
                  <c:v>09:46</c:v>
                </c:pt>
                <c:pt idx="17">
                  <c:v>09:47</c:v>
                </c:pt>
                <c:pt idx="18">
                  <c:v>09:48</c:v>
                </c:pt>
                <c:pt idx="19">
                  <c:v>09:49</c:v>
                </c:pt>
                <c:pt idx="20">
                  <c:v>09:50</c:v>
                </c:pt>
                <c:pt idx="21">
                  <c:v>09:51</c:v>
                </c:pt>
                <c:pt idx="22">
                  <c:v>09:52</c:v>
                </c:pt>
                <c:pt idx="23">
                  <c:v>09:53</c:v>
                </c:pt>
                <c:pt idx="24">
                  <c:v>09:54</c:v>
                </c:pt>
                <c:pt idx="25">
                  <c:v>09:55</c:v>
                </c:pt>
                <c:pt idx="26">
                  <c:v>09:56</c:v>
                </c:pt>
                <c:pt idx="27">
                  <c:v>09:57</c:v>
                </c:pt>
                <c:pt idx="28">
                  <c:v>09:58</c:v>
                </c:pt>
                <c:pt idx="29">
                  <c:v>09:59</c:v>
                </c:pt>
                <c:pt idx="30">
                  <c:v>10:00</c:v>
                </c:pt>
                <c:pt idx="31">
                  <c:v>10:01</c:v>
                </c:pt>
                <c:pt idx="32">
                  <c:v>10:02</c:v>
                </c:pt>
                <c:pt idx="33">
                  <c:v>10:03</c:v>
                </c:pt>
                <c:pt idx="34">
                  <c:v>10:04</c:v>
                </c:pt>
                <c:pt idx="35">
                  <c:v>10:05</c:v>
                </c:pt>
                <c:pt idx="36">
                  <c:v>10:06</c:v>
                </c:pt>
                <c:pt idx="37">
                  <c:v>10:07</c:v>
                </c:pt>
                <c:pt idx="38">
                  <c:v>10:08</c:v>
                </c:pt>
                <c:pt idx="39">
                  <c:v>10:09</c:v>
                </c:pt>
                <c:pt idx="40">
                  <c:v>10:10</c:v>
                </c:pt>
                <c:pt idx="41">
                  <c:v>10:11</c:v>
                </c:pt>
                <c:pt idx="42">
                  <c:v>10:12</c:v>
                </c:pt>
                <c:pt idx="43">
                  <c:v>10:13</c:v>
                </c:pt>
                <c:pt idx="44">
                  <c:v>10:14</c:v>
                </c:pt>
                <c:pt idx="45">
                  <c:v>10:15</c:v>
                </c:pt>
                <c:pt idx="46">
                  <c:v>10:16</c:v>
                </c:pt>
                <c:pt idx="47">
                  <c:v>10:17</c:v>
                </c:pt>
                <c:pt idx="48">
                  <c:v>10:18</c:v>
                </c:pt>
                <c:pt idx="49">
                  <c:v>10:19</c:v>
                </c:pt>
                <c:pt idx="50">
                  <c:v>10:20</c:v>
                </c:pt>
                <c:pt idx="51">
                  <c:v>10:21</c:v>
                </c:pt>
                <c:pt idx="52">
                  <c:v>10:22</c:v>
                </c:pt>
                <c:pt idx="53">
                  <c:v>10:23</c:v>
                </c:pt>
                <c:pt idx="54">
                  <c:v>10:24</c:v>
                </c:pt>
                <c:pt idx="55">
                  <c:v>10:25</c:v>
                </c:pt>
                <c:pt idx="56">
                  <c:v>10:26</c:v>
                </c:pt>
                <c:pt idx="57">
                  <c:v>10:27</c:v>
                </c:pt>
                <c:pt idx="58">
                  <c:v>10:28</c:v>
                </c:pt>
                <c:pt idx="59">
                  <c:v>10:29</c:v>
                </c:pt>
                <c:pt idx="60">
                  <c:v>10:30</c:v>
                </c:pt>
                <c:pt idx="61">
                  <c:v>10:31</c:v>
                </c:pt>
                <c:pt idx="62">
                  <c:v>10:32</c:v>
                </c:pt>
                <c:pt idx="63">
                  <c:v>10:33</c:v>
                </c:pt>
                <c:pt idx="64">
                  <c:v>10:34</c:v>
                </c:pt>
                <c:pt idx="65">
                  <c:v>10:35</c:v>
                </c:pt>
                <c:pt idx="66">
                  <c:v>10:36</c:v>
                </c:pt>
                <c:pt idx="67">
                  <c:v>10:37</c:v>
                </c:pt>
                <c:pt idx="68">
                  <c:v>10:38</c:v>
                </c:pt>
                <c:pt idx="69">
                  <c:v>10:39</c:v>
                </c:pt>
                <c:pt idx="70">
                  <c:v>10:40</c:v>
                </c:pt>
                <c:pt idx="71">
                  <c:v>10:41</c:v>
                </c:pt>
                <c:pt idx="72">
                  <c:v>10:42</c:v>
                </c:pt>
                <c:pt idx="73">
                  <c:v>10:43</c:v>
                </c:pt>
                <c:pt idx="74">
                  <c:v>10:44</c:v>
                </c:pt>
                <c:pt idx="75">
                  <c:v>10:45</c:v>
                </c:pt>
                <c:pt idx="76">
                  <c:v>10:46</c:v>
                </c:pt>
                <c:pt idx="77">
                  <c:v>10:47</c:v>
                </c:pt>
                <c:pt idx="78">
                  <c:v>10:48</c:v>
                </c:pt>
                <c:pt idx="79">
                  <c:v>10:49</c:v>
                </c:pt>
                <c:pt idx="80">
                  <c:v>10:50</c:v>
                </c:pt>
                <c:pt idx="81">
                  <c:v>10:51</c:v>
                </c:pt>
                <c:pt idx="82">
                  <c:v>10:52</c:v>
                </c:pt>
                <c:pt idx="83">
                  <c:v>10:53</c:v>
                </c:pt>
                <c:pt idx="84">
                  <c:v>10:54</c:v>
                </c:pt>
                <c:pt idx="85">
                  <c:v>10:55</c:v>
                </c:pt>
                <c:pt idx="86">
                  <c:v>10:56</c:v>
                </c:pt>
                <c:pt idx="87">
                  <c:v>10:57</c:v>
                </c:pt>
                <c:pt idx="88">
                  <c:v>10:58</c:v>
                </c:pt>
                <c:pt idx="89">
                  <c:v>10:59</c:v>
                </c:pt>
                <c:pt idx="90">
                  <c:v>11:00</c:v>
                </c:pt>
                <c:pt idx="91">
                  <c:v>11:01</c:v>
                </c:pt>
                <c:pt idx="92">
                  <c:v>11:02</c:v>
                </c:pt>
                <c:pt idx="93">
                  <c:v>11:03</c:v>
                </c:pt>
                <c:pt idx="94">
                  <c:v>11:04</c:v>
                </c:pt>
                <c:pt idx="95">
                  <c:v>11:05</c:v>
                </c:pt>
                <c:pt idx="96">
                  <c:v>11:06</c:v>
                </c:pt>
                <c:pt idx="97">
                  <c:v>11:07</c:v>
                </c:pt>
                <c:pt idx="98">
                  <c:v>11:08</c:v>
                </c:pt>
                <c:pt idx="99">
                  <c:v>11:09</c:v>
                </c:pt>
                <c:pt idx="100">
                  <c:v>11:10</c:v>
                </c:pt>
                <c:pt idx="101">
                  <c:v>11:11</c:v>
                </c:pt>
                <c:pt idx="102">
                  <c:v>11:12</c:v>
                </c:pt>
                <c:pt idx="103">
                  <c:v>11:13</c:v>
                </c:pt>
                <c:pt idx="104">
                  <c:v>11:14</c:v>
                </c:pt>
                <c:pt idx="105">
                  <c:v>11:15</c:v>
                </c:pt>
                <c:pt idx="106">
                  <c:v>11:16</c:v>
                </c:pt>
                <c:pt idx="107">
                  <c:v>11:17</c:v>
                </c:pt>
                <c:pt idx="108">
                  <c:v>11:18</c:v>
                </c:pt>
                <c:pt idx="109">
                  <c:v>11:19</c:v>
                </c:pt>
                <c:pt idx="110">
                  <c:v>11:20</c:v>
                </c:pt>
                <c:pt idx="111">
                  <c:v>11:21</c:v>
                </c:pt>
                <c:pt idx="112">
                  <c:v>11:22</c:v>
                </c:pt>
                <c:pt idx="113">
                  <c:v>11:23</c:v>
                </c:pt>
                <c:pt idx="114">
                  <c:v>11:24</c:v>
                </c:pt>
                <c:pt idx="115">
                  <c:v>11:25</c:v>
                </c:pt>
                <c:pt idx="116">
                  <c:v>11:26</c:v>
                </c:pt>
                <c:pt idx="117">
                  <c:v>11:27</c:v>
                </c:pt>
                <c:pt idx="118">
                  <c:v>11:28</c:v>
                </c:pt>
                <c:pt idx="119">
                  <c:v>11:29</c:v>
                </c:pt>
                <c:pt idx="120">
                  <c:v>11:30</c:v>
                </c:pt>
                <c:pt idx="121">
                  <c:v>13:00</c:v>
                </c:pt>
                <c:pt idx="122">
                  <c:v>13:01</c:v>
                </c:pt>
                <c:pt idx="123">
                  <c:v>13:02</c:v>
                </c:pt>
                <c:pt idx="124">
                  <c:v>13:03</c:v>
                </c:pt>
                <c:pt idx="125">
                  <c:v>13:04</c:v>
                </c:pt>
                <c:pt idx="126">
                  <c:v>13:05</c:v>
                </c:pt>
                <c:pt idx="127">
                  <c:v>13:06</c:v>
                </c:pt>
                <c:pt idx="128">
                  <c:v>13:07</c:v>
                </c:pt>
                <c:pt idx="129">
                  <c:v>13:08</c:v>
                </c:pt>
                <c:pt idx="130">
                  <c:v>13:09</c:v>
                </c:pt>
                <c:pt idx="131">
                  <c:v>13:10</c:v>
                </c:pt>
                <c:pt idx="132">
                  <c:v>13:11</c:v>
                </c:pt>
                <c:pt idx="133">
                  <c:v>13:12</c:v>
                </c:pt>
                <c:pt idx="134">
                  <c:v>13:13</c:v>
                </c:pt>
                <c:pt idx="135">
                  <c:v>13:14</c:v>
                </c:pt>
                <c:pt idx="136">
                  <c:v>13:15</c:v>
                </c:pt>
                <c:pt idx="137">
                  <c:v>13:16</c:v>
                </c:pt>
                <c:pt idx="138">
                  <c:v>13:17</c:v>
                </c:pt>
                <c:pt idx="139">
                  <c:v>13:18</c:v>
                </c:pt>
                <c:pt idx="140">
                  <c:v>13:19</c:v>
                </c:pt>
                <c:pt idx="141">
                  <c:v>13:20</c:v>
                </c:pt>
                <c:pt idx="142">
                  <c:v>13:21</c:v>
                </c:pt>
                <c:pt idx="143">
                  <c:v>13:22</c:v>
                </c:pt>
                <c:pt idx="144">
                  <c:v>13:23</c:v>
                </c:pt>
                <c:pt idx="145">
                  <c:v>13:24</c:v>
                </c:pt>
                <c:pt idx="146">
                  <c:v>13:25</c:v>
                </c:pt>
                <c:pt idx="147">
                  <c:v>13:26</c:v>
                </c:pt>
                <c:pt idx="148">
                  <c:v>13:27</c:v>
                </c:pt>
                <c:pt idx="149">
                  <c:v>13:28</c:v>
                </c:pt>
                <c:pt idx="150">
                  <c:v>13:29</c:v>
                </c:pt>
                <c:pt idx="151">
                  <c:v>13:30</c:v>
                </c:pt>
                <c:pt idx="152">
                  <c:v>13:31</c:v>
                </c:pt>
                <c:pt idx="153">
                  <c:v>13:32</c:v>
                </c:pt>
                <c:pt idx="154">
                  <c:v>13:33</c:v>
                </c:pt>
                <c:pt idx="155">
                  <c:v>13:34</c:v>
                </c:pt>
                <c:pt idx="156">
                  <c:v>13:35</c:v>
                </c:pt>
                <c:pt idx="157">
                  <c:v>13:36</c:v>
                </c:pt>
                <c:pt idx="158">
                  <c:v>13:37</c:v>
                </c:pt>
                <c:pt idx="159">
                  <c:v>13:38</c:v>
                </c:pt>
                <c:pt idx="160">
                  <c:v>13:39</c:v>
                </c:pt>
                <c:pt idx="161">
                  <c:v>13:40</c:v>
                </c:pt>
                <c:pt idx="162">
                  <c:v>13:41</c:v>
                </c:pt>
                <c:pt idx="163">
                  <c:v>13:42</c:v>
                </c:pt>
                <c:pt idx="164">
                  <c:v>13:43</c:v>
                </c:pt>
                <c:pt idx="165">
                  <c:v>13:44</c:v>
                </c:pt>
                <c:pt idx="166">
                  <c:v>13:45</c:v>
                </c:pt>
                <c:pt idx="167">
                  <c:v>13:46</c:v>
                </c:pt>
                <c:pt idx="168">
                  <c:v>13:47</c:v>
                </c:pt>
                <c:pt idx="169">
                  <c:v>13:48</c:v>
                </c:pt>
                <c:pt idx="170">
                  <c:v>13:49</c:v>
                </c:pt>
                <c:pt idx="171">
                  <c:v>13:50</c:v>
                </c:pt>
                <c:pt idx="172">
                  <c:v>13:51</c:v>
                </c:pt>
                <c:pt idx="173">
                  <c:v>13:52</c:v>
                </c:pt>
                <c:pt idx="174">
                  <c:v>13:53</c:v>
                </c:pt>
                <c:pt idx="175">
                  <c:v>13:54</c:v>
                </c:pt>
                <c:pt idx="176">
                  <c:v>13:55</c:v>
                </c:pt>
                <c:pt idx="177">
                  <c:v>13:56</c:v>
                </c:pt>
                <c:pt idx="178">
                  <c:v>13:57</c:v>
                </c:pt>
                <c:pt idx="179">
                  <c:v>13:58</c:v>
                </c:pt>
                <c:pt idx="180">
                  <c:v>13:59</c:v>
                </c:pt>
                <c:pt idx="181">
                  <c:v>14:00</c:v>
                </c:pt>
                <c:pt idx="182">
                  <c:v>14:01</c:v>
                </c:pt>
                <c:pt idx="183">
                  <c:v>14:02</c:v>
                </c:pt>
                <c:pt idx="184">
                  <c:v>14:03</c:v>
                </c:pt>
                <c:pt idx="185">
                  <c:v>14:04</c:v>
                </c:pt>
              </c:strCache>
            </c:strRef>
          </c:cat>
          <c:val>
            <c:numRef>
              <c:f>指数!$W$5:$W$246</c:f>
              <c:numCache>
                <c:formatCode>0.0000</c:formatCode>
                <c:ptCount val="242"/>
                <c:pt idx="0">
                  <c:v>1083.8966</c:v>
                </c:pt>
                <c:pt idx="1">
                  <c:v>1082.1343999999999</c:v>
                </c:pt>
                <c:pt idx="2">
                  <c:v>1083.454</c:v>
                </c:pt>
                <c:pt idx="3">
                  <c:v>1081.9639999999999</c:v>
                </c:pt>
                <c:pt idx="4">
                  <c:v>1082.2073</c:v>
                </c:pt>
                <c:pt idx="5">
                  <c:v>1081.9087</c:v>
                </c:pt>
                <c:pt idx="6">
                  <c:v>1082.1422</c:v>
                </c:pt>
                <c:pt idx="7">
                  <c:v>1078.8864000000001</c:v>
                </c:pt>
                <c:pt idx="8">
                  <c:v>1079.4164000000001</c:v>
                </c:pt>
                <c:pt idx="9">
                  <c:v>1079.4523999999999</c:v>
                </c:pt>
                <c:pt idx="10">
                  <c:v>1079.0156999999999</c:v>
                </c:pt>
                <c:pt idx="11">
                  <c:v>1078.6103000000001</c:v>
                </c:pt>
                <c:pt idx="12">
                  <c:v>1078.9689000000001</c:v>
                </c:pt>
                <c:pt idx="13">
                  <c:v>1077.3098</c:v>
                </c:pt>
                <c:pt idx="14">
                  <c:v>1075.9851000000001</c:v>
                </c:pt>
                <c:pt idx="15">
                  <c:v>1075.0877</c:v>
                </c:pt>
                <c:pt idx="16">
                  <c:v>1075.8197</c:v>
                </c:pt>
                <c:pt idx="17">
                  <c:v>1077.5762</c:v>
                </c:pt>
                <c:pt idx="18">
                  <c:v>1080.9127000000001</c:v>
                </c:pt>
                <c:pt idx="19">
                  <c:v>1079.7364</c:v>
                </c:pt>
                <c:pt idx="20">
                  <c:v>1079.4241999999999</c:v>
                </c:pt>
                <c:pt idx="21">
                  <c:v>1079.0880999999999</c:v>
                </c:pt>
                <c:pt idx="22">
                  <c:v>1079.9688000000001</c:v>
                </c:pt>
                <c:pt idx="23">
                  <c:v>1079.2982999999999</c:v>
                </c:pt>
                <c:pt idx="24">
                  <c:v>1078.7244000000001</c:v>
                </c:pt>
                <c:pt idx="25">
                  <c:v>1077.7713000000001</c:v>
                </c:pt>
                <c:pt idx="26">
                  <c:v>1078.1311000000001</c:v>
                </c:pt>
                <c:pt idx="27">
                  <c:v>1078.7180000000001</c:v>
                </c:pt>
                <c:pt idx="28">
                  <c:v>1079.1929</c:v>
                </c:pt>
                <c:pt idx="29">
                  <c:v>1078.8559</c:v>
                </c:pt>
                <c:pt idx="30">
                  <c:v>1079.9351999999999</c:v>
                </c:pt>
                <c:pt idx="31">
                  <c:v>1082.4881</c:v>
                </c:pt>
                <c:pt idx="32">
                  <c:v>1084.4241</c:v>
                </c:pt>
                <c:pt idx="33">
                  <c:v>1083.9640999999999</c:v>
                </c:pt>
                <c:pt idx="34">
                  <c:v>1084.4022</c:v>
                </c:pt>
                <c:pt idx="35">
                  <c:v>1084.4469999999999</c:v>
                </c:pt>
                <c:pt idx="36">
                  <c:v>1085.0554</c:v>
                </c:pt>
                <c:pt idx="37">
                  <c:v>1082.9974999999999</c:v>
                </c:pt>
                <c:pt idx="38">
                  <c:v>1084.4131</c:v>
                </c:pt>
                <c:pt idx="39">
                  <c:v>1085.1840999999999</c:v>
                </c:pt>
                <c:pt idx="40">
                  <c:v>1084.9531999999999</c:v>
                </c:pt>
                <c:pt idx="41">
                  <c:v>1085.4760000000001</c:v>
                </c:pt>
                <c:pt idx="42">
                  <c:v>1086.5327</c:v>
                </c:pt>
                <c:pt idx="43">
                  <c:v>1086.9884</c:v>
                </c:pt>
                <c:pt idx="44">
                  <c:v>1086.9127000000001</c:v>
                </c:pt>
                <c:pt idx="45">
                  <c:v>1089.1845000000001</c:v>
                </c:pt>
                <c:pt idx="46">
                  <c:v>1088.3336999999999</c:v>
                </c:pt>
                <c:pt idx="47">
                  <c:v>1090.8133</c:v>
                </c:pt>
                <c:pt idx="48">
                  <c:v>1091.9326000000001</c:v>
                </c:pt>
                <c:pt idx="49">
                  <c:v>1091.8453999999999</c:v>
                </c:pt>
                <c:pt idx="50">
                  <c:v>1091.8738000000001</c:v>
                </c:pt>
                <c:pt idx="51">
                  <c:v>1090.4838999999999</c:v>
                </c:pt>
                <c:pt idx="52">
                  <c:v>1090.3471</c:v>
                </c:pt>
                <c:pt idx="53">
                  <c:v>1088.6691000000001</c:v>
                </c:pt>
                <c:pt idx="54">
                  <c:v>1088.9640999999999</c:v>
                </c:pt>
                <c:pt idx="55">
                  <c:v>1089.2145</c:v>
                </c:pt>
                <c:pt idx="56">
                  <c:v>1090.5779</c:v>
                </c:pt>
                <c:pt idx="57">
                  <c:v>1089.7745</c:v>
                </c:pt>
                <c:pt idx="58">
                  <c:v>1089.6986999999999</c:v>
                </c:pt>
                <c:pt idx="59">
                  <c:v>1092.5904</c:v>
                </c:pt>
                <c:pt idx="60">
                  <c:v>1091.5482999999999</c:v>
                </c:pt>
                <c:pt idx="61">
                  <c:v>1092.0851</c:v>
                </c:pt>
                <c:pt idx="62">
                  <c:v>1090.1801</c:v>
                </c:pt>
                <c:pt idx="63">
                  <c:v>1089.5117</c:v>
                </c:pt>
                <c:pt idx="64">
                  <c:v>1090.3043</c:v>
                </c:pt>
                <c:pt idx="65">
                  <c:v>1089.7829999999999</c:v>
                </c:pt>
                <c:pt idx="66">
                  <c:v>1089.2624000000001</c:v>
                </c:pt>
                <c:pt idx="67">
                  <c:v>1088.7607</c:v>
                </c:pt>
                <c:pt idx="68">
                  <c:v>1089.0826</c:v>
                </c:pt>
                <c:pt idx="69">
                  <c:v>1090.9591</c:v>
                </c:pt>
                <c:pt idx="70">
                  <c:v>1090.4735000000001</c:v>
                </c:pt>
                <c:pt idx="71">
                  <c:v>1092.5401999999999</c:v>
                </c:pt>
                <c:pt idx="72">
                  <c:v>1092.2612999999999</c:v>
                </c:pt>
                <c:pt idx="73">
                  <c:v>1092.454</c:v>
                </c:pt>
                <c:pt idx="74">
                  <c:v>1093.4505999999999</c:v>
                </c:pt>
                <c:pt idx="75">
                  <c:v>1093.4834000000001</c:v>
                </c:pt>
                <c:pt idx="76">
                  <c:v>1093.73</c:v>
                </c:pt>
                <c:pt idx="77">
                  <c:v>1092.9773</c:v>
                </c:pt>
                <c:pt idx="78">
                  <c:v>1093.3108</c:v>
                </c:pt>
                <c:pt idx="79">
                  <c:v>1093.0981999999999</c:v>
                </c:pt>
                <c:pt idx="80">
                  <c:v>1095.0264999999999</c:v>
                </c:pt>
                <c:pt idx="81">
                  <c:v>1094.8780999999999</c:v>
                </c:pt>
                <c:pt idx="82">
                  <c:v>1093.9268</c:v>
                </c:pt>
                <c:pt idx="83">
                  <c:v>1094.5232000000001</c:v>
                </c:pt>
                <c:pt idx="84">
                  <c:v>1093.4574</c:v>
                </c:pt>
                <c:pt idx="85">
                  <c:v>1093.7021999999999</c:v>
                </c:pt>
                <c:pt idx="86">
                  <c:v>1092.8076000000001</c:v>
                </c:pt>
                <c:pt idx="87">
                  <c:v>1092.7171000000001</c:v>
                </c:pt>
                <c:pt idx="88">
                  <c:v>1091.8502000000001</c:v>
                </c:pt>
                <c:pt idx="89">
                  <c:v>1091.2594999999999</c:v>
                </c:pt>
                <c:pt idx="90">
                  <c:v>1091.2447999999999</c:v>
                </c:pt>
                <c:pt idx="91">
                  <c:v>1091.8363999999999</c:v>
                </c:pt>
                <c:pt idx="92">
                  <c:v>1091.2589</c:v>
                </c:pt>
                <c:pt idx="93">
                  <c:v>1090.7421999999999</c:v>
                </c:pt>
                <c:pt idx="94">
                  <c:v>1090.8411000000001</c:v>
                </c:pt>
                <c:pt idx="95">
                  <c:v>1091.1020000000001</c:v>
                </c:pt>
                <c:pt idx="96">
                  <c:v>1089.3811000000001</c:v>
                </c:pt>
                <c:pt idx="97">
                  <c:v>1089.6283000000001</c:v>
                </c:pt>
                <c:pt idx="98">
                  <c:v>1089.6413</c:v>
                </c:pt>
                <c:pt idx="99">
                  <c:v>1089.7525000000001</c:v>
                </c:pt>
                <c:pt idx="100">
                  <c:v>1088.9285</c:v>
                </c:pt>
                <c:pt idx="101">
                  <c:v>1089.7639999999999</c:v>
                </c:pt>
                <c:pt idx="102">
                  <c:v>1088.9055000000001</c:v>
                </c:pt>
                <c:pt idx="103">
                  <c:v>1088.7853</c:v>
                </c:pt>
                <c:pt idx="104">
                  <c:v>1088.1101000000001</c:v>
                </c:pt>
                <c:pt idx="105">
                  <c:v>1087.8016</c:v>
                </c:pt>
                <c:pt idx="106">
                  <c:v>1088.4938999999999</c:v>
                </c:pt>
                <c:pt idx="107">
                  <c:v>1088.6005</c:v>
                </c:pt>
                <c:pt idx="108">
                  <c:v>1089.2470000000001</c:v>
                </c:pt>
                <c:pt idx="109">
                  <c:v>1088.615</c:v>
                </c:pt>
                <c:pt idx="110">
                  <c:v>1088.2665</c:v>
                </c:pt>
                <c:pt idx="111">
                  <c:v>1088.2447999999999</c:v>
                </c:pt>
                <c:pt idx="112">
                  <c:v>1087.7715000000001</c:v>
                </c:pt>
                <c:pt idx="113">
                  <c:v>1087.6717000000001</c:v>
                </c:pt>
                <c:pt idx="114">
                  <c:v>1087.6409000000001</c:v>
                </c:pt>
                <c:pt idx="115">
                  <c:v>1087.8126999999999</c:v>
                </c:pt>
                <c:pt idx="116">
                  <c:v>1087.8563999999999</c:v>
                </c:pt>
                <c:pt idx="117">
                  <c:v>1087.9849999999999</c:v>
                </c:pt>
                <c:pt idx="118">
                  <c:v>1087.117</c:v>
                </c:pt>
                <c:pt idx="119">
                  <c:v>1086.0338999999999</c:v>
                </c:pt>
                <c:pt idx="120">
                  <c:v>1085.9862000000001</c:v>
                </c:pt>
                <c:pt idx="121">
                  <c:v>1086.779</c:v>
                </c:pt>
                <c:pt idx="122">
                  <c:v>1086.3529000000001</c:v>
                </c:pt>
                <c:pt idx="123">
                  <c:v>1087.1524999999999</c:v>
                </c:pt>
                <c:pt idx="124">
                  <c:v>1086.4314999999999</c:v>
                </c:pt>
                <c:pt idx="125">
                  <c:v>1084.9190000000001</c:v>
                </c:pt>
                <c:pt idx="126">
                  <c:v>1086.2146</c:v>
                </c:pt>
                <c:pt idx="127">
                  <c:v>1085.1516999999999</c:v>
                </c:pt>
                <c:pt idx="128">
                  <c:v>1085.0798</c:v>
                </c:pt>
                <c:pt idx="129">
                  <c:v>1085.1146000000001</c:v>
                </c:pt>
                <c:pt idx="130">
                  <c:v>1085.3124</c:v>
                </c:pt>
                <c:pt idx="131">
                  <c:v>1086.9094</c:v>
                </c:pt>
                <c:pt idx="132">
                  <c:v>1087.8588999999999</c:v>
                </c:pt>
                <c:pt idx="133">
                  <c:v>1087.1329000000001</c:v>
                </c:pt>
                <c:pt idx="134">
                  <c:v>1088.4662000000001</c:v>
                </c:pt>
                <c:pt idx="135">
                  <c:v>1088.0287000000001</c:v>
                </c:pt>
                <c:pt idx="136">
                  <c:v>1087.8078</c:v>
                </c:pt>
                <c:pt idx="137">
                  <c:v>1088.1288</c:v>
                </c:pt>
                <c:pt idx="138">
                  <c:v>1087.7936</c:v>
                </c:pt>
                <c:pt idx="139">
                  <c:v>1087.5654</c:v>
                </c:pt>
                <c:pt idx="140">
                  <c:v>1087.8704</c:v>
                </c:pt>
                <c:pt idx="141">
                  <c:v>1087.4956999999999</c:v>
                </c:pt>
                <c:pt idx="142">
                  <c:v>1087.5981999999999</c:v>
                </c:pt>
                <c:pt idx="143">
                  <c:v>1088.3267000000001</c:v>
                </c:pt>
                <c:pt idx="144">
                  <c:v>1088.5574999999999</c:v>
                </c:pt>
                <c:pt idx="145">
                  <c:v>1088.3848</c:v>
                </c:pt>
                <c:pt idx="146">
                  <c:v>1088.7715000000001</c:v>
                </c:pt>
                <c:pt idx="147">
                  <c:v>1088.4811999999999</c:v>
                </c:pt>
                <c:pt idx="148">
                  <c:v>1088.3461</c:v>
                </c:pt>
                <c:pt idx="149">
                  <c:v>1088.1873000000001</c:v>
                </c:pt>
                <c:pt idx="150">
                  <c:v>1087.3126999999999</c:v>
                </c:pt>
                <c:pt idx="151">
                  <c:v>1087.4509</c:v>
                </c:pt>
                <c:pt idx="152">
                  <c:v>1087.5351000000001</c:v>
                </c:pt>
                <c:pt idx="153">
                  <c:v>1087.4513999999999</c:v>
                </c:pt>
                <c:pt idx="154">
                  <c:v>1087.1845000000001</c:v>
                </c:pt>
                <c:pt idx="155">
                  <c:v>1086.7243000000001</c:v>
                </c:pt>
                <c:pt idx="156">
                  <c:v>1086.5323000000001</c:v>
                </c:pt>
                <c:pt idx="157">
                  <c:v>1085.8776</c:v>
                </c:pt>
                <c:pt idx="158">
                  <c:v>1085.6742999999999</c:v>
                </c:pt>
                <c:pt idx="159">
                  <c:v>1085.6343999999999</c:v>
                </c:pt>
                <c:pt idx="160">
                  <c:v>1085.2174</c:v>
                </c:pt>
                <c:pt idx="161">
                  <c:v>1085.4764</c:v>
                </c:pt>
                <c:pt idx="162">
                  <c:v>1086.0265999999999</c:v>
                </c:pt>
                <c:pt idx="163">
                  <c:v>1085.8402000000001</c:v>
                </c:pt>
                <c:pt idx="164">
                  <c:v>1086.7861</c:v>
                </c:pt>
                <c:pt idx="165">
                  <c:v>1086.6994999999999</c:v>
                </c:pt>
                <c:pt idx="166">
                  <c:v>1086.4971</c:v>
                </c:pt>
                <c:pt idx="167">
                  <c:v>1087.0246999999999</c:v>
                </c:pt>
                <c:pt idx="168">
                  <c:v>1086.2282</c:v>
                </c:pt>
                <c:pt idx="169">
                  <c:v>1086.5838000000001</c:v>
                </c:pt>
                <c:pt idx="170">
                  <c:v>1086.5313000000001</c:v>
                </c:pt>
                <c:pt idx="171">
                  <c:v>1086.1921</c:v>
                </c:pt>
                <c:pt idx="172">
                  <c:v>1086.5875000000001</c:v>
                </c:pt>
                <c:pt idx="173">
                  <c:v>1086.4926</c:v>
                </c:pt>
                <c:pt idx="174">
                  <c:v>1086.2565</c:v>
                </c:pt>
                <c:pt idx="175">
                  <c:v>1085.9054000000001</c:v>
                </c:pt>
                <c:pt idx="176">
                  <c:v>1085.7012999999999</c:v>
                </c:pt>
                <c:pt idx="177">
                  <c:v>1085.5550000000001</c:v>
                </c:pt>
                <c:pt idx="178">
                  <c:v>1085.9512</c:v>
                </c:pt>
                <c:pt idx="179">
                  <c:v>1085.8380999999999</c:v>
                </c:pt>
                <c:pt idx="180">
                  <c:v>1085.6670999999999</c:v>
                </c:pt>
                <c:pt idx="181">
                  <c:v>1084.6578999999999</c:v>
                </c:pt>
                <c:pt idx="182">
                  <c:v>1084.7448999999999</c:v>
                </c:pt>
                <c:pt idx="183">
                  <c:v>1085.6641</c:v>
                </c:pt>
                <c:pt idx="184">
                  <c:v>1085.7420999999999</c:v>
                </c:pt>
                <c:pt idx="185">
                  <c:v>1086.5019</c:v>
                </c:pt>
                <c:pt idx="186">
                  <c:v>1086.3479</c:v>
                </c:pt>
                <c:pt idx="187">
                  <c:v>1087.5482999999999</c:v>
                </c:pt>
                <c:pt idx="188">
                  <c:v>1087.9237000000001</c:v>
                </c:pt>
                <c:pt idx="189">
                  <c:v>1087.3023000000001</c:v>
                </c:pt>
                <c:pt idx="190">
                  <c:v>1087.106</c:v>
                </c:pt>
                <c:pt idx="191">
                  <c:v>1086.8849</c:v>
                </c:pt>
                <c:pt idx="192">
                  <c:v>1086.6795</c:v>
                </c:pt>
                <c:pt idx="193">
                  <c:v>1086.7737999999999</c:v>
                </c:pt>
                <c:pt idx="194">
                  <c:v>1086.8829000000001</c:v>
                </c:pt>
                <c:pt idx="195">
                  <c:v>1086.7840000000001</c:v>
                </c:pt>
                <c:pt idx="196">
                  <c:v>1086.3476000000001</c:v>
                </c:pt>
                <c:pt idx="197">
                  <c:v>1086.0159000000001</c:v>
                </c:pt>
                <c:pt idx="198">
                  <c:v>1085.4938999999999</c:v>
                </c:pt>
                <c:pt idx="199">
                  <c:v>1085.797</c:v>
                </c:pt>
                <c:pt idx="200">
                  <c:v>1085.5011</c:v>
                </c:pt>
                <c:pt idx="201">
                  <c:v>1085.9282000000001</c:v>
                </c:pt>
                <c:pt idx="202">
                  <c:v>1086.2986000000001</c:v>
                </c:pt>
                <c:pt idx="203">
                  <c:v>1086.1531</c:v>
                </c:pt>
                <c:pt idx="204">
                  <c:v>1086.2808</c:v>
                </c:pt>
                <c:pt idx="205">
                  <c:v>1086.8369</c:v>
                </c:pt>
                <c:pt idx="206">
                  <c:v>1086.7049</c:v>
                </c:pt>
                <c:pt idx="207">
                  <c:v>1087.3207</c:v>
                </c:pt>
                <c:pt idx="208">
                  <c:v>1086.9576999999999</c:v>
                </c:pt>
                <c:pt idx="209">
                  <c:v>1086.5401999999999</c:v>
                </c:pt>
                <c:pt idx="210">
                  <c:v>1086.3576</c:v>
                </c:pt>
                <c:pt idx="211">
                  <c:v>1086.1509000000001</c:v>
                </c:pt>
                <c:pt idx="212">
                  <c:v>1085.7331999999999</c:v>
                </c:pt>
                <c:pt idx="213">
                  <c:v>1086.1146000000001</c:v>
                </c:pt>
                <c:pt idx="214">
                  <c:v>1086.0654999999999</c:v>
                </c:pt>
                <c:pt idx="215">
                  <c:v>1085.9566</c:v>
                </c:pt>
                <c:pt idx="216">
                  <c:v>1085.9102</c:v>
                </c:pt>
                <c:pt idx="217">
                  <c:v>1086.6428000000001</c:v>
                </c:pt>
                <c:pt idx="218">
                  <c:v>1087.1833999999999</c:v>
                </c:pt>
                <c:pt idx="219">
                  <c:v>1087.2118</c:v>
                </c:pt>
                <c:pt idx="220">
                  <c:v>1087.1367</c:v>
                </c:pt>
                <c:pt idx="221">
                  <c:v>1086.6441</c:v>
                </c:pt>
                <c:pt idx="222">
                  <c:v>1086.9226000000001</c:v>
                </c:pt>
                <c:pt idx="223">
                  <c:v>1086.9357</c:v>
                </c:pt>
                <c:pt idx="224">
                  <c:v>1086.9685999999999</c:v>
                </c:pt>
                <c:pt idx="225">
                  <c:v>1087.2399</c:v>
                </c:pt>
                <c:pt idx="226">
                  <c:v>1086.9702</c:v>
                </c:pt>
                <c:pt idx="227">
                  <c:v>1087.3089</c:v>
                </c:pt>
                <c:pt idx="228">
                  <c:v>1087.3242</c:v>
                </c:pt>
                <c:pt idx="229">
                  <c:v>1087.5868</c:v>
                </c:pt>
                <c:pt idx="230">
                  <c:v>1087.1305</c:v>
                </c:pt>
                <c:pt idx="231">
                  <c:v>1087.6772000000001</c:v>
                </c:pt>
                <c:pt idx="232">
                  <c:v>1087.9250999999999</c:v>
                </c:pt>
                <c:pt idx="233">
                  <c:v>1087.7388000000001</c:v>
                </c:pt>
                <c:pt idx="234">
                  <c:v>1088.1266000000001</c:v>
                </c:pt>
                <c:pt idx="235">
                  <c:v>1088.5509</c:v>
                </c:pt>
                <c:pt idx="236">
                  <c:v>1088.6467</c:v>
                </c:pt>
                <c:pt idx="237">
                  <c:v>1089.1020000000001</c:v>
                </c:pt>
                <c:pt idx="238">
                  <c:v>1088.9903999999999</c:v>
                </c:pt>
                <c:pt idx="239">
                  <c:v>1088.9903999999999</c:v>
                </c:pt>
                <c:pt idx="240">
                  <c:v>1088.9903999999999</c:v>
                </c:pt>
                <c:pt idx="241">
                  <c:v>1089.1947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8A-4647-8C0F-D393D095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931024"/>
        <c:axId val="1"/>
      </c:lineChart>
      <c:catAx>
        <c:axId val="58193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3102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</a:rPr>
              <a:t>沪深涨跌家数统计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Calibri" panose="020F0502020204030204"/>
                <a:ea typeface="等线" panose="02010600030101010101" charset="-122"/>
                <a:cs typeface="Calibri" panose="020F0502020204030204"/>
              </a:rPr>
              <a:t> 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今日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涨跌停!$B$10:$D$10</c:f>
              <c:strCache>
                <c:ptCount val="3"/>
                <c:pt idx="0">
                  <c:v>沪深两市上涨家数</c:v>
                </c:pt>
                <c:pt idx="1">
                  <c:v>沪深两市平盘家数</c:v>
                </c:pt>
                <c:pt idx="2">
                  <c:v>沪深两市下跌家数</c:v>
                </c:pt>
              </c:strCache>
            </c:strRef>
          </c:cat>
          <c:val>
            <c:numRef>
              <c:f>涨跌停!$B$11:$D$11</c:f>
              <c:numCache>
                <c:formatCode>@</c:formatCode>
                <c:ptCount val="3"/>
                <c:pt idx="0">
                  <c:v>1952</c:v>
                </c:pt>
                <c:pt idx="1">
                  <c:v>134</c:v>
                </c:pt>
                <c:pt idx="2">
                  <c:v>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8-4A8F-A517-AC5442AA5577}"/>
            </c:ext>
          </c:extLst>
        </c:ser>
        <c:ser>
          <c:idx val="1"/>
          <c:order val="1"/>
          <c:tx>
            <c:v>昨日</c:v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涨跌停!$B$10:$D$10</c:f>
              <c:strCache>
                <c:ptCount val="3"/>
                <c:pt idx="0">
                  <c:v>沪深两市上涨家数</c:v>
                </c:pt>
                <c:pt idx="1">
                  <c:v>沪深两市平盘家数</c:v>
                </c:pt>
                <c:pt idx="2">
                  <c:v>沪深两市下跌家数</c:v>
                </c:pt>
              </c:strCache>
            </c:strRef>
          </c:cat>
          <c:val>
            <c:numRef>
              <c:f>涨跌停!$B$12:$D$12</c:f>
              <c:numCache>
                <c:formatCode>@</c:formatCode>
                <c:ptCount val="3"/>
                <c:pt idx="0">
                  <c:v>2060</c:v>
                </c:pt>
                <c:pt idx="1">
                  <c:v>139</c:v>
                </c:pt>
                <c:pt idx="2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8-4A8F-A517-AC5442AA5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908752"/>
        <c:axId val="1"/>
      </c:barChart>
      <c:catAx>
        <c:axId val="5819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@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087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4347936684125899"/>
          <c:y val="0.92288976377952803"/>
          <c:w val="0.53599327066495495"/>
          <c:h val="0.9743202099737530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630" b="0" i="0" u="none" strike="noStrike" kern="1200" baseline="0">
              <a:solidFill>
                <a:srgbClr val="333333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r>
              <a:rPr lang="zh-CN" altLang="en-US" sz="1400" b="0" i="0" u="none" strike="noStrike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</a:rPr>
              <a:t>沪深两市涨跌停家数</a:t>
            </a:r>
            <a:r>
              <a:rPr lang="zh-CN" altLang="en-US" sz="1400" b="0" i="0" u="none" strike="noStrike" baseline="0">
                <a:solidFill>
                  <a:srgbClr val="333333"/>
                </a:solidFill>
                <a:latin typeface="Calibri" panose="020F0502020204030204"/>
                <a:ea typeface="等线" panose="02010600030101010101" charset="-122"/>
                <a:cs typeface="Calibri" panose="020F0502020204030204"/>
              </a:rPr>
              <a:t> </a:t>
            </a:r>
            <a:endParaRPr lang="zh-CN" altLang="en-US"/>
          </a:p>
        </c:rich>
      </c:tx>
      <c:layout>
        <c:manualLayout>
          <c:xMode val="edge"/>
          <c:yMode val="edge"/>
          <c:x val="0.40555580410403202"/>
          <c:y val="2.777715640658549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今日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涨跌停!$E$10:$F$10</c:f>
              <c:strCache>
                <c:ptCount val="2"/>
                <c:pt idx="0">
                  <c:v>沪深两市涨停家数</c:v>
                </c:pt>
                <c:pt idx="1">
                  <c:v>沪深两市跌停家数</c:v>
                </c:pt>
              </c:strCache>
            </c:strRef>
          </c:cat>
          <c:val>
            <c:numRef>
              <c:f>涨跌停!$E$11:$F$11</c:f>
              <c:numCache>
                <c:formatCode>@</c:formatCode>
                <c:ptCount val="2"/>
                <c:pt idx="0">
                  <c:v>88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7-49D1-9A11-C464C2CD95B2}"/>
            </c:ext>
          </c:extLst>
        </c:ser>
        <c:ser>
          <c:idx val="1"/>
          <c:order val="1"/>
          <c:tx>
            <c:v>昨日</c:v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涨跌停!$E$10:$F$10</c:f>
              <c:strCache>
                <c:ptCount val="2"/>
                <c:pt idx="0">
                  <c:v>沪深两市涨停家数</c:v>
                </c:pt>
                <c:pt idx="1">
                  <c:v>沪深两市跌停家数</c:v>
                </c:pt>
              </c:strCache>
            </c:strRef>
          </c:cat>
          <c:val>
            <c:numRef>
              <c:f>涨跌停!$E$12:$F$12</c:f>
              <c:numCache>
                <c:formatCode>@</c:formatCode>
                <c:ptCount val="2"/>
                <c:pt idx="0">
                  <c:v>60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7-49D1-9A11-C464C2CD9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911536"/>
        <c:axId val="1"/>
      </c:barChart>
      <c:catAx>
        <c:axId val="58191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@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333333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defRPr>
            </a:pPr>
            <a:endParaRPr lang="zh-CN"/>
          </a:p>
        </c:txPr>
        <c:crossAx val="5819115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2236165791775998"/>
          <c:y val="0.92332416189453603"/>
          <c:w val="0.54547144675097403"/>
          <c:h val="0.97446201682176103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630" b="0" i="0" u="none" strike="noStrike" kern="1200" baseline="0">
              <a:solidFill>
                <a:srgbClr val="333333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等线" panose="02010600030101010101" charset="-122"/>
          <a:ea typeface="等线" panose="02010600030101010101" charset="-122"/>
          <a:cs typeface="等线" panose="0201060003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168275</xdr:colOff>
      <xdr:row>375</xdr:row>
      <xdr:rowOff>123190</xdr:rowOff>
    </xdr:from>
    <xdr:to>
      <xdr:col>10</xdr:col>
      <xdr:colOff>193040</xdr:colOff>
      <xdr:row>390</xdr:row>
      <xdr:rowOff>130175</xdr:rowOff>
    </xdr:to>
    <xdr:graphicFrame macro="">
      <xdr:nvGraphicFramePr>
        <xdr:cNvPr id="16068813" name="图表 1">
          <a:extLst>
            <a:ext uri="{FF2B5EF4-FFF2-40B4-BE49-F238E27FC236}">
              <a16:creationId xmlns:a16="http://schemas.microsoft.com/office/drawing/2014/main" id="{00000000-0008-0000-0100-0000CD30F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696901</xdr:colOff>
      <xdr:row>430</xdr:row>
      <xdr:rowOff>116327</xdr:rowOff>
    </xdr:from>
    <xdr:to>
      <xdr:col>11</xdr:col>
      <xdr:colOff>295558</xdr:colOff>
      <xdr:row>446</xdr:row>
      <xdr:rowOff>39716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558086</xdr:colOff>
      <xdr:row>946</xdr:row>
      <xdr:rowOff>64518</xdr:rowOff>
    </xdr:from>
    <xdr:to>
      <xdr:col>11</xdr:col>
      <xdr:colOff>291181</xdr:colOff>
      <xdr:row>964</xdr:row>
      <xdr:rowOff>36503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95CCD69-5894-4578-BD7F-39C7FEC2B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404813</xdr:colOff>
      <xdr:row>0</xdr:row>
      <xdr:rowOff>142876</xdr:rowOff>
    </xdr:from>
    <xdr:to>
      <xdr:col>8</xdr:col>
      <xdr:colOff>519113</xdr:colOff>
      <xdr:row>16</xdr:row>
      <xdr:rowOff>66676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34ECB2B-7ADE-4CCD-9A97-D1E6FBD19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740</xdr:col>
      <xdr:colOff>140476</xdr:colOff>
      <xdr:row>11</xdr:row>
      <xdr:rowOff>13803</xdr:rowOff>
    </xdr:from>
    <xdr:to>
      <xdr:col>753</xdr:col>
      <xdr:colOff>663161</xdr:colOff>
      <xdr:row>40</xdr:row>
      <xdr:rowOff>36894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769DEB0-8FEC-418F-8CB4-D720A11A2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578</xdr:col>
      <xdr:colOff>8073</xdr:colOff>
      <xdr:row>39</xdr:row>
      <xdr:rowOff>96866</xdr:rowOff>
    </xdr:from>
    <xdr:to>
      <xdr:col>591</xdr:col>
      <xdr:colOff>112159</xdr:colOff>
      <xdr:row>67</xdr:row>
      <xdr:rowOff>121931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381BB0-4DDC-422B-BE81-A352AC40D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769</xdr:col>
      <xdr:colOff>0</xdr:colOff>
      <xdr:row>15</xdr:row>
      <xdr:rowOff>0</xdr:rowOff>
    </xdr:from>
    <xdr:to>
      <xdr:col>784</xdr:col>
      <xdr:colOff>402035</xdr:colOff>
      <xdr:row>44</xdr:row>
      <xdr:rowOff>23091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9C61FF2-B54C-478F-BA93-42CF37912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793</xdr:col>
      <xdr:colOff>488950</xdr:colOff>
      <xdr:row>10</xdr:row>
      <xdr:rowOff>44450</xdr:rowOff>
    </xdr:from>
    <xdr:to>
      <xdr:col>810</xdr:col>
      <xdr:colOff>128985</xdr:colOff>
      <xdr:row>39</xdr:row>
      <xdr:rowOff>67541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8F875C1-218E-443A-A15C-1EEFB4B30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4</xdr:row>
      <xdr:rowOff>0</xdr:rowOff>
    </xdr:from>
    <xdr:to>
      <xdr:col>12</xdr:col>
      <xdr:colOff>419100</xdr:colOff>
      <xdr:row>19</xdr:row>
      <xdr:rowOff>15240</xdr:rowOff>
    </xdr:to>
    <xdr:graphicFrame macro="">
      <xdr:nvGraphicFramePr>
        <xdr:cNvPr id="14571436" name="图表 1">
          <a:extLst>
            <a:ext uri="{FF2B5EF4-FFF2-40B4-BE49-F238E27FC236}">
              <a16:creationId xmlns:a16="http://schemas.microsoft.com/office/drawing/2014/main" id="{00000000-0008-0000-0700-0000AC57D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20</xdr:row>
      <xdr:rowOff>0</xdr:rowOff>
    </xdr:from>
    <xdr:to>
      <xdr:col>12</xdr:col>
      <xdr:colOff>419100</xdr:colOff>
      <xdr:row>35</xdr:row>
      <xdr:rowOff>15240</xdr:rowOff>
    </xdr:to>
    <xdr:graphicFrame macro="">
      <xdr:nvGraphicFramePr>
        <xdr:cNvPr id="14571437" name="图表 4">
          <a:extLst>
            <a:ext uri="{FF2B5EF4-FFF2-40B4-BE49-F238E27FC236}">
              <a16:creationId xmlns:a16="http://schemas.microsoft.com/office/drawing/2014/main" id="{00000000-0008-0000-0700-0000AD57D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37</xdr:row>
      <xdr:rowOff>53340</xdr:rowOff>
    </xdr:from>
    <xdr:to>
      <xdr:col>12</xdr:col>
      <xdr:colOff>396240</xdr:colOff>
      <xdr:row>52</xdr:row>
      <xdr:rowOff>76200</xdr:rowOff>
    </xdr:to>
    <xdr:graphicFrame macro="">
      <xdr:nvGraphicFramePr>
        <xdr:cNvPr id="14571438" name="图表 5">
          <a:extLst>
            <a:ext uri="{FF2B5EF4-FFF2-40B4-BE49-F238E27FC236}">
              <a16:creationId xmlns:a16="http://schemas.microsoft.com/office/drawing/2014/main" id="{00000000-0008-0000-0700-0000AE57D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54</xdr:row>
      <xdr:rowOff>0</xdr:rowOff>
    </xdr:from>
    <xdr:to>
      <xdr:col>12</xdr:col>
      <xdr:colOff>396240</xdr:colOff>
      <xdr:row>69</xdr:row>
      <xdr:rowOff>15240</xdr:rowOff>
    </xdr:to>
    <xdr:graphicFrame macro="">
      <xdr:nvGraphicFramePr>
        <xdr:cNvPr id="14571439" name="图表 6">
          <a:extLst>
            <a:ext uri="{FF2B5EF4-FFF2-40B4-BE49-F238E27FC236}">
              <a16:creationId xmlns:a16="http://schemas.microsoft.com/office/drawing/2014/main" id="{00000000-0008-0000-0700-0000AF57D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14</xdr:row>
      <xdr:rowOff>99060</xdr:rowOff>
    </xdr:from>
    <xdr:to>
      <xdr:col>3</xdr:col>
      <xdr:colOff>1013460</xdr:colOff>
      <xdr:row>29</xdr:row>
      <xdr:rowOff>137160</xdr:rowOff>
    </xdr:to>
    <xdr:graphicFrame macro="">
      <xdr:nvGraphicFramePr>
        <xdr:cNvPr id="13179091" name="图表 1">
          <a:extLst>
            <a:ext uri="{FF2B5EF4-FFF2-40B4-BE49-F238E27FC236}">
              <a16:creationId xmlns:a16="http://schemas.microsoft.com/office/drawing/2014/main" id="{00000000-0008-0000-0800-0000D318C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137160</xdr:rowOff>
    </xdr:from>
    <xdr:to>
      <xdr:col>7</xdr:col>
      <xdr:colOff>259080</xdr:colOff>
      <xdr:row>30</xdr:row>
      <xdr:rowOff>15240</xdr:rowOff>
    </xdr:to>
    <xdr:graphicFrame macro="">
      <xdr:nvGraphicFramePr>
        <xdr:cNvPr id="13179092" name="图表 2">
          <a:extLst>
            <a:ext uri="{FF2B5EF4-FFF2-40B4-BE49-F238E27FC236}">
              <a16:creationId xmlns:a16="http://schemas.microsoft.com/office/drawing/2014/main" id="{00000000-0008-0000-0800-0000D418C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FinD/ThsFunc.xla" TargetMode="External"/><Relationship Id="rId2" Type="http://schemas.openxmlformats.org/officeDocument/2006/relationships/externalLinkPath" Target="file:///D:\iFinD\ThsFunc.xla" TargetMode="External"/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WindFunc"/>
    </sheetNames>
    <definedNames>
      <definedName name="i_dq_pctchange"/>
      <definedName name="s_info_name"/>
      <definedName name="wset"/>
      <definedName name="WSI"/>
    </defined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C1075" totalsRowShown="0">
  <autoFilter ref="A1:C1075" xr:uid="{00000000-0009-0000-0100-000002000000}">
    <filterColumn colId="2">
      <filters>
        <filter val="1"/>
        <filter val="2"/>
        <filter val="3"/>
        <filter val="4"/>
        <filter val="5"/>
        <filter val="6"/>
        <filter val="7"/>
        <filter val="9"/>
      </filters>
    </filterColumn>
  </autoFilter>
  <sortState xmlns:xlrd2="http://schemas.microsoft.com/office/spreadsheetml/2017/richdata2" ref="A2:C116">
    <sortCondition descending="1" ref="C1:C1075"/>
  </sortState>
  <tableColumns count="3">
    <tableColumn id="1" xr3:uid="{00000000-0010-0000-0000-000001000000}" name="列1" dataDxfId="3"/>
    <tableColumn id="2" xr3:uid="{00000000-0010-0000-0000-000002000000}" name="列2" dataDxfId="2"/>
    <tableColumn id="3" xr3:uid="{00000000-0010-0000-0000-000003000000}" name="列3" dataDxfId="1">
      <calculatedColumnFormula>[1]!thsiFinD("ths_constituent_ up_number_index",A2,"2025-7-28")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自定义 7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6566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中信建投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FF0000"/>
    </a:accent1>
    <a:accent2>
      <a:srgbClr val="044E7E"/>
    </a:accent2>
    <a:accent3>
      <a:srgbClr val="FF8080"/>
    </a:accent3>
    <a:accent4>
      <a:srgbClr val="81A6BE"/>
    </a:accent4>
    <a:accent5>
      <a:srgbClr val="FFB2B2"/>
    </a:accent5>
    <a:accent6>
      <a:srgbClr val="B4CAD8"/>
    </a:accent6>
    <a:hlink>
      <a:srgbClr val="367198"/>
    </a:hlink>
    <a:folHlink>
      <a:srgbClr val="808080"/>
    </a:folHlink>
  </a:clrScheme>
  <a:fontScheme name="Temp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9"/>
  <sheetViews>
    <sheetView zoomScale="110" zoomScaleNormal="110" workbookViewId="0">
      <pane ySplit="1" topLeftCell="A946" activePane="bottomLeft" state="frozen"/>
      <selection pane="bottomLeft" activeCell="O950" sqref="O950"/>
    </sheetView>
  </sheetViews>
  <sheetFormatPr defaultColWidth="9.08203125" defaultRowHeight="14" x14ac:dyDescent="0.3"/>
  <cols>
    <col min="1" max="1" width="11.33203125" style="31" customWidth="1"/>
    <col min="2" max="3" width="12.33203125" style="32" customWidth="1"/>
    <col min="4" max="5" width="20.33203125" style="32" customWidth="1"/>
    <col min="6" max="16384" width="9.08203125" style="32"/>
  </cols>
  <sheetData>
    <row r="1" spans="1:6" s="30" customFormat="1" x14ac:dyDescent="0.3">
      <c r="A1" s="33" t="s">
        <v>1</v>
      </c>
      <c r="B1" s="34" t="s">
        <v>2</v>
      </c>
      <c r="C1" s="34" t="s">
        <v>3</v>
      </c>
      <c r="D1" s="34" t="s">
        <v>369</v>
      </c>
      <c r="E1" s="34" t="s">
        <v>4</v>
      </c>
      <c r="F1" s="34" t="s">
        <v>0</v>
      </c>
    </row>
    <row r="2" spans="1:6" x14ac:dyDescent="0.3">
      <c r="A2" s="31" t="s">
        <v>5</v>
      </c>
      <c r="B2" s="32">
        <v>46</v>
      </c>
      <c r="C2" s="32">
        <v>67</v>
      </c>
      <c r="D2" s="32">
        <f>B2-C2</f>
        <v>-21</v>
      </c>
      <c r="E2" s="32">
        <v>0</v>
      </c>
      <c r="F2" s="32">
        <v>3211.2447999999999</v>
      </c>
    </row>
    <row r="3" spans="1:6" x14ac:dyDescent="0.3">
      <c r="A3" s="31" t="s">
        <v>6</v>
      </c>
      <c r="B3" s="32">
        <v>92</v>
      </c>
      <c r="C3" s="32">
        <v>60</v>
      </c>
      <c r="D3" s="32">
        <f t="shared" ref="D3:D66" si="0">B3-C3</f>
        <v>32</v>
      </c>
      <c r="E3" s="32">
        <v>0</v>
      </c>
      <c r="F3" s="32">
        <v>3195.5239999999999</v>
      </c>
    </row>
    <row r="4" spans="1:6" x14ac:dyDescent="0.3">
      <c r="A4" s="31" t="s">
        <v>7</v>
      </c>
      <c r="B4" s="32">
        <v>73</v>
      </c>
      <c r="C4" s="32">
        <v>44</v>
      </c>
      <c r="D4" s="32">
        <f t="shared" si="0"/>
        <v>29</v>
      </c>
      <c r="E4" s="32">
        <v>0</v>
      </c>
      <c r="F4" s="32">
        <v>3194.0286999999998</v>
      </c>
    </row>
    <row r="5" spans="1:6" x14ac:dyDescent="0.3">
      <c r="A5" s="31" t="s">
        <v>8</v>
      </c>
      <c r="B5" s="32">
        <v>66</v>
      </c>
      <c r="C5" s="32">
        <v>43</v>
      </c>
      <c r="D5" s="32">
        <f t="shared" si="0"/>
        <v>23</v>
      </c>
      <c r="E5" s="32">
        <v>0</v>
      </c>
      <c r="F5" s="32">
        <v>3151.0497999999998</v>
      </c>
    </row>
    <row r="6" spans="1:6" x14ac:dyDescent="0.3">
      <c r="A6" s="31" t="s">
        <v>9</v>
      </c>
      <c r="B6" s="32">
        <v>42</v>
      </c>
      <c r="C6" s="32">
        <v>123</v>
      </c>
      <c r="D6" s="32">
        <f t="shared" si="0"/>
        <v>-81</v>
      </c>
      <c r="E6" s="32" t="str">
        <f>IF(D6&lt;-25,"10000",IF(D6&gt;=-25,”0“))</f>
        <v>10000</v>
      </c>
      <c r="F6" s="32">
        <v>3079.8076999999998</v>
      </c>
    </row>
    <row r="7" spans="1:6" x14ac:dyDescent="0.3">
      <c r="A7" s="31" t="s">
        <v>10</v>
      </c>
      <c r="B7" s="32">
        <v>84</v>
      </c>
      <c r="C7" s="32">
        <v>107</v>
      </c>
      <c r="D7" s="32">
        <f t="shared" si="0"/>
        <v>-23</v>
      </c>
      <c r="E7" s="32">
        <v>0</v>
      </c>
      <c r="F7" s="32">
        <v>3086.9193</v>
      </c>
    </row>
    <row r="8" spans="1:6" x14ac:dyDescent="0.3">
      <c r="A8" s="31" t="s">
        <v>11</v>
      </c>
      <c r="B8" s="32">
        <v>33</v>
      </c>
      <c r="C8" s="32">
        <v>765</v>
      </c>
      <c r="D8" s="32">
        <f t="shared" si="0"/>
        <v>-732</v>
      </c>
      <c r="E8" s="32" t="str">
        <f>IF(D8&lt;-25,"10000",IF(D8&gt;=-25,”0“))</f>
        <v>10000</v>
      </c>
      <c r="F8" s="32">
        <v>2928.5118000000002</v>
      </c>
    </row>
    <row r="9" spans="1:6" x14ac:dyDescent="0.3">
      <c r="A9" s="31" t="s">
        <v>12</v>
      </c>
      <c r="B9" s="32">
        <v>45</v>
      </c>
      <c r="C9" s="32">
        <v>299</v>
      </c>
      <c r="D9" s="32">
        <f t="shared" si="0"/>
        <v>-254</v>
      </c>
      <c r="E9" s="32" t="str">
        <f>IF(D9&lt;-25,"10000",IF(D9&gt;=-25,”0“))</f>
        <v>10000</v>
      </c>
      <c r="F9" s="32">
        <v>2886.4256999999998</v>
      </c>
    </row>
    <row r="10" spans="1:6" x14ac:dyDescent="0.3">
      <c r="A10" s="31" t="s">
        <v>13</v>
      </c>
      <c r="B10" s="32">
        <v>141</v>
      </c>
      <c r="C10" s="32">
        <v>84</v>
      </c>
      <c r="D10" s="32">
        <f t="shared" si="0"/>
        <v>57</v>
      </c>
      <c r="E10" s="32">
        <v>0</v>
      </c>
      <c r="F10" s="32">
        <v>2958.2820000000002</v>
      </c>
    </row>
    <row r="11" spans="1:6" x14ac:dyDescent="0.3">
      <c r="A11" s="31" t="s">
        <v>14</v>
      </c>
      <c r="B11" s="32">
        <v>87</v>
      </c>
      <c r="C11" s="32">
        <v>89</v>
      </c>
      <c r="D11" s="32">
        <f t="shared" si="0"/>
        <v>-2</v>
      </c>
      <c r="E11" s="32">
        <v>0</v>
      </c>
      <c r="F11" s="32">
        <v>2975.4848000000002</v>
      </c>
    </row>
    <row r="12" spans="1:6" x14ac:dyDescent="0.3">
      <c r="A12" s="31" t="s">
        <v>15</v>
      </c>
      <c r="B12" s="32">
        <v>243</v>
      </c>
      <c r="C12" s="32">
        <v>32</v>
      </c>
      <c r="D12" s="32">
        <f t="shared" si="0"/>
        <v>211</v>
      </c>
      <c r="E12" s="32">
        <v>0</v>
      </c>
      <c r="F12" s="32">
        <v>3047.0623999999998</v>
      </c>
    </row>
    <row r="13" spans="1:6" x14ac:dyDescent="0.3">
      <c r="A13" s="31" t="s">
        <v>16</v>
      </c>
      <c r="B13" s="32">
        <v>165</v>
      </c>
      <c r="C13" s="32">
        <v>31</v>
      </c>
      <c r="D13" s="32">
        <f t="shared" si="0"/>
        <v>134</v>
      </c>
      <c r="E13" s="32">
        <v>0</v>
      </c>
      <c r="F13" s="32">
        <v>3067.7586999999999</v>
      </c>
    </row>
    <row r="14" spans="1:6" x14ac:dyDescent="0.3">
      <c r="A14" s="31" t="s">
        <v>17</v>
      </c>
      <c r="B14" s="32">
        <v>96</v>
      </c>
      <c r="C14" s="32">
        <v>58</v>
      </c>
      <c r="D14" s="32">
        <f t="shared" si="0"/>
        <v>38</v>
      </c>
      <c r="E14" s="32">
        <v>0</v>
      </c>
      <c r="F14" s="32">
        <v>3001.5605</v>
      </c>
    </row>
    <row r="15" spans="1:6" x14ac:dyDescent="0.3">
      <c r="A15" s="31" t="s">
        <v>18</v>
      </c>
      <c r="B15" s="32">
        <v>155</v>
      </c>
      <c r="C15" s="32">
        <v>31</v>
      </c>
      <c r="D15" s="32">
        <f t="shared" si="0"/>
        <v>124</v>
      </c>
      <c r="E15" s="32">
        <v>0</v>
      </c>
      <c r="F15" s="32">
        <v>3004.1408999999999</v>
      </c>
    </row>
    <row r="16" spans="1:6" x14ac:dyDescent="0.3">
      <c r="A16" s="31" t="s">
        <v>19</v>
      </c>
      <c r="B16" s="32">
        <v>118</v>
      </c>
      <c r="C16" s="32">
        <v>28</v>
      </c>
      <c r="D16" s="32">
        <f t="shared" si="0"/>
        <v>90</v>
      </c>
      <c r="E16" s="32">
        <v>0</v>
      </c>
      <c r="F16" s="32">
        <v>3035.8442</v>
      </c>
    </row>
    <row r="17" spans="1:10" x14ac:dyDescent="0.3">
      <c r="A17" s="31" t="s">
        <v>20</v>
      </c>
      <c r="B17" s="32">
        <v>101</v>
      </c>
      <c r="C17" s="32">
        <v>31</v>
      </c>
      <c r="D17" s="32">
        <f t="shared" si="0"/>
        <v>70</v>
      </c>
      <c r="E17" s="32">
        <v>0</v>
      </c>
      <c r="F17" s="32">
        <v>3058.7026999999998</v>
      </c>
    </row>
    <row r="18" spans="1:10" x14ac:dyDescent="0.3">
      <c r="A18" s="31" t="s">
        <v>21</v>
      </c>
      <c r="B18" s="32">
        <v>86</v>
      </c>
      <c r="C18" s="32">
        <v>30</v>
      </c>
      <c r="D18" s="32">
        <f t="shared" si="0"/>
        <v>56</v>
      </c>
      <c r="E18" s="32">
        <v>0</v>
      </c>
      <c r="F18" s="32">
        <v>3054.9940000000001</v>
      </c>
    </row>
    <row r="19" spans="1:10" x14ac:dyDescent="0.3">
      <c r="A19" s="31" t="s">
        <v>22</v>
      </c>
      <c r="B19" s="32">
        <v>116</v>
      </c>
      <c r="C19" s="32">
        <v>29</v>
      </c>
      <c r="D19" s="32">
        <f t="shared" si="0"/>
        <v>87</v>
      </c>
      <c r="E19" s="32">
        <v>0</v>
      </c>
      <c r="F19" s="32">
        <v>3084.2845000000002</v>
      </c>
    </row>
    <row r="20" spans="1:10" x14ac:dyDescent="0.3">
      <c r="A20" s="31" t="s">
        <v>23</v>
      </c>
      <c r="B20" s="32">
        <v>110</v>
      </c>
      <c r="C20" s="32">
        <v>23</v>
      </c>
      <c r="D20" s="32">
        <f t="shared" si="0"/>
        <v>87</v>
      </c>
      <c r="E20" s="32">
        <v>0</v>
      </c>
      <c r="F20" s="32">
        <v>3073.7487999999998</v>
      </c>
    </row>
    <row r="21" spans="1:10" x14ac:dyDescent="0.3">
      <c r="A21" s="31" t="s">
        <v>24</v>
      </c>
      <c r="B21" s="32">
        <v>83</v>
      </c>
      <c r="C21" s="32">
        <v>34</v>
      </c>
      <c r="D21" s="32">
        <f t="shared" si="0"/>
        <v>49</v>
      </c>
      <c r="E21" s="32">
        <v>0</v>
      </c>
      <c r="F21" s="32">
        <v>3093.6965</v>
      </c>
    </row>
    <row r="22" spans="1:10" x14ac:dyDescent="0.3">
      <c r="A22" s="31" t="s">
        <v>25</v>
      </c>
      <c r="B22" s="32">
        <v>117</v>
      </c>
      <c r="C22" s="32">
        <v>10</v>
      </c>
      <c r="D22" s="32">
        <f t="shared" si="0"/>
        <v>107</v>
      </c>
      <c r="E22" s="32">
        <v>0</v>
      </c>
      <c r="F22" s="32">
        <v>3085.9767999999999</v>
      </c>
    </row>
    <row r="23" spans="1:10" x14ac:dyDescent="0.3">
      <c r="A23" s="31" t="s">
        <v>26</v>
      </c>
      <c r="B23" s="32">
        <v>95</v>
      </c>
      <c r="C23" s="32">
        <v>7</v>
      </c>
      <c r="D23" s="32">
        <f t="shared" si="0"/>
        <v>88</v>
      </c>
      <c r="E23" s="32">
        <v>0</v>
      </c>
      <c r="F23" s="32">
        <v>3096.9648000000002</v>
      </c>
    </row>
    <row r="24" spans="1:10" x14ac:dyDescent="0.3">
      <c r="A24" s="31" t="s">
        <v>27</v>
      </c>
      <c r="B24" s="32">
        <v>109</v>
      </c>
      <c r="C24" s="32">
        <v>5</v>
      </c>
      <c r="D24" s="32">
        <f t="shared" si="0"/>
        <v>104</v>
      </c>
      <c r="E24" s="32">
        <v>0</v>
      </c>
      <c r="F24" s="32">
        <v>3146.5673000000002</v>
      </c>
    </row>
    <row r="25" spans="1:10" x14ac:dyDescent="0.3">
      <c r="A25" s="31">
        <v>44704</v>
      </c>
      <c r="B25" s="32">
        <v>114</v>
      </c>
      <c r="C25" s="32">
        <v>13</v>
      </c>
      <c r="D25" s="32">
        <f t="shared" si="0"/>
        <v>101</v>
      </c>
      <c r="E25" s="32">
        <v>0</v>
      </c>
      <c r="F25" s="32">
        <v>3146.8573000000001</v>
      </c>
    </row>
    <row r="26" spans="1:10" x14ac:dyDescent="0.3">
      <c r="A26" s="31">
        <v>44705</v>
      </c>
      <c r="B26" s="32">
        <v>47</v>
      </c>
      <c r="C26" s="32">
        <v>70</v>
      </c>
      <c r="D26" s="32">
        <f t="shared" si="0"/>
        <v>-23</v>
      </c>
      <c r="E26" s="32">
        <v>0</v>
      </c>
      <c r="F26" s="32">
        <v>3070.9272000000001</v>
      </c>
    </row>
    <row r="27" spans="1:10" x14ac:dyDescent="0.3">
      <c r="A27" s="31">
        <v>44706</v>
      </c>
      <c r="B27" s="32">
        <v>117</v>
      </c>
      <c r="C27" s="32">
        <v>10</v>
      </c>
      <c r="D27" s="32">
        <f t="shared" si="0"/>
        <v>107</v>
      </c>
      <c r="E27" s="32">
        <v>0</v>
      </c>
      <c r="F27" s="32">
        <v>3107.4641000000001</v>
      </c>
    </row>
    <row r="28" spans="1:10" x14ac:dyDescent="0.3">
      <c r="A28" s="31">
        <v>44707</v>
      </c>
      <c r="B28" s="32">
        <v>75</v>
      </c>
      <c r="C28" s="32">
        <v>13</v>
      </c>
      <c r="D28" s="32">
        <f t="shared" si="0"/>
        <v>62</v>
      </c>
      <c r="E28" s="32">
        <v>0</v>
      </c>
      <c r="F28" s="32">
        <v>3123.1079</v>
      </c>
    </row>
    <row r="29" spans="1:10" x14ac:dyDescent="0.3">
      <c r="A29" s="31">
        <v>44708</v>
      </c>
      <c r="B29" s="32">
        <v>91</v>
      </c>
      <c r="C29" s="32">
        <v>16</v>
      </c>
      <c r="D29" s="32">
        <f t="shared" si="0"/>
        <v>75</v>
      </c>
      <c r="E29" s="32">
        <v>0</v>
      </c>
      <c r="F29" s="32">
        <v>3130.2393999999999</v>
      </c>
    </row>
    <row r="30" spans="1:10" x14ac:dyDescent="0.3">
      <c r="A30" s="31">
        <v>44711</v>
      </c>
      <c r="B30" s="32">
        <v>107</v>
      </c>
      <c r="C30" s="32">
        <v>17</v>
      </c>
      <c r="D30" s="32">
        <f t="shared" si="0"/>
        <v>90</v>
      </c>
      <c r="E30" s="32">
        <v>0</v>
      </c>
      <c r="F30" s="32">
        <v>3149.0607</v>
      </c>
      <c r="J30" s="35"/>
    </row>
    <row r="31" spans="1:10" x14ac:dyDescent="0.3">
      <c r="A31" s="31">
        <v>44712</v>
      </c>
      <c r="B31" s="32">
        <v>107</v>
      </c>
      <c r="C31" s="32">
        <v>17</v>
      </c>
      <c r="D31" s="32">
        <f t="shared" si="0"/>
        <v>90</v>
      </c>
      <c r="E31" s="32">
        <v>0</v>
      </c>
      <c r="F31" s="32">
        <v>3186.4270999999999</v>
      </c>
    </row>
    <row r="32" spans="1:10" x14ac:dyDescent="0.3">
      <c r="A32" s="31">
        <v>44713</v>
      </c>
      <c r="B32" s="32">
        <v>91</v>
      </c>
      <c r="C32" s="32">
        <v>12</v>
      </c>
      <c r="D32" s="32">
        <f t="shared" si="0"/>
        <v>79</v>
      </c>
      <c r="E32" s="32">
        <v>0</v>
      </c>
      <c r="F32" s="32">
        <v>3182.1565999999998</v>
      </c>
    </row>
    <row r="33" spans="1:6" x14ac:dyDescent="0.3">
      <c r="A33" s="31">
        <v>44714</v>
      </c>
      <c r="B33" s="32">
        <v>97</v>
      </c>
      <c r="C33" s="32">
        <v>20</v>
      </c>
      <c r="D33" s="32">
        <f t="shared" si="0"/>
        <v>77</v>
      </c>
      <c r="E33" s="32">
        <v>0</v>
      </c>
      <c r="F33" s="32">
        <v>3195.4580000000001</v>
      </c>
    </row>
    <row r="34" spans="1:6" x14ac:dyDescent="0.3">
      <c r="A34" s="31">
        <v>44718</v>
      </c>
      <c r="B34" s="32">
        <v>99</v>
      </c>
      <c r="C34" s="32">
        <v>18</v>
      </c>
      <c r="D34" s="32">
        <f t="shared" si="0"/>
        <v>81</v>
      </c>
      <c r="E34" s="32">
        <v>0</v>
      </c>
      <c r="F34" s="32">
        <v>3236.3719000000001</v>
      </c>
    </row>
    <row r="35" spans="1:6" x14ac:dyDescent="0.3">
      <c r="A35" s="31">
        <v>44719</v>
      </c>
      <c r="B35" s="32">
        <v>75</v>
      </c>
      <c r="C35" s="32">
        <v>18</v>
      </c>
      <c r="D35" s="32">
        <f t="shared" si="0"/>
        <v>57</v>
      </c>
      <c r="E35" s="32">
        <v>0</v>
      </c>
      <c r="F35" s="32">
        <v>3241.7635</v>
      </c>
    </row>
    <row r="36" spans="1:6" x14ac:dyDescent="0.3">
      <c r="A36" s="31">
        <v>44720</v>
      </c>
      <c r="B36" s="32">
        <v>81</v>
      </c>
      <c r="C36" s="32">
        <v>11</v>
      </c>
      <c r="D36" s="32">
        <f t="shared" si="0"/>
        <v>70</v>
      </c>
      <c r="E36" s="32">
        <v>0</v>
      </c>
      <c r="F36" s="32">
        <v>3263.7934</v>
      </c>
    </row>
    <row r="37" spans="1:6" x14ac:dyDescent="0.3">
      <c r="A37" s="31">
        <v>44721</v>
      </c>
      <c r="B37" s="32">
        <v>52</v>
      </c>
      <c r="C37" s="32">
        <v>14</v>
      </c>
      <c r="D37" s="32">
        <f t="shared" si="0"/>
        <v>38</v>
      </c>
      <c r="E37" s="32">
        <v>0</v>
      </c>
      <c r="F37" s="32">
        <v>3238.9542999999999</v>
      </c>
    </row>
    <row r="38" spans="1:6" x14ac:dyDescent="0.3">
      <c r="A38" s="31">
        <v>44722</v>
      </c>
      <c r="B38" s="32">
        <v>107</v>
      </c>
      <c r="C38" s="32">
        <v>5</v>
      </c>
      <c r="D38" s="32">
        <f t="shared" si="0"/>
        <v>102</v>
      </c>
      <c r="E38" s="32">
        <v>0</v>
      </c>
      <c r="F38" s="32">
        <v>3284.8341</v>
      </c>
    </row>
    <row r="39" spans="1:6" x14ac:dyDescent="0.3">
      <c r="A39" s="31">
        <v>44725</v>
      </c>
      <c r="B39" s="32">
        <v>90</v>
      </c>
      <c r="C39" s="32">
        <v>9</v>
      </c>
      <c r="D39" s="32">
        <f t="shared" si="0"/>
        <v>81</v>
      </c>
      <c r="E39" s="32">
        <v>0</v>
      </c>
      <c r="F39" s="32">
        <v>3255.5511000000001</v>
      </c>
    </row>
    <row r="40" spans="1:6" x14ac:dyDescent="0.3">
      <c r="A40" s="31">
        <v>44726</v>
      </c>
      <c r="B40" s="32">
        <v>76</v>
      </c>
      <c r="C40" s="32">
        <v>9</v>
      </c>
      <c r="D40" s="32">
        <f t="shared" si="0"/>
        <v>67</v>
      </c>
      <c r="E40" s="32">
        <v>0</v>
      </c>
      <c r="F40" s="32">
        <v>3288.9065999999998</v>
      </c>
    </row>
    <row r="41" spans="1:6" x14ac:dyDescent="0.3">
      <c r="A41" s="31">
        <v>44727</v>
      </c>
      <c r="B41" s="32">
        <v>65</v>
      </c>
      <c r="C41" s="32">
        <v>16</v>
      </c>
      <c r="D41" s="32">
        <f t="shared" si="0"/>
        <v>49</v>
      </c>
      <c r="E41" s="32">
        <v>0</v>
      </c>
      <c r="F41" s="32">
        <v>3305.4065999999998</v>
      </c>
    </row>
    <row r="42" spans="1:6" x14ac:dyDescent="0.3">
      <c r="A42" s="31">
        <v>44728</v>
      </c>
      <c r="B42" s="32">
        <v>75</v>
      </c>
      <c r="C42" s="32">
        <v>7</v>
      </c>
      <c r="D42" s="32">
        <f t="shared" si="0"/>
        <v>68</v>
      </c>
      <c r="E42" s="32">
        <v>0</v>
      </c>
      <c r="F42" s="32">
        <v>3285.3845000000001</v>
      </c>
    </row>
    <row r="43" spans="1:6" x14ac:dyDescent="0.3">
      <c r="A43" s="31">
        <v>44729</v>
      </c>
      <c r="B43" s="32">
        <v>74</v>
      </c>
      <c r="C43" s="32">
        <v>3</v>
      </c>
      <c r="D43" s="32">
        <f t="shared" si="0"/>
        <v>71</v>
      </c>
      <c r="E43" s="32">
        <v>0</v>
      </c>
      <c r="F43" s="32">
        <v>3316.7856999999999</v>
      </c>
    </row>
    <row r="44" spans="1:6" x14ac:dyDescent="0.3">
      <c r="A44" s="31">
        <v>44732</v>
      </c>
      <c r="B44" s="32">
        <v>105</v>
      </c>
      <c r="C44" s="32">
        <v>13</v>
      </c>
      <c r="D44" s="32">
        <f t="shared" si="0"/>
        <v>92</v>
      </c>
      <c r="E44" s="32">
        <v>0</v>
      </c>
      <c r="F44" s="32">
        <v>3315.4301999999998</v>
      </c>
    </row>
    <row r="45" spans="1:6" x14ac:dyDescent="0.3">
      <c r="A45" s="31">
        <v>44733</v>
      </c>
      <c r="B45" s="32">
        <v>63</v>
      </c>
      <c r="C45" s="32">
        <v>10</v>
      </c>
      <c r="D45" s="32">
        <f t="shared" si="0"/>
        <v>53</v>
      </c>
      <c r="E45" s="32">
        <v>0</v>
      </c>
      <c r="F45" s="32">
        <v>3306.7186000000002</v>
      </c>
    </row>
    <row r="46" spans="1:6" x14ac:dyDescent="0.3">
      <c r="A46" s="31">
        <v>44734</v>
      </c>
      <c r="B46" s="32">
        <v>82</v>
      </c>
      <c r="C46" s="32">
        <v>7</v>
      </c>
      <c r="D46" s="32">
        <f t="shared" si="0"/>
        <v>75</v>
      </c>
      <c r="E46" s="32">
        <v>0</v>
      </c>
      <c r="F46" s="32">
        <v>3267.2015999999999</v>
      </c>
    </row>
    <row r="47" spans="1:6" x14ac:dyDescent="0.3">
      <c r="A47" s="31">
        <v>44735</v>
      </c>
      <c r="B47" s="32">
        <v>117</v>
      </c>
      <c r="C47" s="32">
        <v>2</v>
      </c>
      <c r="D47" s="32">
        <f t="shared" si="0"/>
        <v>115</v>
      </c>
      <c r="E47" s="32">
        <v>0</v>
      </c>
      <c r="F47" s="32">
        <v>3320.1487000000002</v>
      </c>
    </row>
    <row r="48" spans="1:6" x14ac:dyDescent="0.3">
      <c r="A48" s="31">
        <v>44736</v>
      </c>
      <c r="B48" s="32">
        <v>118</v>
      </c>
      <c r="C48" s="32">
        <v>3</v>
      </c>
      <c r="D48" s="32">
        <f t="shared" si="0"/>
        <v>115</v>
      </c>
      <c r="E48" s="32">
        <v>0</v>
      </c>
      <c r="F48" s="32">
        <v>3349.7469999999998</v>
      </c>
    </row>
    <row r="49" spans="1:6" x14ac:dyDescent="0.3">
      <c r="A49" s="31">
        <v>44739</v>
      </c>
      <c r="B49" s="32">
        <v>115</v>
      </c>
      <c r="C49" s="32">
        <v>4</v>
      </c>
      <c r="D49" s="32">
        <f t="shared" si="0"/>
        <v>111</v>
      </c>
      <c r="E49" s="32">
        <v>0</v>
      </c>
      <c r="F49" s="32">
        <v>3379.1851999999999</v>
      </c>
    </row>
    <row r="50" spans="1:6" x14ac:dyDescent="0.3">
      <c r="A50" s="31">
        <v>44740</v>
      </c>
      <c r="B50" s="32">
        <v>140</v>
      </c>
      <c r="C50" s="32">
        <v>0</v>
      </c>
      <c r="D50" s="32">
        <f t="shared" si="0"/>
        <v>140</v>
      </c>
      <c r="E50" s="32">
        <v>0</v>
      </c>
      <c r="F50" s="32">
        <v>3409.2103000000002</v>
      </c>
    </row>
    <row r="51" spans="1:6" x14ac:dyDescent="0.3">
      <c r="A51" s="31">
        <v>44741</v>
      </c>
      <c r="B51" s="32">
        <v>71</v>
      </c>
      <c r="C51" s="32">
        <v>48</v>
      </c>
      <c r="D51" s="32">
        <f t="shared" si="0"/>
        <v>23</v>
      </c>
      <c r="E51" s="32">
        <v>0</v>
      </c>
      <c r="F51" s="32">
        <v>3361.5176999999999</v>
      </c>
    </row>
    <row r="52" spans="1:6" x14ac:dyDescent="0.3">
      <c r="A52" s="31">
        <v>44742</v>
      </c>
      <c r="B52" s="32">
        <v>98</v>
      </c>
      <c r="C52" s="32">
        <v>18</v>
      </c>
      <c r="D52" s="32">
        <f t="shared" si="0"/>
        <v>80</v>
      </c>
      <c r="E52" s="32">
        <v>0</v>
      </c>
      <c r="F52" s="32">
        <v>3398.6161000000002</v>
      </c>
    </row>
    <row r="53" spans="1:6" x14ac:dyDescent="0.3">
      <c r="A53" s="31">
        <v>44743</v>
      </c>
      <c r="B53" s="32">
        <v>79</v>
      </c>
      <c r="C53" s="32">
        <v>30</v>
      </c>
      <c r="D53" s="32">
        <f t="shared" si="0"/>
        <v>49</v>
      </c>
      <c r="E53" s="32">
        <v>0</v>
      </c>
      <c r="F53" s="32">
        <v>3387.6372999999999</v>
      </c>
    </row>
    <row r="54" spans="1:6" x14ac:dyDescent="0.3">
      <c r="A54" s="31">
        <v>44746</v>
      </c>
      <c r="B54" s="32">
        <v>98</v>
      </c>
      <c r="C54" s="32">
        <v>17</v>
      </c>
      <c r="D54" s="32">
        <f t="shared" si="0"/>
        <v>81</v>
      </c>
      <c r="E54" s="32">
        <v>0</v>
      </c>
      <c r="F54" s="32">
        <v>3405.4267</v>
      </c>
    </row>
    <row r="55" spans="1:6" x14ac:dyDescent="0.3">
      <c r="A55" s="31">
        <v>44747</v>
      </c>
      <c r="B55" s="32">
        <v>47</v>
      </c>
      <c r="C55" s="32">
        <v>12</v>
      </c>
      <c r="D55" s="32">
        <f t="shared" si="0"/>
        <v>35</v>
      </c>
      <c r="E55" s="32">
        <v>0</v>
      </c>
      <c r="F55" s="32">
        <v>3404.0252</v>
      </c>
    </row>
    <row r="56" spans="1:6" x14ac:dyDescent="0.3">
      <c r="A56" s="31">
        <v>44748</v>
      </c>
      <c r="B56" s="32">
        <v>60</v>
      </c>
      <c r="C56" s="32">
        <v>18</v>
      </c>
      <c r="D56" s="32">
        <f t="shared" si="0"/>
        <v>42</v>
      </c>
      <c r="E56" s="32">
        <v>0</v>
      </c>
      <c r="F56" s="32">
        <v>3355.3497000000002</v>
      </c>
    </row>
    <row r="57" spans="1:6" x14ac:dyDescent="0.3">
      <c r="A57" s="31">
        <v>44749</v>
      </c>
      <c r="B57" s="32">
        <v>90</v>
      </c>
      <c r="C57" s="32">
        <v>3</v>
      </c>
      <c r="D57" s="32">
        <f t="shared" si="0"/>
        <v>87</v>
      </c>
      <c r="E57" s="32">
        <v>0</v>
      </c>
      <c r="F57" s="32">
        <v>3364.3980000000001</v>
      </c>
    </row>
    <row r="58" spans="1:6" x14ac:dyDescent="0.3">
      <c r="A58" s="31">
        <v>44750</v>
      </c>
      <c r="B58" s="32">
        <v>73</v>
      </c>
      <c r="C58" s="32">
        <v>10</v>
      </c>
      <c r="D58" s="32">
        <f t="shared" si="0"/>
        <v>63</v>
      </c>
      <c r="E58" s="32">
        <v>0</v>
      </c>
      <c r="F58" s="32">
        <v>3356.0778</v>
      </c>
    </row>
    <row r="59" spans="1:6" x14ac:dyDescent="0.3">
      <c r="A59" s="31">
        <v>44753</v>
      </c>
      <c r="B59" s="32">
        <v>66</v>
      </c>
      <c r="C59" s="32">
        <v>18</v>
      </c>
      <c r="D59" s="32">
        <f t="shared" si="0"/>
        <v>48</v>
      </c>
      <c r="E59" s="32">
        <v>0</v>
      </c>
      <c r="F59" s="32">
        <v>3313.5839999999998</v>
      </c>
    </row>
    <row r="60" spans="1:6" x14ac:dyDescent="0.3">
      <c r="A60" s="31">
        <v>44754</v>
      </c>
      <c r="B60" s="32">
        <v>55</v>
      </c>
      <c r="C60" s="32">
        <v>18</v>
      </c>
      <c r="D60" s="32">
        <f t="shared" si="0"/>
        <v>37</v>
      </c>
      <c r="E60" s="32">
        <v>0</v>
      </c>
      <c r="F60" s="32">
        <v>3281.4665</v>
      </c>
    </row>
    <row r="61" spans="1:6" x14ac:dyDescent="0.3">
      <c r="A61" s="31">
        <v>44755</v>
      </c>
      <c r="B61" s="32">
        <v>107</v>
      </c>
      <c r="C61" s="32">
        <v>9</v>
      </c>
      <c r="D61" s="32">
        <f t="shared" si="0"/>
        <v>98</v>
      </c>
      <c r="E61" s="32">
        <v>0</v>
      </c>
      <c r="F61" s="32">
        <v>3284.2918</v>
      </c>
    </row>
    <row r="62" spans="1:6" x14ac:dyDescent="0.3">
      <c r="A62" s="31">
        <v>44756</v>
      </c>
      <c r="B62" s="32">
        <v>78</v>
      </c>
      <c r="C62" s="32">
        <v>15</v>
      </c>
      <c r="D62" s="32">
        <f t="shared" si="0"/>
        <v>63</v>
      </c>
      <c r="E62" s="32">
        <v>0</v>
      </c>
      <c r="F62" s="32">
        <v>3281.7440000000001</v>
      </c>
    </row>
    <row r="63" spans="1:6" x14ac:dyDescent="0.3">
      <c r="A63" s="31">
        <v>44757</v>
      </c>
      <c r="B63" s="32">
        <v>64</v>
      </c>
      <c r="C63" s="32">
        <v>52</v>
      </c>
      <c r="D63" s="32">
        <f t="shared" si="0"/>
        <v>12</v>
      </c>
      <c r="E63" s="32">
        <v>0</v>
      </c>
      <c r="F63" s="32">
        <v>3228.0608999999999</v>
      </c>
    </row>
    <row r="64" spans="1:6" x14ac:dyDescent="0.3">
      <c r="A64" s="31">
        <v>44760</v>
      </c>
      <c r="B64" s="32">
        <v>132</v>
      </c>
      <c r="C64" s="32">
        <v>2</v>
      </c>
      <c r="D64" s="32">
        <f t="shared" si="0"/>
        <v>130</v>
      </c>
      <c r="E64" s="32">
        <v>0</v>
      </c>
      <c r="F64" s="32">
        <v>3278.1033000000002</v>
      </c>
    </row>
    <row r="65" spans="1:6" x14ac:dyDescent="0.3">
      <c r="A65" s="31">
        <v>44761</v>
      </c>
      <c r="B65" s="32">
        <v>100</v>
      </c>
      <c r="C65" s="32">
        <v>5</v>
      </c>
      <c r="D65" s="32">
        <f t="shared" si="0"/>
        <v>95</v>
      </c>
      <c r="E65" s="32">
        <v>0</v>
      </c>
      <c r="F65" s="32">
        <v>3279.4313000000002</v>
      </c>
    </row>
    <row r="66" spans="1:6" x14ac:dyDescent="0.3">
      <c r="A66" s="31">
        <v>44762</v>
      </c>
      <c r="B66" s="32">
        <v>104</v>
      </c>
      <c r="C66" s="32">
        <v>7</v>
      </c>
      <c r="D66" s="32">
        <f t="shared" si="0"/>
        <v>97</v>
      </c>
      <c r="E66" s="32">
        <v>0</v>
      </c>
      <c r="F66" s="32">
        <v>3304.7242999999999</v>
      </c>
    </row>
    <row r="67" spans="1:6" x14ac:dyDescent="0.3">
      <c r="A67" s="31">
        <v>44763</v>
      </c>
      <c r="B67" s="32">
        <v>82</v>
      </c>
      <c r="C67" s="32">
        <v>2</v>
      </c>
      <c r="D67" s="32">
        <f t="shared" ref="D67:D130" si="1">B67-C67</f>
        <v>80</v>
      </c>
      <c r="E67" s="32">
        <v>0</v>
      </c>
      <c r="F67" s="32">
        <v>3272.0012000000002</v>
      </c>
    </row>
    <row r="68" spans="1:6" x14ac:dyDescent="0.3">
      <c r="A68" s="31">
        <v>44764</v>
      </c>
      <c r="B68" s="32">
        <v>73</v>
      </c>
      <c r="C68" s="32">
        <v>8</v>
      </c>
      <c r="D68" s="32">
        <f t="shared" si="1"/>
        <v>65</v>
      </c>
      <c r="E68" s="32">
        <v>0</v>
      </c>
      <c r="F68" s="32">
        <v>3269.9739</v>
      </c>
    </row>
    <row r="69" spans="1:6" x14ac:dyDescent="0.3">
      <c r="A69" s="31">
        <v>44767</v>
      </c>
      <c r="B69" s="32">
        <v>68</v>
      </c>
      <c r="C69" s="32">
        <v>21</v>
      </c>
      <c r="D69" s="32">
        <f t="shared" si="1"/>
        <v>47</v>
      </c>
      <c r="E69" s="32">
        <v>0</v>
      </c>
      <c r="F69" s="32">
        <v>3250.3879999999999</v>
      </c>
    </row>
    <row r="70" spans="1:6" x14ac:dyDescent="0.3">
      <c r="A70" s="31">
        <v>44768</v>
      </c>
      <c r="B70" s="32">
        <v>93</v>
      </c>
      <c r="C70" s="32">
        <v>7</v>
      </c>
      <c r="D70" s="32">
        <f t="shared" si="1"/>
        <v>86</v>
      </c>
      <c r="E70" s="32">
        <v>0</v>
      </c>
      <c r="F70" s="32">
        <v>3277.4355999999998</v>
      </c>
    </row>
    <row r="71" spans="1:6" x14ac:dyDescent="0.3">
      <c r="A71" s="31">
        <v>44769</v>
      </c>
      <c r="B71" s="32">
        <v>100</v>
      </c>
      <c r="C71" s="32">
        <v>7</v>
      </c>
      <c r="D71" s="32">
        <f t="shared" si="1"/>
        <v>93</v>
      </c>
      <c r="E71" s="32">
        <v>0</v>
      </c>
      <c r="F71" s="32">
        <v>3275.7552999999998</v>
      </c>
    </row>
    <row r="72" spans="1:6" x14ac:dyDescent="0.3">
      <c r="A72" s="31">
        <v>44770</v>
      </c>
      <c r="B72" s="32">
        <v>102</v>
      </c>
      <c r="C72" s="32">
        <v>3</v>
      </c>
      <c r="D72" s="32">
        <f t="shared" si="1"/>
        <v>99</v>
      </c>
      <c r="E72" s="32">
        <v>0</v>
      </c>
      <c r="F72" s="32">
        <v>3282.5758000000001</v>
      </c>
    </row>
    <row r="73" spans="1:6" x14ac:dyDescent="0.3">
      <c r="A73" s="31">
        <v>44771</v>
      </c>
      <c r="B73" s="32">
        <v>69</v>
      </c>
      <c r="C73" s="32">
        <v>13</v>
      </c>
      <c r="D73" s="32">
        <f t="shared" si="1"/>
        <v>56</v>
      </c>
      <c r="E73" s="32">
        <v>0</v>
      </c>
      <c r="F73" s="32">
        <v>3253.2381999999998</v>
      </c>
    </row>
    <row r="74" spans="1:6" x14ac:dyDescent="0.3">
      <c r="A74" s="31">
        <v>44774</v>
      </c>
      <c r="B74" s="32">
        <v>101</v>
      </c>
      <c r="C74" s="32">
        <v>9</v>
      </c>
      <c r="D74" s="32">
        <f t="shared" si="1"/>
        <v>92</v>
      </c>
      <c r="E74" s="32">
        <v>0</v>
      </c>
      <c r="F74" s="32">
        <v>3259.9585000000002</v>
      </c>
    </row>
    <row r="75" spans="1:6" x14ac:dyDescent="0.3">
      <c r="A75" s="31">
        <v>44775</v>
      </c>
      <c r="B75" s="32">
        <v>55</v>
      </c>
      <c r="C75" s="32">
        <v>85</v>
      </c>
      <c r="D75" s="32">
        <f t="shared" si="1"/>
        <v>-30</v>
      </c>
      <c r="E75" s="32" t="str">
        <f>IF(D75&lt;-25,"10000",IF(D75&gt;=-25,”0“))</f>
        <v>10000</v>
      </c>
      <c r="F75" s="32">
        <v>3186.2664</v>
      </c>
    </row>
    <row r="76" spans="1:6" x14ac:dyDescent="0.3">
      <c r="A76" s="31">
        <v>44776</v>
      </c>
      <c r="B76" s="32">
        <v>49</v>
      </c>
      <c r="C76" s="32">
        <v>29</v>
      </c>
      <c r="D76" s="32">
        <f t="shared" si="1"/>
        <v>20</v>
      </c>
      <c r="E76" s="32">
        <v>0</v>
      </c>
      <c r="F76" s="32">
        <v>3163.6741000000002</v>
      </c>
    </row>
    <row r="77" spans="1:6" x14ac:dyDescent="0.3">
      <c r="A77" s="31">
        <v>44777</v>
      </c>
      <c r="B77" s="32">
        <v>89</v>
      </c>
      <c r="C77" s="32">
        <v>10</v>
      </c>
      <c r="D77" s="32">
        <f t="shared" si="1"/>
        <v>79</v>
      </c>
      <c r="E77" s="32">
        <v>0</v>
      </c>
      <c r="F77" s="32">
        <v>3189.0391</v>
      </c>
    </row>
    <row r="78" spans="1:6" x14ac:dyDescent="0.3">
      <c r="A78" s="31">
        <v>44778</v>
      </c>
      <c r="B78" s="32">
        <v>69</v>
      </c>
      <c r="C78" s="32">
        <v>19</v>
      </c>
      <c r="D78" s="32">
        <f t="shared" si="1"/>
        <v>50</v>
      </c>
      <c r="E78" s="32">
        <v>0</v>
      </c>
      <c r="F78" s="32">
        <v>3227.0266999999999</v>
      </c>
    </row>
    <row r="79" spans="1:6" x14ac:dyDescent="0.3">
      <c r="A79" s="31">
        <v>44781</v>
      </c>
      <c r="B79" s="32">
        <v>118</v>
      </c>
      <c r="C79" s="32">
        <v>3</v>
      </c>
      <c r="D79" s="32">
        <f t="shared" si="1"/>
        <v>115</v>
      </c>
      <c r="E79" s="32">
        <v>0</v>
      </c>
      <c r="F79" s="32">
        <v>3236.9337</v>
      </c>
    </row>
    <row r="80" spans="1:6" x14ac:dyDescent="0.3">
      <c r="A80" s="31">
        <v>44782</v>
      </c>
      <c r="B80" s="32">
        <v>91</v>
      </c>
      <c r="C80" s="32">
        <v>1</v>
      </c>
      <c r="D80" s="32">
        <f t="shared" si="1"/>
        <v>90</v>
      </c>
      <c r="E80" s="32">
        <v>0</v>
      </c>
      <c r="F80" s="32">
        <v>3247.4317999999998</v>
      </c>
    </row>
    <row r="81" spans="1:6" x14ac:dyDescent="0.3">
      <c r="A81" s="31">
        <v>44783</v>
      </c>
      <c r="B81" s="32">
        <v>88</v>
      </c>
      <c r="C81" s="32">
        <v>4</v>
      </c>
      <c r="D81" s="32">
        <f t="shared" si="1"/>
        <v>84</v>
      </c>
      <c r="E81" s="32">
        <v>0</v>
      </c>
      <c r="F81" s="32">
        <v>3230.02</v>
      </c>
    </row>
    <row r="82" spans="1:6" x14ac:dyDescent="0.3">
      <c r="A82" s="31">
        <v>44784</v>
      </c>
      <c r="B82" s="32">
        <v>81</v>
      </c>
      <c r="C82" s="32">
        <v>8</v>
      </c>
      <c r="D82" s="32">
        <f t="shared" si="1"/>
        <v>73</v>
      </c>
      <c r="E82" s="32">
        <v>0</v>
      </c>
      <c r="F82" s="32">
        <v>3281.6653999999999</v>
      </c>
    </row>
    <row r="83" spans="1:6" x14ac:dyDescent="0.3">
      <c r="A83" s="31">
        <v>44785</v>
      </c>
      <c r="B83" s="32">
        <v>66</v>
      </c>
      <c r="C83" s="32">
        <v>9</v>
      </c>
      <c r="D83" s="32">
        <f t="shared" si="1"/>
        <v>57</v>
      </c>
      <c r="E83" s="32">
        <v>0</v>
      </c>
      <c r="F83" s="32">
        <v>3276.8877000000002</v>
      </c>
    </row>
    <row r="84" spans="1:6" x14ac:dyDescent="0.3">
      <c r="A84" s="36" t="s">
        <v>28</v>
      </c>
      <c r="B84" s="32">
        <v>91</v>
      </c>
      <c r="C84" s="32">
        <v>7</v>
      </c>
      <c r="D84" s="32">
        <f t="shared" si="1"/>
        <v>84</v>
      </c>
      <c r="E84" s="32">
        <v>0</v>
      </c>
      <c r="F84" s="32">
        <v>3276.087</v>
      </c>
    </row>
    <row r="85" spans="1:6" x14ac:dyDescent="0.3">
      <c r="A85" s="36" t="s">
        <v>29</v>
      </c>
      <c r="B85" s="32">
        <v>93</v>
      </c>
      <c r="C85" s="32">
        <v>1</v>
      </c>
      <c r="D85" s="32">
        <f t="shared" si="1"/>
        <v>92</v>
      </c>
      <c r="E85" s="32">
        <v>0</v>
      </c>
      <c r="F85" s="32">
        <v>3277.8847000000001</v>
      </c>
    </row>
    <row r="86" spans="1:6" x14ac:dyDescent="0.3">
      <c r="A86" s="36" t="s">
        <v>30</v>
      </c>
      <c r="B86" s="32">
        <v>84</v>
      </c>
      <c r="C86" s="32">
        <v>5</v>
      </c>
      <c r="D86" s="32">
        <f t="shared" si="1"/>
        <v>79</v>
      </c>
      <c r="E86" s="32">
        <v>0</v>
      </c>
      <c r="F86" s="32">
        <v>3292.5259999999998</v>
      </c>
    </row>
    <row r="87" spans="1:6" x14ac:dyDescent="0.3">
      <c r="A87" s="36" t="s">
        <v>31</v>
      </c>
      <c r="B87" s="32">
        <v>83</v>
      </c>
      <c r="C87" s="32">
        <v>11</v>
      </c>
      <c r="D87" s="32">
        <f t="shared" si="1"/>
        <v>72</v>
      </c>
      <c r="E87" s="32">
        <v>0</v>
      </c>
      <c r="F87" s="32">
        <v>3277.5437999999999</v>
      </c>
    </row>
    <row r="88" spans="1:6" x14ac:dyDescent="0.3">
      <c r="A88" s="36" t="s">
        <v>32</v>
      </c>
      <c r="B88" s="32">
        <v>61</v>
      </c>
      <c r="C88" s="32">
        <v>15</v>
      </c>
      <c r="D88" s="32">
        <f t="shared" si="1"/>
        <v>46</v>
      </c>
      <c r="E88" s="32">
        <v>0</v>
      </c>
      <c r="F88" s="32">
        <v>3258.0783999999999</v>
      </c>
    </row>
    <row r="89" spans="1:6" x14ac:dyDescent="0.3">
      <c r="A89" s="31">
        <v>44795</v>
      </c>
      <c r="B89" s="32">
        <v>88</v>
      </c>
      <c r="C89" s="32">
        <v>11</v>
      </c>
      <c r="D89" s="32">
        <f t="shared" si="1"/>
        <v>77</v>
      </c>
      <c r="E89" s="32">
        <v>0</v>
      </c>
      <c r="F89" s="32">
        <v>3277.7943</v>
      </c>
    </row>
    <row r="90" spans="1:6" x14ac:dyDescent="0.3">
      <c r="A90" s="31">
        <v>44796</v>
      </c>
      <c r="B90" s="32">
        <v>81</v>
      </c>
      <c r="C90" s="32">
        <v>5</v>
      </c>
      <c r="D90" s="32">
        <f t="shared" si="1"/>
        <v>76</v>
      </c>
      <c r="E90" s="32">
        <v>0</v>
      </c>
      <c r="F90" s="32">
        <v>3276.2233999999999</v>
      </c>
    </row>
    <row r="91" spans="1:6" x14ac:dyDescent="0.3">
      <c r="A91" s="31">
        <v>44797</v>
      </c>
      <c r="B91" s="32">
        <v>40</v>
      </c>
      <c r="C91" s="32">
        <v>37</v>
      </c>
      <c r="D91" s="32">
        <f t="shared" si="1"/>
        <v>3</v>
      </c>
      <c r="E91" s="32">
        <v>0</v>
      </c>
      <c r="F91" s="32">
        <v>3215.2033000000001</v>
      </c>
    </row>
    <row r="92" spans="1:6" x14ac:dyDescent="0.3">
      <c r="A92" s="31">
        <v>44798</v>
      </c>
      <c r="B92" s="32">
        <v>69</v>
      </c>
      <c r="C92" s="32">
        <v>29</v>
      </c>
      <c r="D92" s="32">
        <f t="shared" si="1"/>
        <v>40</v>
      </c>
      <c r="E92" s="32">
        <v>0</v>
      </c>
      <c r="F92" s="32">
        <v>3246.2480999999998</v>
      </c>
    </row>
    <row r="93" spans="1:6" x14ac:dyDescent="0.3">
      <c r="A93" s="31">
        <v>44799</v>
      </c>
      <c r="B93" s="32">
        <v>45</v>
      </c>
      <c r="C93" s="32">
        <v>35</v>
      </c>
      <c r="D93" s="32">
        <f t="shared" si="1"/>
        <v>10</v>
      </c>
      <c r="E93" s="32">
        <v>0</v>
      </c>
      <c r="F93" s="32">
        <v>3236.2226000000001</v>
      </c>
    </row>
    <row r="94" spans="1:6" x14ac:dyDescent="0.3">
      <c r="A94" s="31">
        <v>44802</v>
      </c>
      <c r="B94" s="32">
        <v>68</v>
      </c>
      <c r="C94" s="32">
        <v>10</v>
      </c>
      <c r="D94" s="32">
        <f t="shared" si="1"/>
        <v>58</v>
      </c>
      <c r="E94" s="32">
        <v>0</v>
      </c>
      <c r="F94" s="32">
        <v>3240.7275</v>
      </c>
    </row>
    <row r="95" spans="1:6" x14ac:dyDescent="0.3">
      <c r="A95" s="31">
        <v>44803</v>
      </c>
      <c r="B95" s="32">
        <v>46</v>
      </c>
      <c r="C95" s="32">
        <v>17</v>
      </c>
      <c r="D95" s="32">
        <f t="shared" si="1"/>
        <v>29</v>
      </c>
      <c r="E95" s="32">
        <v>0</v>
      </c>
      <c r="F95" s="32">
        <v>3227.2203</v>
      </c>
    </row>
    <row r="96" spans="1:6" x14ac:dyDescent="0.3">
      <c r="A96" s="31">
        <v>44804</v>
      </c>
      <c r="B96" s="32">
        <v>39</v>
      </c>
      <c r="C96" s="32">
        <v>65</v>
      </c>
      <c r="D96" s="32">
        <f t="shared" si="1"/>
        <v>-26</v>
      </c>
      <c r="E96" s="32" t="str">
        <f>IF(D96&lt;-25,"10000",IF(D96&gt;=-25,”0“))</f>
        <v>10000</v>
      </c>
      <c r="F96" s="32">
        <v>3202.1378</v>
      </c>
    </row>
    <row r="97" spans="1:6" x14ac:dyDescent="0.3">
      <c r="A97" s="31">
        <v>44805</v>
      </c>
      <c r="B97" s="32">
        <v>46</v>
      </c>
      <c r="C97" s="32">
        <v>19</v>
      </c>
      <c r="D97" s="32">
        <f t="shared" si="1"/>
        <v>27</v>
      </c>
      <c r="E97" s="32">
        <v>0</v>
      </c>
      <c r="F97" s="32">
        <v>3184.9796999999999</v>
      </c>
    </row>
    <row r="98" spans="1:6" x14ac:dyDescent="0.3">
      <c r="A98" s="31">
        <v>44806</v>
      </c>
      <c r="B98" s="32">
        <v>69</v>
      </c>
      <c r="C98" s="32">
        <v>10</v>
      </c>
      <c r="D98" s="32">
        <f t="shared" si="1"/>
        <v>59</v>
      </c>
      <c r="E98" s="32">
        <v>0</v>
      </c>
      <c r="F98" s="32">
        <v>3186.4780999999998</v>
      </c>
    </row>
    <row r="99" spans="1:6" x14ac:dyDescent="0.3">
      <c r="A99" s="31">
        <v>44809</v>
      </c>
      <c r="B99" s="32">
        <v>64</v>
      </c>
      <c r="C99" s="32">
        <v>11</v>
      </c>
      <c r="D99" s="32">
        <f t="shared" si="1"/>
        <v>53</v>
      </c>
      <c r="E99" s="32">
        <v>0</v>
      </c>
      <c r="F99" s="32">
        <v>3199.9117999999999</v>
      </c>
    </row>
    <row r="100" spans="1:6" x14ac:dyDescent="0.3">
      <c r="A100" s="31">
        <v>44810</v>
      </c>
      <c r="B100" s="32">
        <v>67</v>
      </c>
      <c r="C100" s="32">
        <v>2</v>
      </c>
      <c r="D100" s="32">
        <f t="shared" si="1"/>
        <v>65</v>
      </c>
      <c r="E100" s="32">
        <v>0</v>
      </c>
      <c r="F100" s="32">
        <v>3243.4466000000002</v>
      </c>
    </row>
    <row r="101" spans="1:6" x14ac:dyDescent="0.3">
      <c r="A101" s="31">
        <v>44811</v>
      </c>
      <c r="B101" s="32">
        <v>67</v>
      </c>
      <c r="C101" s="32">
        <v>12</v>
      </c>
      <c r="D101" s="32">
        <f t="shared" si="1"/>
        <v>55</v>
      </c>
      <c r="E101" s="32">
        <v>0</v>
      </c>
      <c r="F101" s="32">
        <v>3246.2943</v>
      </c>
    </row>
    <row r="102" spans="1:6" x14ac:dyDescent="0.3">
      <c r="A102" s="31">
        <v>44812</v>
      </c>
      <c r="B102" s="32">
        <v>49</v>
      </c>
      <c r="C102" s="32">
        <v>7</v>
      </c>
      <c r="D102" s="32">
        <f t="shared" si="1"/>
        <v>42</v>
      </c>
      <c r="E102" s="32">
        <v>0</v>
      </c>
      <c r="F102" s="32">
        <v>3235.5862000000002</v>
      </c>
    </row>
    <row r="103" spans="1:6" x14ac:dyDescent="0.3">
      <c r="A103" s="31">
        <v>44813</v>
      </c>
      <c r="B103" s="32">
        <v>51</v>
      </c>
      <c r="C103" s="32">
        <v>9</v>
      </c>
      <c r="D103" s="32">
        <f t="shared" si="1"/>
        <v>42</v>
      </c>
      <c r="E103" s="32">
        <v>0</v>
      </c>
      <c r="F103" s="32">
        <v>3262.0542</v>
      </c>
    </row>
    <row r="104" spans="1:6" x14ac:dyDescent="0.3">
      <c r="A104" s="31">
        <v>44817</v>
      </c>
      <c r="B104" s="32">
        <v>66</v>
      </c>
      <c r="C104" s="32">
        <v>10</v>
      </c>
      <c r="D104" s="32">
        <f t="shared" si="1"/>
        <v>56</v>
      </c>
      <c r="E104" s="32">
        <v>0</v>
      </c>
      <c r="F104" s="32">
        <v>3263.7972</v>
      </c>
    </row>
    <row r="105" spans="1:6" x14ac:dyDescent="0.3">
      <c r="A105" s="31">
        <v>44818</v>
      </c>
      <c r="B105" s="32">
        <v>43</v>
      </c>
      <c r="C105" s="32">
        <v>9</v>
      </c>
      <c r="D105" s="32">
        <f t="shared" si="1"/>
        <v>34</v>
      </c>
      <c r="E105" s="32">
        <v>0</v>
      </c>
      <c r="F105" s="32">
        <v>3237.5419000000002</v>
      </c>
    </row>
    <row r="106" spans="1:6" x14ac:dyDescent="0.3">
      <c r="A106" s="31">
        <v>44819</v>
      </c>
      <c r="B106" s="32">
        <v>38</v>
      </c>
      <c r="C106" s="32">
        <v>43</v>
      </c>
      <c r="D106" s="32">
        <f t="shared" si="1"/>
        <v>-5</v>
      </c>
      <c r="E106" s="32">
        <v>0</v>
      </c>
      <c r="F106" s="32">
        <v>3199.9187000000002</v>
      </c>
    </row>
    <row r="107" spans="1:6" x14ac:dyDescent="0.3">
      <c r="A107" s="31">
        <v>44820</v>
      </c>
      <c r="B107" s="32">
        <v>29</v>
      </c>
      <c r="C107" s="32">
        <v>43</v>
      </c>
      <c r="D107" s="32">
        <f t="shared" si="1"/>
        <v>-14</v>
      </c>
      <c r="E107" s="32">
        <v>0</v>
      </c>
      <c r="F107" s="32">
        <v>3126.3977</v>
      </c>
    </row>
    <row r="108" spans="1:6" x14ac:dyDescent="0.3">
      <c r="A108" s="31">
        <v>44823</v>
      </c>
      <c r="B108" s="32">
        <v>38</v>
      </c>
      <c r="C108" s="32">
        <v>45</v>
      </c>
      <c r="D108" s="32">
        <f t="shared" si="1"/>
        <v>-7</v>
      </c>
      <c r="E108" s="32">
        <v>0</v>
      </c>
      <c r="F108" s="32">
        <v>3115.6019000000001</v>
      </c>
    </row>
    <row r="109" spans="1:6" x14ac:dyDescent="0.3">
      <c r="A109" s="31">
        <v>44824</v>
      </c>
      <c r="B109" s="32">
        <v>66</v>
      </c>
      <c r="C109" s="32">
        <v>3</v>
      </c>
      <c r="D109" s="32">
        <f t="shared" si="1"/>
        <v>63</v>
      </c>
      <c r="E109" s="32">
        <v>0</v>
      </c>
      <c r="F109" s="32">
        <v>3122.4058</v>
      </c>
    </row>
    <row r="110" spans="1:6" x14ac:dyDescent="0.3">
      <c r="A110" s="31">
        <v>44825</v>
      </c>
      <c r="B110" s="32">
        <v>48</v>
      </c>
      <c r="C110" s="32">
        <v>10</v>
      </c>
      <c r="D110" s="32">
        <f t="shared" si="1"/>
        <v>38</v>
      </c>
      <c r="E110" s="32">
        <v>0</v>
      </c>
      <c r="F110" s="32">
        <v>3117.1774</v>
      </c>
    </row>
    <row r="111" spans="1:6" x14ac:dyDescent="0.3">
      <c r="A111" s="31">
        <v>44826</v>
      </c>
      <c r="B111" s="32">
        <v>40</v>
      </c>
      <c r="C111" s="32">
        <v>8</v>
      </c>
      <c r="D111" s="32">
        <f t="shared" si="1"/>
        <v>32</v>
      </c>
      <c r="E111" s="32">
        <v>0</v>
      </c>
      <c r="F111" s="32">
        <v>3108.9096</v>
      </c>
    </row>
    <row r="112" spans="1:6" x14ac:dyDescent="0.3">
      <c r="A112" s="31">
        <v>44827</v>
      </c>
      <c r="B112" s="32">
        <v>27</v>
      </c>
      <c r="C112" s="32">
        <v>26</v>
      </c>
      <c r="D112" s="32">
        <f t="shared" si="1"/>
        <v>1</v>
      </c>
      <c r="E112" s="32">
        <v>0</v>
      </c>
      <c r="F112" s="32">
        <v>3088.3694999999998</v>
      </c>
    </row>
    <row r="113" spans="1:6" x14ac:dyDescent="0.3">
      <c r="A113" s="31">
        <v>44830</v>
      </c>
      <c r="B113" s="32">
        <v>41</v>
      </c>
      <c r="C113" s="32">
        <v>37</v>
      </c>
      <c r="D113" s="32">
        <f t="shared" si="1"/>
        <v>4</v>
      </c>
      <c r="E113" s="32">
        <v>0</v>
      </c>
      <c r="F113" s="32">
        <v>3051.2260000000001</v>
      </c>
    </row>
    <row r="114" spans="1:6" x14ac:dyDescent="0.3">
      <c r="A114" s="31">
        <v>44831</v>
      </c>
      <c r="B114" s="32">
        <v>80</v>
      </c>
      <c r="C114" s="32">
        <v>7</v>
      </c>
      <c r="D114" s="32">
        <f t="shared" si="1"/>
        <v>73</v>
      </c>
      <c r="E114" s="32">
        <v>0</v>
      </c>
      <c r="F114" s="32">
        <v>3093.8618000000001</v>
      </c>
    </row>
    <row r="115" spans="1:6" x14ac:dyDescent="0.3">
      <c r="A115" s="31">
        <v>44832</v>
      </c>
      <c r="B115" s="32">
        <v>43</v>
      </c>
      <c r="C115" s="32">
        <v>29</v>
      </c>
      <c r="D115" s="32">
        <f t="shared" si="1"/>
        <v>14</v>
      </c>
      <c r="E115" s="32">
        <v>0</v>
      </c>
      <c r="F115" s="32">
        <v>3045.0668000000001</v>
      </c>
    </row>
    <row r="116" spans="1:6" x14ac:dyDescent="0.3">
      <c r="A116" s="31">
        <v>44833</v>
      </c>
      <c r="B116" s="32">
        <v>29</v>
      </c>
      <c r="C116" s="32">
        <v>30</v>
      </c>
      <c r="D116" s="32">
        <f t="shared" si="1"/>
        <v>-1</v>
      </c>
      <c r="E116" s="32">
        <v>0</v>
      </c>
      <c r="F116" s="32">
        <v>3041.2046</v>
      </c>
    </row>
    <row r="117" spans="1:6" x14ac:dyDescent="0.3">
      <c r="A117" s="31">
        <v>44834</v>
      </c>
      <c r="B117" s="32">
        <v>45</v>
      </c>
      <c r="C117" s="32">
        <v>27</v>
      </c>
      <c r="D117" s="32">
        <f t="shared" si="1"/>
        <v>18</v>
      </c>
      <c r="E117" s="32">
        <v>0</v>
      </c>
      <c r="F117" s="32">
        <v>3024.3905</v>
      </c>
    </row>
    <row r="118" spans="1:6" x14ac:dyDescent="0.3">
      <c r="A118" s="31">
        <v>44844</v>
      </c>
      <c r="B118" s="32">
        <v>35</v>
      </c>
      <c r="C118" s="32">
        <v>61</v>
      </c>
      <c r="D118" s="32">
        <f t="shared" si="1"/>
        <v>-26</v>
      </c>
      <c r="E118" s="32" t="str">
        <f>IF(D118&lt;-25,"10000",IF(D118&gt;=-25,”0“))</f>
        <v>10000</v>
      </c>
      <c r="F118" s="32">
        <v>2974.1453999999999</v>
      </c>
    </row>
    <row r="119" spans="1:6" x14ac:dyDescent="0.3">
      <c r="A119" s="31">
        <v>44845</v>
      </c>
      <c r="B119" s="32">
        <v>57</v>
      </c>
      <c r="C119" s="32">
        <v>16</v>
      </c>
      <c r="D119" s="32">
        <f t="shared" si="1"/>
        <v>41</v>
      </c>
      <c r="E119" s="32">
        <v>0</v>
      </c>
      <c r="F119" s="32">
        <v>2979.7926000000002</v>
      </c>
    </row>
    <row r="120" spans="1:6" x14ac:dyDescent="0.3">
      <c r="A120" s="31">
        <v>44846</v>
      </c>
      <c r="B120" s="32">
        <v>91</v>
      </c>
      <c r="C120" s="32">
        <v>2</v>
      </c>
      <c r="D120" s="32">
        <f t="shared" si="1"/>
        <v>89</v>
      </c>
      <c r="E120" s="32">
        <v>0</v>
      </c>
      <c r="F120" s="32">
        <v>3025.5055000000002</v>
      </c>
    </row>
    <row r="121" spans="1:6" x14ac:dyDescent="0.3">
      <c r="A121" s="31">
        <v>44847</v>
      </c>
      <c r="B121" s="32">
        <v>78</v>
      </c>
      <c r="C121" s="32">
        <v>10</v>
      </c>
      <c r="D121" s="32">
        <f t="shared" si="1"/>
        <v>68</v>
      </c>
      <c r="E121" s="32">
        <v>0</v>
      </c>
      <c r="F121" s="32">
        <v>3016.3561</v>
      </c>
    </row>
    <row r="122" spans="1:6" x14ac:dyDescent="0.3">
      <c r="A122" s="31">
        <v>44848</v>
      </c>
      <c r="B122" s="32">
        <v>110</v>
      </c>
      <c r="C122" s="32">
        <v>3</v>
      </c>
      <c r="D122" s="32">
        <f t="shared" si="1"/>
        <v>107</v>
      </c>
      <c r="E122" s="32">
        <v>0</v>
      </c>
      <c r="F122" s="32">
        <v>3071.9868000000001</v>
      </c>
    </row>
    <row r="123" spans="1:6" x14ac:dyDescent="0.3">
      <c r="A123" s="31">
        <v>44851</v>
      </c>
      <c r="B123" s="32">
        <v>97</v>
      </c>
      <c r="C123" s="32">
        <v>4</v>
      </c>
      <c r="D123" s="32">
        <f t="shared" si="1"/>
        <v>93</v>
      </c>
      <c r="E123" s="32">
        <v>0</v>
      </c>
      <c r="F123" s="32">
        <v>3084.9423000000002</v>
      </c>
    </row>
    <row r="124" spans="1:6" x14ac:dyDescent="0.3">
      <c r="A124" s="31">
        <v>44852</v>
      </c>
      <c r="B124" s="32">
        <v>75</v>
      </c>
      <c r="C124" s="32">
        <v>4</v>
      </c>
      <c r="D124" s="32">
        <f t="shared" si="1"/>
        <v>71</v>
      </c>
      <c r="E124" s="32">
        <v>0</v>
      </c>
      <c r="F124" s="32">
        <v>3080.9573999999998</v>
      </c>
    </row>
    <row r="125" spans="1:6" x14ac:dyDescent="0.3">
      <c r="A125" s="31">
        <v>44853</v>
      </c>
      <c r="B125" s="32">
        <v>56</v>
      </c>
      <c r="C125" s="32">
        <v>8</v>
      </c>
      <c r="D125" s="32">
        <f t="shared" si="1"/>
        <v>48</v>
      </c>
      <c r="E125" s="32">
        <v>0</v>
      </c>
      <c r="F125" s="32">
        <v>3044.3777</v>
      </c>
    </row>
    <row r="126" spans="1:6" x14ac:dyDescent="0.3">
      <c r="A126" s="31">
        <v>44854</v>
      </c>
      <c r="B126" s="32">
        <v>57</v>
      </c>
      <c r="C126" s="32">
        <v>15</v>
      </c>
      <c r="D126" s="32">
        <f t="shared" si="1"/>
        <v>42</v>
      </c>
      <c r="E126" s="32">
        <v>0</v>
      </c>
      <c r="F126" s="32">
        <v>3035.0504000000001</v>
      </c>
    </row>
    <row r="127" spans="1:6" x14ac:dyDescent="0.3">
      <c r="A127" s="31">
        <v>44855</v>
      </c>
      <c r="B127" s="32">
        <v>55</v>
      </c>
      <c r="C127" s="32">
        <v>20</v>
      </c>
      <c r="D127" s="32">
        <f t="shared" si="1"/>
        <v>35</v>
      </c>
      <c r="E127" s="32">
        <v>0</v>
      </c>
      <c r="F127" s="32">
        <v>3038.9290999999998</v>
      </c>
    </row>
    <row r="128" spans="1:6" x14ac:dyDescent="0.3">
      <c r="A128" s="31">
        <v>44858</v>
      </c>
      <c r="B128" s="32">
        <v>37</v>
      </c>
      <c r="C128" s="32">
        <v>41</v>
      </c>
      <c r="D128" s="32">
        <f t="shared" si="1"/>
        <v>-4</v>
      </c>
      <c r="E128" s="32">
        <v>0</v>
      </c>
      <c r="F128" s="32">
        <v>2977.5554000000002</v>
      </c>
    </row>
    <row r="129" spans="1:6" x14ac:dyDescent="0.3">
      <c r="A129" s="31">
        <v>44859</v>
      </c>
      <c r="B129" s="32">
        <v>57</v>
      </c>
      <c r="C129" s="32">
        <v>29</v>
      </c>
      <c r="D129" s="32">
        <f t="shared" si="1"/>
        <v>28</v>
      </c>
      <c r="E129" s="32">
        <v>0</v>
      </c>
      <c r="F129" s="32">
        <v>2976.2829999999999</v>
      </c>
    </row>
    <row r="130" spans="1:6" x14ac:dyDescent="0.3">
      <c r="A130" s="31">
        <v>44860</v>
      </c>
      <c r="B130" s="32">
        <v>83</v>
      </c>
      <c r="C130" s="32">
        <v>8</v>
      </c>
      <c r="D130" s="32">
        <f t="shared" si="1"/>
        <v>75</v>
      </c>
      <c r="E130" s="32">
        <v>0</v>
      </c>
      <c r="F130" s="32">
        <v>2999.5036</v>
      </c>
    </row>
    <row r="131" spans="1:6" x14ac:dyDescent="0.3">
      <c r="A131" s="31">
        <v>44861</v>
      </c>
      <c r="B131" s="32">
        <v>51</v>
      </c>
      <c r="C131" s="32">
        <v>20</v>
      </c>
      <c r="D131" s="32">
        <f t="shared" ref="D131:D290" si="2">B131-C131</f>
        <v>31</v>
      </c>
      <c r="E131" s="32">
        <v>0</v>
      </c>
      <c r="F131" s="32">
        <v>2982.9029</v>
      </c>
    </row>
    <row r="132" spans="1:6" x14ac:dyDescent="0.3">
      <c r="A132" s="31">
        <v>44862</v>
      </c>
      <c r="B132" s="32">
        <v>26</v>
      </c>
      <c r="C132" s="32">
        <v>83</v>
      </c>
      <c r="D132" s="32">
        <f t="shared" si="2"/>
        <v>-57</v>
      </c>
      <c r="E132" s="32" t="str">
        <f>IF(D132&lt;-25,"10000",IF(D132&gt;=-25,”0“))</f>
        <v>10000</v>
      </c>
      <c r="F132" s="32">
        <v>2915.9256999999998</v>
      </c>
    </row>
    <row r="133" spans="1:6" x14ac:dyDescent="0.3">
      <c r="A133" s="31">
        <v>44865</v>
      </c>
      <c r="B133" s="32">
        <v>81</v>
      </c>
      <c r="C133" s="32">
        <v>39</v>
      </c>
      <c r="D133" s="32">
        <f t="shared" si="2"/>
        <v>42</v>
      </c>
      <c r="E133" s="32">
        <v>0</v>
      </c>
      <c r="F133" s="32">
        <v>2893.4829</v>
      </c>
    </row>
    <row r="134" spans="1:6" x14ac:dyDescent="0.3">
      <c r="A134" s="31">
        <v>44866</v>
      </c>
      <c r="B134" s="32">
        <v>89</v>
      </c>
      <c r="C134" s="32">
        <v>2</v>
      </c>
      <c r="D134" s="32">
        <f t="shared" si="2"/>
        <v>87</v>
      </c>
      <c r="E134" s="32">
        <v>0</v>
      </c>
      <c r="F134" s="32">
        <v>2969.1995000000002</v>
      </c>
    </row>
    <row r="135" spans="1:6" x14ac:dyDescent="0.3">
      <c r="A135" s="31">
        <v>44867</v>
      </c>
      <c r="B135" s="32">
        <v>90</v>
      </c>
      <c r="C135" s="32">
        <v>5</v>
      </c>
      <c r="D135" s="32">
        <f t="shared" si="2"/>
        <v>85</v>
      </c>
      <c r="E135" s="32">
        <v>0</v>
      </c>
      <c r="F135" s="32">
        <v>3003.3699000000001</v>
      </c>
    </row>
    <row r="136" spans="1:6" x14ac:dyDescent="0.3">
      <c r="A136" s="31">
        <v>44868</v>
      </c>
      <c r="B136" s="32">
        <v>51</v>
      </c>
      <c r="C136" s="32">
        <v>5</v>
      </c>
      <c r="D136" s="32">
        <f t="shared" si="2"/>
        <v>46</v>
      </c>
      <c r="E136" s="32">
        <v>0</v>
      </c>
      <c r="F136" s="32">
        <v>2997.8056999999999</v>
      </c>
    </row>
    <row r="137" spans="1:6" x14ac:dyDescent="0.3">
      <c r="A137" s="31">
        <v>44869</v>
      </c>
      <c r="B137" s="32">
        <v>79</v>
      </c>
      <c r="C137" s="32">
        <v>2</v>
      </c>
      <c r="D137" s="32">
        <f t="shared" si="2"/>
        <v>77</v>
      </c>
      <c r="E137" s="32">
        <v>0</v>
      </c>
      <c r="F137" s="32">
        <v>3070.7964000000002</v>
      </c>
    </row>
    <row r="138" spans="1:6" x14ac:dyDescent="0.3">
      <c r="A138" s="31">
        <v>44872</v>
      </c>
      <c r="B138" s="32">
        <v>77</v>
      </c>
      <c r="C138" s="32">
        <v>0</v>
      </c>
      <c r="D138" s="32">
        <f t="shared" si="2"/>
        <v>77</v>
      </c>
      <c r="E138" s="32">
        <v>0</v>
      </c>
      <c r="F138" s="32">
        <v>3077.817</v>
      </c>
    </row>
    <row r="139" spans="1:6" x14ac:dyDescent="0.3">
      <c r="A139" s="31">
        <v>44873</v>
      </c>
      <c r="B139" s="32">
        <v>55</v>
      </c>
      <c r="C139" s="32">
        <v>1</v>
      </c>
      <c r="D139" s="32">
        <f t="shared" si="2"/>
        <v>54</v>
      </c>
      <c r="E139" s="32">
        <v>0</v>
      </c>
      <c r="F139" s="32">
        <v>3064.4928</v>
      </c>
    </row>
    <row r="140" spans="1:6" x14ac:dyDescent="0.3">
      <c r="A140" s="31">
        <v>44874</v>
      </c>
      <c r="B140" s="32">
        <v>58</v>
      </c>
      <c r="C140" s="32">
        <v>4</v>
      </c>
      <c r="D140" s="32">
        <f t="shared" si="2"/>
        <v>54</v>
      </c>
      <c r="E140" s="32">
        <v>0</v>
      </c>
      <c r="F140" s="32">
        <v>3048.1676000000002</v>
      </c>
    </row>
    <row r="141" spans="1:6" x14ac:dyDescent="0.3">
      <c r="A141" s="31">
        <v>44875</v>
      </c>
      <c r="B141" s="32">
        <v>68</v>
      </c>
      <c r="C141" s="32">
        <v>6</v>
      </c>
      <c r="D141" s="32">
        <f t="shared" si="2"/>
        <v>62</v>
      </c>
      <c r="E141" s="32">
        <v>0</v>
      </c>
      <c r="F141" s="32">
        <v>3036.1318000000001</v>
      </c>
    </row>
    <row r="142" spans="1:6" x14ac:dyDescent="0.3">
      <c r="A142" s="31">
        <v>44876</v>
      </c>
      <c r="B142" s="32">
        <v>60</v>
      </c>
      <c r="C142" s="32">
        <v>7</v>
      </c>
      <c r="D142" s="32">
        <f t="shared" si="2"/>
        <v>53</v>
      </c>
      <c r="E142" s="32">
        <v>0</v>
      </c>
      <c r="F142" s="32">
        <v>3087.2926000000002</v>
      </c>
    </row>
    <row r="143" spans="1:6" x14ac:dyDescent="0.3">
      <c r="A143" s="31">
        <v>44879</v>
      </c>
      <c r="B143" s="32">
        <v>75</v>
      </c>
      <c r="C143" s="32">
        <v>13</v>
      </c>
      <c r="D143" s="32">
        <f t="shared" si="2"/>
        <v>62</v>
      </c>
      <c r="E143" s="32">
        <v>0</v>
      </c>
      <c r="F143" s="32">
        <v>3083.4013</v>
      </c>
    </row>
    <row r="144" spans="1:6" x14ac:dyDescent="0.3">
      <c r="A144" s="31">
        <v>44880</v>
      </c>
      <c r="B144" s="32">
        <v>98</v>
      </c>
      <c r="C144" s="32">
        <v>4</v>
      </c>
      <c r="D144" s="32">
        <f t="shared" si="2"/>
        <v>94</v>
      </c>
      <c r="E144" s="32">
        <v>0</v>
      </c>
      <c r="F144" s="32">
        <v>3134.0778</v>
      </c>
    </row>
    <row r="145" spans="1:6" x14ac:dyDescent="0.3">
      <c r="A145" s="31">
        <v>44881</v>
      </c>
      <c r="B145" s="32">
        <v>55</v>
      </c>
      <c r="C145" s="32">
        <v>6</v>
      </c>
      <c r="D145" s="32">
        <f t="shared" si="2"/>
        <v>49</v>
      </c>
      <c r="E145" s="32">
        <v>0</v>
      </c>
      <c r="F145" s="32">
        <v>3119.9803999999999</v>
      </c>
    </row>
    <row r="146" spans="1:6" x14ac:dyDescent="0.3">
      <c r="A146" s="31">
        <v>44882</v>
      </c>
      <c r="B146" s="32">
        <v>74</v>
      </c>
      <c r="C146" s="32">
        <v>1</v>
      </c>
      <c r="D146" s="32">
        <f t="shared" si="2"/>
        <v>73</v>
      </c>
      <c r="E146" s="32">
        <v>0</v>
      </c>
      <c r="F146" s="32">
        <v>3115.4346999999998</v>
      </c>
    </row>
    <row r="147" spans="1:6" x14ac:dyDescent="0.3">
      <c r="A147" s="31">
        <v>44883</v>
      </c>
      <c r="B147" s="32">
        <v>54</v>
      </c>
      <c r="C147" s="32">
        <v>5</v>
      </c>
      <c r="D147" s="32">
        <f t="shared" si="2"/>
        <v>49</v>
      </c>
      <c r="E147" s="32">
        <v>0</v>
      </c>
      <c r="F147" s="32">
        <v>3097.2431999999999</v>
      </c>
    </row>
    <row r="148" spans="1:6" x14ac:dyDescent="0.3">
      <c r="A148" s="31">
        <v>44886</v>
      </c>
      <c r="B148" s="32">
        <v>63</v>
      </c>
      <c r="C148" s="32">
        <v>14</v>
      </c>
      <c r="D148" s="32">
        <f t="shared" si="2"/>
        <v>49</v>
      </c>
      <c r="E148" s="32">
        <v>0</v>
      </c>
      <c r="F148" s="32">
        <v>3085.0444000000002</v>
      </c>
    </row>
    <row r="149" spans="1:6" x14ac:dyDescent="0.3">
      <c r="A149" s="31">
        <v>44887</v>
      </c>
      <c r="B149" s="32">
        <v>48</v>
      </c>
      <c r="C149" s="32">
        <v>26</v>
      </c>
      <c r="D149" s="32">
        <f t="shared" si="2"/>
        <v>22</v>
      </c>
      <c r="E149" s="32">
        <v>0</v>
      </c>
      <c r="F149" s="32">
        <v>3088.9425999999999</v>
      </c>
    </row>
    <row r="150" spans="1:6" x14ac:dyDescent="0.3">
      <c r="A150" s="31">
        <v>44888</v>
      </c>
      <c r="B150" s="32">
        <v>50</v>
      </c>
      <c r="C150" s="32">
        <v>35</v>
      </c>
      <c r="D150" s="32">
        <f t="shared" si="2"/>
        <v>15</v>
      </c>
      <c r="E150" s="32">
        <v>0</v>
      </c>
      <c r="F150" s="32">
        <v>3096.9072999999999</v>
      </c>
    </row>
    <row r="151" spans="1:6" x14ac:dyDescent="0.3">
      <c r="A151" s="31">
        <v>44889</v>
      </c>
      <c r="B151" s="32">
        <v>56</v>
      </c>
      <c r="C151" s="32">
        <v>12</v>
      </c>
      <c r="D151" s="32">
        <f t="shared" si="2"/>
        <v>44</v>
      </c>
      <c r="E151" s="32">
        <v>0</v>
      </c>
      <c r="F151" s="32">
        <v>3089.3096</v>
      </c>
    </row>
    <row r="152" spans="1:6" x14ac:dyDescent="0.3">
      <c r="A152" s="31">
        <v>44890</v>
      </c>
      <c r="B152" s="32">
        <v>48</v>
      </c>
      <c r="C152" s="32">
        <v>19</v>
      </c>
      <c r="D152" s="32">
        <f t="shared" si="2"/>
        <v>29</v>
      </c>
      <c r="E152" s="32">
        <v>0</v>
      </c>
      <c r="F152" s="32">
        <v>3101.6932000000002</v>
      </c>
    </row>
    <row r="153" spans="1:6" x14ac:dyDescent="0.3">
      <c r="A153" s="31">
        <v>44893</v>
      </c>
      <c r="B153" s="32">
        <v>62</v>
      </c>
      <c r="C153" s="32">
        <v>8</v>
      </c>
      <c r="D153" s="32">
        <f t="shared" si="2"/>
        <v>54</v>
      </c>
      <c r="E153" s="32">
        <v>0</v>
      </c>
      <c r="F153" s="32">
        <v>3078.5484999999999</v>
      </c>
    </row>
    <row r="154" spans="1:6" x14ac:dyDescent="0.3">
      <c r="A154" s="31">
        <v>44894</v>
      </c>
      <c r="B154" s="32">
        <v>112</v>
      </c>
      <c r="C154" s="32">
        <v>0</v>
      </c>
      <c r="D154" s="32">
        <f t="shared" si="2"/>
        <v>112</v>
      </c>
      <c r="E154" s="32">
        <v>0</v>
      </c>
      <c r="F154" s="32">
        <v>3149.7478000000001</v>
      </c>
    </row>
    <row r="155" spans="1:6" x14ac:dyDescent="0.3">
      <c r="A155" s="31">
        <v>44895</v>
      </c>
      <c r="B155" s="32">
        <v>72</v>
      </c>
      <c r="C155" s="32">
        <v>5</v>
      </c>
      <c r="D155" s="32">
        <f t="shared" si="2"/>
        <v>67</v>
      </c>
      <c r="E155" s="32">
        <v>0</v>
      </c>
      <c r="F155" s="32">
        <v>3151.3353000000002</v>
      </c>
    </row>
    <row r="156" spans="1:6" x14ac:dyDescent="0.3">
      <c r="A156" s="31">
        <v>44896</v>
      </c>
      <c r="B156" s="32">
        <v>66</v>
      </c>
      <c r="C156" s="32">
        <v>6</v>
      </c>
      <c r="D156" s="32">
        <f t="shared" si="2"/>
        <v>60</v>
      </c>
      <c r="E156" s="32">
        <v>0</v>
      </c>
      <c r="F156" s="32">
        <v>3165.4711000000002</v>
      </c>
    </row>
    <row r="157" spans="1:6" x14ac:dyDescent="0.3">
      <c r="A157" s="31">
        <v>44897</v>
      </c>
      <c r="B157" s="32">
        <v>78</v>
      </c>
      <c r="C157" s="32">
        <v>10</v>
      </c>
      <c r="D157" s="32">
        <f t="shared" si="2"/>
        <v>68</v>
      </c>
      <c r="E157" s="32">
        <v>0</v>
      </c>
      <c r="F157" s="32">
        <v>3156.1442000000002</v>
      </c>
    </row>
    <row r="158" spans="1:6" x14ac:dyDescent="0.3">
      <c r="A158" s="31">
        <v>44900</v>
      </c>
      <c r="B158" s="32">
        <v>71</v>
      </c>
      <c r="C158" s="32">
        <v>5</v>
      </c>
      <c r="D158" s="32">
        <f t="shared" si="2"/>
        <v>66</v>
      </c>
      <c r="E158" s="32">
        <v>0</v>
      </c>
      <c r="F158" s="32">
        <v>3211.8144000000002</v>
      </c>
    </row>
    <row r="159" spans="1:6" x14ac:dyDescent="0.3">
      <c r="A159" s="31">
        <v>44901</v>
      </c>
      <c r="B159" s="32">
        <v>54</v>
      </c>
      <c r="C159" s="32">
        <v>17</v>
      </c>
      <c r="D159" s="32">
        <f t="shared" si="2"/>
        <v>37</v>
      </c>
      <c r="E159" s="32">
        <v>0</v>
      </c>
      <c r="F159" s="32">
        <v>3212.5333999999998</v>
      </c>
    </row>
    <row r="160" spans="1:6" x14ac:dyDescent="0.3">
      <c r="A160" s="31">
        <v>44902</v>
      </c>
      <c r="B160" s="32">
        <v>61</v>
      </c>
      <c r="C160" s="32">
        <v>6</v>
      </c>
      <c r="D160" s="32">
        <f t="shared" si="2"/>
        <v>55</v>
      </c>
      <c r="E160" s="32">
        <v>0</v>
      </c>
      <c r="F160" s="32">
        <v>3199.6194</v>
      </c>
    </row>
    <row r="161" spans="1:6" x14ac:dyDescent="0.3">
      <c r="A161" s="31">
        <v>44903</v>
      </c>
      <c r="B161" s="32">
        <v>61</v>
      </c>
      <c r="C161" s="32">
        <v>16</v>
      </c>
      <c r="D161" s="32">
        <f t="shared" si="2"/>
        <v>45</v>
      </c>
      <c r="E161" s="32">
        <v>0</v>
      </c>
      <c r="F161" s="32">
        <v>3197.3499000000002</v>
      </c>
    </row>
    <row r="162" spans="1:6" x14ac:dyDescent="0.3">
      <c r="A162" s="31">
        <v>44904</v>
      </c>
      <c r="B162" s="32">
        <v>48</v>
      </c>
      <c r="C162" s="32">
        <v>13</v>
      </c>
      <c r="D162" s="32">
        <f t="shared" si="2"/>
        <v>35</v>
      </c>
      <c r="E162" s="32">
        <v>0</v>
      </c>
      <c r="F162" s="32">
        <v>3206.9502000000002</v>
      </c>
    </row>
    <row r="163" spans="1:6" x14ac:dyDescent="0.3">
      <c r="A163" s="31">
        <v>44907</v>
      </c>
      <c r="B163" s="32">
        <v>50</v>
      </c>
      <c r="C163" s="32">
        <v>22</v>
      </c>
      <c r="D163" s="32">
        <f t="shared" si="2"/>
        <v>28</v>
      </c>
      <c r="E163" s="32">
        <v>0</v>
      </c>
      <c r="F163" s="32">
        <v>3179.0417000000002</v>
      </c>
    </row>
    <row r="164" spans="1:6" x14ac:dyDescent="0.3">
      <c r="A164" s="31">
        <v>44908</v>
      </c>
      <c r="B164" s="32">
        <v>64</v>
      </c>
      <c r="C164" s="32">
        <v>15</v>
      </c>
      <c r="D164" s="32">
        <f t="shared" si="2"/>
        <v>49</v>
      </c>
      <c r="E164" s="32">
        <v>0</v>
      </c>
      <c r="F164" s="32">
        <v>3176.3254999999999</v>
      </c>
    </row>
    <row r="165" spans="1:6" x14ac:dyDescent="0.3">
      <c r="A165" s="31">
        <v>44909</v>
      </c>
      <c r="B165" s="32">
        <v>56</v>
      </c>
      <c r="C165" s="32">
        <v>15</v>
      </c>
      <c r="D165" s="32">
        <f t="shared" si="2"/>
        <v>41</v>
      </c>
      <c r="E165" s="32">
        <v>0</v>
      </c>
      <c r="F165" s="32">
        <v>3176.5252999999998</v>
      </c>
    </row>
    <row r="166" spans="1:6" x14ac:dyDescent="0.3">
      <c r="A166" s="31">
        <v>44910</v>
      </c>
      <c r="B166" s="32">
        <v>39</v>
      </c>
      <c r="C166" s="32">
        <v>6</v>
      </c>
      <c r="D166" s="32">
        <f t="shared" si="2"/>
        <v>33</v>
      </c>
      <c r="E166" s="32">
        <v>0</v>
      </c>
      <c r="F166" s="32">
        <v>3168.6478000000002</v>
      </c>
    </row>
    <row r="167" spans="1:6" x14ac:dyDescent="0.3">
      <c r="A167" s="31">
        <v>44911</v>
      </c>
      <c r="B167" s="32">
        <v>41</v>
      </c>
      <c r="C167" s="32">
        <v>13</v>
      </c>
      <c r="D167" s="32">
        <f t="shared" si="2"/>
        <v>28</v>
      </c>
      <c r="E167" s="32">
        <v>0</v>
      </c>
      <c r="F167" s="32">
        <v>3167.8575999999998</v>
      </c>
    </row>
    <row r="168" spans="1:6" x14ac:dyDescent="0.3">
      <c r="A168" s="31">
        <v>44914</v>
      </c>
      <c r="B168" s="32">
        <v>29</v>
      </c>
      <c r="C168" s="32">
        <v>33</v>
      </c>
      <c r="D168" s="32">
        <f t="shared" si="2"/>
        <v>-4</v>
      </c>
      <c r="E168" s="32">
        <v>0</v>
      </c>
      <c r="F168" s="32">
        <v>3107.1149999999998</v>
      </c>
    </row>
    <row r="169" spans="1:6" x14ac:dyDescent="0.3">
      <c r="A169" s="31">
        <v>44915</v>
      </c>
      <c r="B169" s="32">
        <v>33</v>
      </c>
      <c r="C169" s="32">
        <v>34</v>
      </c>
      <c r="D169" s="32">
        <f t="shared" si="2"/>
        <v>-1</v>
      </c>
      <c r="E169" s="32">
        <v>0</v>
      </c>
      <c r="F169" s="32">
        <v>3073.7658999999999</v>
      </c>
    </row>
    <row r="170" spans="1:6" x14ac:dyDescent="0.3">
      <c r="A170" s="31">
        <v>44916</v>
      </c>
      <c r="B170" s="32">
        <v>34</v>
      </c>
      <c r="C170" s="32">
        <v>15</v>
      </c>
      <c r="D170" s="32">
        <f t="shared" si="2"/>
        <v>19</v>
      </c>
      <c r="E170" s="32">
        <v>0</v>
      </c>
      <c r="F170" s="32">
        <v>3068.4105</v>
      </c>
    </row>
    <row r="171" spans="1:6" x14ac:dyDescent="0.3">
      <c r="A171" s="31">
        <v>44917</v>
      </c>
      <c r="B171" s="32">
        <v>36</v>
      </c>
      <c r="C171" s="32">
        <v>18</v>
      </c>
      <c r="D171" s="32">
        <f t="shared" si="2"/>
        <v>18</v>
      </c>
      <c r="E171" s="32">
        <v>0</v>
      </c>
      <c r="F171" s="32">
        <v>3054.4313000000002</v>
      </c>
    </row>
    <row r="172" spans="1:6" x14ac:dyDescent="0.3">
      <c r="A172" s="31">
        <v>44918</v>
      </c>
      <c r="B172" s="32">
        <v>41</v>
      </c>
      <c r="C172" s="32">
        <v>24</v>
      </c>
      <c r="D172" s="32">
        <f t="shared" si="2"/>
        <v>17</v>
      </c>
      <c r="E172" s="32">
        <v>0</v>
      </c>
      <c r="F172" s="32">
        <v>3045.8663999999999</v>
      </c>
    </row>
    <row r="173" spans="1:6" x14ac:dyDescent="0.3">
      <c r="A173" s="31">
        <v>44921</v>
      </c>
      <c r="B173" s="32">
        <v>70</v>
      </c>
      <c r="C173" s="32">
        <v>11</v>
      </c>
      <c r="D173" s="32">
        <f t="shared" si="2"/>
        <v>59</v>
      </c>
      <c r="E173" s="32">
        <v>0</v>
      </c>
      <c r="F173" s="32">
        <v>3065.5626000000002</v>
      </c>
    </row>
    <row r="174" spans="1:6" x14ac:dyDescent="0.3">
      <c r="A174" s="31">
        <v>44922</v>
      </c>
      <c r="B174" s="32">
        <v>55</v>
      </c>
      <c r="C174" s="32">
        <v>13</v>
      </c>
      <c r="D174" s="32">
        <f t="shared" si="2"/>
        <v>42</v>
      </c>
      <c r="E174" s="32">
        <v>0</v>
      </c>
      <c r="F174" s="32">
        <v>3095.5677999999998</v>
      </c>
    </row>
    <row r="175" spans="1:6" x14ac:dyDescent="0.3">
      <c r="A175" s="31">
        <v>44923</v>
      </c>
      <c r="B175" s="32">
        <v>40</v>
      </c>
      <c r="C175" s="32">
        <v>14</v>
      </c>
      <c r="D175" s="32">
        <f t="shared" si="2"/>
        <v>26</v>
      </c>
      <c r="E175" s="32">
        <v>0</v>
      </c>
      <c r="F175" s="32">
        <v>3087.3996999999999</v>
      </c>
    </row>
    <row r="176" spans="1:6" x14ac:dyDescent="0.3">
      <c r="A176" s="31">
        <v>44924</v>
      </c>
      <c r="B176" s="32">
        <v>48</v>
      </c>
      <c r="C176" s="32">
        <v>12</v>
      </c>
      <c r="D176" s="32">
        <f t="shared" si="2"/>
        <v>36</v>
      </c>
      <c r="E176" s="32">
        <v>0</v>
      </c>
      <c r="F176" s="32">
        <v>3073.7015999999999</v>
      </c>
    </row>
    <row r="177" spans="1:6" x14ac:dyDescent="0.3">
      <c r="A177" s="31">
        <v>44925</v>
      </c>
      <c r="B177" s="32">
        <v>53</v>
      </c>
      <c r="C177" s="32">
        <v>7</v>
      </c>
      <c r="D177" s="32">
        <f t="shared" si="2"/>
        <v>46</v>
      </c>
      <c r="E177" s="32">
        <v>0</v>
      </c>
      <c r="F177" s="32">
        <v>3089.2579000000001</v>
      </c>
    </row>
    <row r="178" spans="1:6" x14ac:dyDescent="0.3">
      <c r="A178" s="31">
        <v>44929</v>
      </c>
      <c r="B178" s="32">
        <v>116</v>
      </c>
      <c r="C178" s="32">
        <v>3</v>
      </c>
      <c r="D178" s="32">
        <f t="shared" si="2"/>
        <v>113</v>
      </c>
      <c r="E178" s="32">
        <v>0</v>
      </c>
      <c r="F178" s="32">
        <v>3116.5119</v>
      </c>
    </row>
    <row r="179" spans="1:6" x14ac:dyDescent="0.3">
      <c r="A179" s="31">
        <v>44930</v>
      </c>
      <c r="B179" s="32">
        <v>61</v>
      </c>
      <c r="C179" s="32">
        <v>9</v>
      </c>
      <c r="D179" s="32">
        <f t="shared" si="2"/>
        <v>52</v>
      </c>
      <c r="E179" s="32">
        <v>0</v>
      </c>
      <c r="F179" s="32">
        <v>3123.5164</v>
      </c>
    </row>
    <row r="180" spans="1:6" x14ac:dyDescent="0.3">
      <c r="A180" s="31">
        <v>44931</v>
      </c>
      <c r="B180" s="32">
        <v>52</v>
      </c>
      <c r="C180" s="32">
        <v>9</v>
      </c>
      <c r="D180" s="32">
        <f t="shared" si="2"/>
        <v>43</v>
      </c>
      <c r="E180" s="32">
        <v>0</v>
      </c>
      <c r="F180" s="32">
        <v>3155.2161999999998</v>
      </c>
    </row>
    <row r="181" spans="1:6" x14ac:dyDescent="0.3">
      <c r="A181" s="31">
        <v>44932</v>
      </c>
      <c r="B181" s="32">
        <v>36</v>
      </c>
      <c r="C181" s="32">
        <v>14</v>
      </c>
      <c r="D181" s="32">
        <f t="shared" si="2"/>
        <v>22</v>
      </c>
      <c r="E181" s="32">
        <v>0</v>
      </c>
      <c r="F181" s="32">
        <v>3157.6365000000001</v>
      </c>
    </row>
    <row r="182" spans="1:6" x14ac:dyDescent="0.3">
      <c r="A182" s="31">
        <v>44935</v>
      </c>
      <c r="B182" s="32">
        <v>46</v>
      </c>
      <c r="C182" s="32">
        <v>6</v>
      </c>
      <c r="D182" s="32">
        <f t="shared" si="2"/>
        <v>40</v>
      </c>
      <c r="E182" s="32">
        <v>0</v>
      </c>
      <c r="F182" s="32">
        <v>3176.0844999999999</v>
      </c>
    </row>
    <row r="183" spans="1:6" x14ac:dyDescent="0.3">
      <c r="A183" s="31">
        <v>44936</v>
      </c>
      <c r="B183" s="32">
        <v>36</v>
      </c>
      <c r="C183" s="32">
        <v>7</v>
      </c>
      <c r="D183" s="32">
        <f t="shared" si="2"/>
        <v>29</v>
      </c>
      <c r="E183" s="32">
        <v>0</v>
      </c>
      <c r="F183" s="32">
        <v>3169.5072</v>
      </c>
    </row>
    <row r="184" spans="1:6" x14ac:dyDescent="0.3">
      <c r="A184" s="31">
        <v>44937</v>
      </c>
      <c r="B184" s="32">
        <v>31</v>
      </c>
      <c r="C184" s="32">
        <v>11</v>
      </c>
      <c r="D184" s="32">
        <f t="shared" si="2"/>
        <v>20</v>
      </c>
      <c r="E184" s="32">
        <v>0</v>
      </c>
      <c r="F184" s="32">
        <v>3161.8375999999998</v>
      </c>
    </row>
    <row r="185" spans="1:6" x14ac:dyDescent="0.3">
      <c r="A185" s="31">
        <v>44938</v>
      </c>
      <c r="B185" s="32">
        <v>40</v>
      </c>
      <c r="C185" s="32">
        <v>9</v>
      </c>
      <c r="D185" s="32">
        <f t="shared" si="2"/>
        <v>31</v>
      </c>
      <c r="E185" s="32">
        <v>0</v>
      </c>
      <c r="F185" s="32">
        <v>3163.4508999999998</v>
      </c>
    </row>
    <row r="186" spans="1:6" x14ac:dyDescent="0.3">
      <c r="A186" s="31">
        <v>44939</v>
      </c>
      <c r="B186" s="32">
        <v>38</v>
      </c>
      <c r="C186" s="32">
        <v>10</v>
      </c>
      <c r="D186" s="32">
        <f t="shared" si="2"/>
        <v>28</v>
      </c>
      <c r="E186" s="32">
        <v>0</v>
      </c>
      <c r="F186" s="32">
        <v>3195.3058999999998</v>
      </c>
    </row>
    <row r="187" spans="1:6" x14ac:dyDescent="0.3">
      <c r="A187" s="31">
        <v>44942</v>
      </c>
      <c r="B187" s="32">
        <v>49</v>
      </c>
      <c r="C187" s="32">
        <v>12</v>
      </c>
      <c r="D187" s="32">
        <f t="shared" si="2"/>
        <v>37</v>
      </c>
      <c r="E187" s="32">
        <v>0</v>
      </c>
      <c r="F187" s="32">
        <v>3227.5916000000002</v>
      </c>
    </row>
    <row r="188" spans="1:6" x14ac:dyDescent="0.3">
      <c r="A188" s="31">
        <v>44943</v>
      </c>
      <c r="B188" s="32">
        <v>38</v>
      </c>
      <c r="C188" s="32">
        <v>10</v>
      </c>
      <c r="D188" s="32">
        <f t="shared" si="2"/>
        <v>28</v>
      </c>
      <c r="E188" s="32">
        <v>0</v>
      </c>
      <c r="F188" s="32">
        <v>3224.2447999999999</v>
      </c>
    </row>
    <row r="189" spans="1:6" x14ac:dyDescent="0.3">
      <c r="A189" s="31">
        <v>44944</v>
      </c>
      <c r="B189" s="32">
        <v>39</v>
      </c>
      <c r="C189" s="32">
        <v>8</v>
      </c>
      <c r="D189" s="32">
        <f t="shared" si="2"/>
        <v>31</v>
      </c>
      <c r="E189" s="32">
        <v>0</v>
      </c>
      <c r="F189" s="32">
        <v>3224.4059999999999</v>
      </c>
    </row>
    <row r="190" spans="1:6" x14ac:dyDescent="0.3">
      <c r="A190" s="31">
        <v>44945</v>
      </c>
      <c r="B190" s="32">
        <v>35</v>
      </c>
      <c r="C190" s="32">
        <v>15</v>
      </c>
      <c r="D190" s="32">
        <f t="shared" si="2"/>
        <v>20</v>
      </c>
      <c r="E190" s="32">
        <v>0</v>
      </c>
      <c r="F190" s="32">
        <v>3240.2793999999999</v>
      </c>
    </row>
    <row r="191" spans="1:6" x14ac:dyDescent="0.3">
      <c r="A191" s="31">
        <v>44946</v>
      </c>
      <c r="B191" s="32">
        <v>27</v>
      </c>
      <c r="C191" s="32">
        <v>10</v>
      </c>
      <c r="D191" s="32">
        <f t="shared" si="2"/>
        <v>17</v>
      </c>
      <c r="E191" s="32">
        <v>0</v>
      </c>
      <c r="F191" s="32">
        <v>3264.8137999999999</v>
      </c>
    </row>
    <row r="192" spans="1:6" x14ac:dyDescent="0.3">
      <c r="A192" s="31">
        <v>44956</v>
      </c>
      <c r="B192" s="32">
        <v>94</v>
      </c>
      <c r="C192" s="32">
        <v>9</v>
      </c>
      <c r="D192" s="32">
        <f t="shared" si="2"/>
        <v>85</v>
      </c>
      <c r="E192" s="32">
        <v>0</v>
      </c>
      <c r="F192" s="32">
        <v>3269.3180000000002</v>
      </c>
    </row>
    <row r="193" spans="1:6" x14ac:dyDescent="0.3">
      <c r="A193" s="31">
        <v>44957</v>
      </c>
      <c r="B193" s="32">
        <v>53</v>
      </c>
      <c r="C193" s="32">
        <v>28</v>
      </c>
      <c r="D193" s="32">
        <f t="shared" si="2"/>
        <v>25</v>
      </c>
      <c r="E193" s="32">
        <v>0</v>
      </c>
      <c r="F193" s="32">
        <v>3255.6691999999998</v>
      </c>
    </row>
    <row r="194" spans="1:6" x14ac:dyDescent="0.3">
      <c r="A194" s="31">
        <v>44958</v>
      </c>
      <c r="B194" s="32">
        <v>80</v>
      </c>
      <c r="C194" s="32">
        <v>12</v>
      </c>
      <c r="D194" s="32">
        <f t="shared" si="2"/>
        <v>68</v>
      </c>
    </row>
    <row r="195" spans="1:6" x14ac:dyDescent="0.3">
      <c r="A195" s="31">
        <v>44959</v>
      </c>
      <c r="B195" s="32">
        <v>53</v>
      </c>
      <c r="C195" s="32">
        <v>14</v>
      </c>
      <c r="D195" s="32">
        <f t="shared" si="2"/>
        <v>39</v>
      </c>
    </row>
    <row r="196" spans="1:6" x14ac:dyDescent="0.3">
      <c r="A196" s="31">
        <v>44960</v>
      </c>
      <c r="B196" s="32">
        <v>41</v>
      </c>
      <c r="C196" s="32">
        <v>9</v>
      </c>
      <c r="D196" s="32">
        <f t="shared" si="2"/>
        <v>32</v>
      </c>
    </row>
    <row r="197" spans="1:6" x14ac:dyDescent="0.3">
      <c r="A197" s="31">
        <v>44963</v>
      </c>
      <c r="B197" s="32">
        <v>41</v>
      </c>
      <c r="C197" s="32">
        <v>12</v>
      </c>
      <c r="D197" s="32">
        <f t="shared" si="2"/>
        <v>29</v>
      </c>
    </row>
    <row r="198" spans="1:6" x14ac:dyDescent="0.3">
      <c r="A198" s="31">
        <v>44964</v>
      </c>
      <c r="B198" s="32">
        <v>48</v>
      </c>
      <c r="C198" s="32">
        <v>9</v>
      </c>
      <c r="D198" s="32">
        <f t="shared" si="2"/>
        <v>39</v>
      </c>
    </row>
    <row r="199" spans="1:6" x14ac:dyDescent="0.3">
      <c r="A199" s="31">
        <v>44965</v>
      </c>
      <c r="B199" s="32">
        <v>35</v>
      </c>
      <c r="C199" s="32">
        <v>6</v>
      </c>
      <c r="D199" s="32">
        <f t="shared" si="2"/>
        <v>29</v>
      </c>
    </row>
    <row r="200" spans="1:6" x14ac:dyDescent="0.3">
      <c r="A200" s="31">
        <v>44966</v>
      </c>
      <c r="B200" s="32">
        <v>35</v>
      </c>
      <c r="C200" s="32">
        <v>9</v>
      </c>
      <c r="D200" s="32">
        <f t="shared" si="2"/>
        <v>26</v>
      </c>
    </row>
    <row r="201" spans="1:6" x14ac:dyDescent="0.3">
      <c r="A201" s="31">
        <v>44967</v>
      </c>
      <c r="B201" s="32">
        <v>28</v>
      </c>
      <c r="C201" s="32">
        <v>9</v>
      </c>
      <c r="D201" s="32">
        <f t="shared" si="2"/>
        <v>19</v>
      </c>
    </row>
    <row r="202" spans="1:6" x14ac:dyDescent="0.3">
      <c r="A202" s="31">
        <v>44970</v>
      </c>
      <c r="B202" s="32">
        <v>47</v>
      </c>
      <c r="C202" s="32">
        <v>4</v>
      </c>
      <c r="D202" s="32">
        <f t="shared" si="2"/>
        <v>43</v>
      </c>
    </row>
    <row r="203" spans="1:6" x14ac:dyDescent="0.3">
      <c r="A203" s="31">
        <v>44971</v>
      </c>
      <c r="B203" s="32">
        <v>31</v>
      </c>
      <c r="C203" s="32">
        <v>8</v>
      </c>
      <c r="D203" s="32">
        <f t="shared" si="2"/>
        <v>23</v>
      </c>
    </row>
    <row r="204" spans="1:6" x14ac:dyDescent="0.3">
      <c r="A204" s="31">
        <v>44972</v>
      </c>
      <c r="B204" s="32">
        <v>43</v>
      </c>
      <c r="C204" s="32">
        <v>1</v>
      </c>
      <c r="D204" s="32">
        <f t="shared" si="2"/>
        <v>42</v>
      </c>
    </row>
    <row r="205" spans="1:6" x14ac:dyDescent="0.3">
      <c r="A205" s="31">
        <v>44973</v>
      </c>
      <c r="B205" s="32">
        <v>23</v>
      </c>
      <c r="C205" s="32">
        <v>4</v>
      </c>
      <c r="D205" s="32">
        <f t="shared" si="2"/>
        <v>19</v>
      </c>
    </row>
    <row r="206" spans="1:6" x14ac:dyDescent="0.3">
      <c r="A206" s="31">
        <v>44974</v>
      </c>
      <c r="B206" s="32">
        <v>33</v>
      </c>
      <c r="C206" s="32">
        <v>6</v>
      </c>
      <c r="D206" s="32">
        <f t="shared" si="2"/>
        <v>27</v>
      </c>
    </row>
    <row r="207" spans="1:6" x14ac:dyDescent="0.3">
      <c r="A207" s="31">
        <v>44977</v>
      </c>
      <c r="B207" s="32">
        <v>41</v>
      </c>
      <c r="C207" s="32">
        <v>16</v>
      </c>
      <c r="D207" s="32">
        <f t="shared" si="2"/>
        <v>25</v>
      </c>
    </row>
    <row r="208" spans="1:6" x14ac:dyDescent="0.3">
      <c r="A208" s="31">
        <v>44978</v>
      </c>
      <c r="B208" s="32">
        <v>20</v>
      </c>
      <c r="C208" s="32">
        <v>5</v>
      </c>
      <c r="D208" s="32">
        <f t="shared" si="2"/>
        <v>15</v>
      </c>
    </row>
    <row r="209" spans="1:4" x14ac:dyDescent="0.3">
      <c r="A209" s="31">
        <v>44979</v>
      </c>
      <c r="B209" s="32">
        <v>28</v>
      </c>
      <c r="C209" s="32">
        <v>6</v>
      </c>
      <c r="D209" s="32">
        <f t="shared" si="2"/>
        <v>22</v>
      </c>
    </row>
    <row r="210" spans="1:4" x14ac:dyDescent="0.3">
      <c r="A210" s="31">
        <v>44980</v>
      </c>
      <c r="B210" s="32">
        <v>26</v>
      </c>
      <c r="C210" s="32">
        <v>4</v>
      </c>
      <c r="D210" s="32">
        <f t="shared" si="2"/>
        <v>22</v>
      </c>
    </row>
    <row r="211" spans="1:4" x14ac:dyDescent="0.3">
      <c r="A211" s="31">
        <v>44981</v>
      </c>
      <c r="B211" s="32">
        <v>17</v>
      </c>
      <c r="C211" s="32">
        <v>6</v>
      </c>
      <c r="D211" s="32">
        <f t="shared" si="2"/>
        <v>11</v>
      </c>
    </row>
    <row r="212" spans="1:4" x14ac:dyDescent="0.3">
      <c r="A212" s="31">
        <v>44984</v>
      </c>
      <c r="B212" s="32">
        <v>21</v>
      </c>
      <c r="C212" s="32">
        <v>7</v>
      </c>
      <c r="D212" s="32">
        <f t="shared" si="2"/>
        <v>14</v>
      </c>
    </row>
    <row r="213" spans="1:4" x14ac:dyDescent="0.3">
      <c r="A213" s="31">
        <v>44985</v>
      </c>
      <c r="B213" s="32">
        <v>33</v>
      </c>
      <c r="C213" s="32">
        <v>2</v>
      </c>
      <c r="D213" s="32">
        <f t="shared" si="2"/>
        <v>31</v>
      </c>
    </row>
    <row r="214" spans="1:4" x14ac:dyDescent="0.3">
      <c r="A214" s="31">
        <v>44986</v>
      </c>
      <c r="B214" s="32">
        <v>44</v>
      </c>
      <c r="C214" s="32">
        <v>2</v>
      </c>
      <c r="D214" s="32">
        <f t="shared" si="2"/>
        <v>42</v>
      </c>
    </row>
    <row r="215" spans="1:4" x14ac:dyDescent="0.3">
      <c r="A215" s="31">
        <v>44987</v>
      </c>
      <c r="B215" s="32">
        <v>28</v>
      </c>
      <c r="C215" s="32">
        <v>8</v>
      </c>
      <c r="D215" s="32">
        <f t="shared" si="2"/>
        <v>20</v>
      </c>
    </row>
    <row r="216" spans="1:4" x14ac:dyDescent="0.3">
      <c r="A216" s="31">
        <v>44988</v>
      </c>
      <c r="B216" s="32">
        <v>29</v>
      </c>
      <c r="C216" s="32">
        <v>4</v>
      </c>
      <c r="D216" s="32">
        <f t="shared" si="2"/>
        <v>25</v>
      </c>
    </row>
    <row r="217" spans="1:4" x14ac:dyDescent="0.3">
      <c r="A217" s="31">
        <v>44991</v>
      </c>
      <c r="B217" s="32">
        <v>31</v>
      </c>
      <c r="C217" s="32">
        <v>2</v>
      </c>
      <c r="D217" s="32">
        <f t="shared" si="2"/>
        <v>29</v>
      </c>
    </row>
    <row r="218" spans="1:4" x14ac:dyDescent="0.3">
      <c r="A218" s="31">
        <v>44992</v>
      </c>
      <c r="B218" s="32">
        <v>30</v>
      </c>
      <c r="C218" s="32">
        <v>1</v>
      </c>
      <c r="D218" s="32">
        <f t="shared" si="2"/>
        <v>29</v>
      </c>
    </row>
    <row r="219" spans="1:4" x14ac:dyDescent="0.3">
      <c r="A219" s="31">
        <v>44993</v>
      </c>
      <c r="B219" s="32">
        <v>40</v>
      </c>
      <c r="C219" s="32">
        <v>0</v>
      </c>
      <c r="D219" s="32">
        <f t="shared" si="2"/>
        <v>40</v>
      </c>
    </row>
    <row r="220" spans="1:4" x14ac:dyDescent="0.3">
      <c r="A220" s="31">
        <v>44994</v>
      </c>
      <c r="B220" s="32">
        <v>35</v>
      </c>
      <c r="C220" s="32">
        <v>2</v>
      </c>
      <c r="D220" s="32">
        <f t="shared" si="2"/>
        <v>33</v>
      </c>
    </row>
    <row r="221" spans="1:4" x14ac:dyDescent="0.3">
      <c r="A221" s="31">
        <v>44995</v>
      </c>
      <c r="B221" s="32">
        <v>26</v>
      </c>
      <c r="C221" s="32">
        <v>4</v>
      </c>
      <c r="D221" s="32">
        <f t="shared" si="2"/>
        <v>22</v>
      </c>
    </row>
    <row r="222" spans="1:4" x14ac:dyDescent="0.3">
      <c r="A222" s="31">
        <v>44998</v>
      </c>
      <c r="B222" s="32">
        <v>36</v>
      </c>
      <c r="C222" s="32">
        <v>8</v>
      </c>
      <c r="D222" s="32">
        <f t="shared" si="2"/>
        <v>28</v>
      </c>
    </row>
    <row r="223" spans="1:4" x14ac:dyDescent="0.3">
      <c r="A223" s="31">
        <v>44999</v>
      </c>
      <c r="B223" s="32">
        <v>24</v>
      </c>
      <c r="C223" s="32">
        <v>12</v>
      </c>
      <c r="D223" s="32">
        <f t="shared" si="2"/>
        <v>12</v>
      </c>
    </row>
    <row r="224" spans="1:4" x14ac:dyDescent="0.3">
      <c r="A224" s="31">
        <v>45000</v>
      </c>
      <c r="B224" s="32">
        <v>37</v>
      </c>
      <c r="C224" s="32">
        <v>1</v>
      </c>
      <c r="D224" s="32">
        <f t="shared" si="2"/>
        <v>36</v>
      </c>
    </row>
    <row r="225" spans="1:4" x14ac:dyDescent="0.3">
      <c r="A225" s="31">
        <v>45001</v>
      </c>
      <c r="B225" s="32">
        <v>23</v>
      </c>
      <c r="C225" s="32">
        <v>13</v>
      </c>
      <c r="D225" s="32">
        <f t="shared" si="2"/>
        <v>10</v>
      </c>
    </row>
    <row r="226" spans="1:4" x14ac:dyDescent="0.3">
      <c r="A226" s="31">
        <v>45002</v>
      </c>
      <c r="B226" s="32">
        <v>36</v>
      </c>
      <c r="C226" s="32">
        <v>3</v>
      </c>
      <c r="D226" s="32">
        <f t="shared" si="2"/>
        <v>33</v>
      </c>
    </row>
    <row r="227" spans="1:4" x14ac:dyDescent="0.3">
      <c r="A227" s="31">
        <v>45005</v>
      </c>
      <c r="B227" s="32">
        <v>25</v>
      </c>
      <c r="C227" s="32">
        <v>15</v>
      </c>
      <c r="D227" s="32">
        <f t="shared" si="2"/>
        <v>10</v>
      </c>
    </row>
    <row r="228" spans="1:4" x14ac:dyDescent="0.3">
      <c r="A228" s="31">
        <v>45006</v>
      </c>
      <c r="B228" s="32">
        <v>43</v>
      </c>
      <c r="C228" s="32">
        <v>10</v>
      </c>
      <c r="D228" s="32">
        <f t="shared" si="2"/>
        <v>33</v>
      </c>
    </row>
    <row r="229" spans="1:4" x14ac:dyDescent="0.3">
      <c r="A229" s="31">
        <v>45007</v>
      </c>
      <c r="B229" s="32">
        <v>34</v>
      </c>
      <c r="C229" s="32">
        <v>5</v>
      </c>
      <c r="D229" s="32">
        <f t="shared" si="2"/>
        <v>29</v>
      </c>
    </row>
    <row r="230" spans="1:4" x14ac:dyDescent="0.3">
      <c r="A230" s="31">
        <v>45008</v>
      </c>
      <c r="B230" s="32">
        <v>27</v>
      </c>
      <c r="C230" s="32">
        <v>5</v>
      </c>
      <c r="D230" s="32">
        <f t="shared" si="2"/>
        <v>22</v>
      </c>
    </row>
    <row r="231" spans="1:4" x14ac:dyDescent="0.3">
      <c r="A231" s="31">
        <v>45009</v>
      </c>
      <c r="B231" s="32">
        <v>30</v>
      </c>
      <c r="C231" s="32">
        <v>6</v>
      </c>
      <c r="D231" s="32">
        <f t="shared" si="2"/>
        <v>24</v>
      </c>
    </row>
    <row r="232" spans="1:4" x14ac:dyDescent="0.3">
      <c r="A232" s="31">
        <v>45012</v>
      </c>
      <c r="B232" s="32">
        <v>43</v>
      </c>
      <c r="C232" s="32">
        <v>9</v>
      </c>
      <c r="D232" s="32">
        <f t="shared" si="2"/>
        <v>34</v>
      </c>
    </row>
    <row r="233" spans="1:4" x14ac:dyDescent="0.3">
      <c r="A233" s="31">
        <v>45013</v>
      </c>
      <c r="B233" s="32">
        <v>33</v>
      </c>
      <c r="C233" s="32">
        <v>10</v>
      </c>
      <c r="D233" s="32">
        <f t="shared" si="2"/>
        <v>23</v>
      </c>
    </row>
    <row r="234" spans="1:4" x14ac:dyDescent="0.3">
      <c r="A234" s="31">
        <v>45014</v>
      </c>
      <c r="B234" s="32">
        <v>23</v>
      </c>
      <c r="C234" s="32">
        <v>5</v>
      </c>
      <c r="D234" s="32">
        <f t="shared" si="2"/>
        <v>18</v>
      </c>
    </row>
    <row r="235" spans="1:4" x14ac:dyDescent="0.3">
      <c r="A235" s="31">
        <v>45015</v>
      </c>
      <c r="B235" s="32">
        <v>22</v>
      </c>
      <c r="C235" s="32">
        <v>6</v>
      </c>
      <c r="D235" s="32">
        <f t="shared" si="2"/>
        <v>16</v>
      </c>
    </row>
    <row r="236" spans="1:4" x14ac:dyDescent="0.3">
      <c r="A236" s="31">
        <v>45016</v>
      </c>
      <c r="B236" s="32">
        <v>36</v>
      </c>
      <c r="C236" s="32">
        <v>2</v>
      </c>
      <c r="D236" s="32">
        <f t="shared" si="2"/>
        <v>34</v>
      </c>
    </row>
    <row r="237" spans="1:4" x14ac:dyDescent="0.3">
      <c r="A237" s="31">
        <v>45019</v>
      </c>
      <c r="B237" s="32">
        <v>47</v>
      </c>
      <c r="C237" s="32">
        <v>6</v>
      </c>
      <c r="D237" s="32">
        <f t="shared" si="2"/>
        <v>41</v>
      </c>
    </row>
    <row r="238" spans="1:4" x14ac:dyDescent="0.3">
      <c r="A238" s="31">
        <v>45020</v>
      </c>
      <c r="B238" s="32">
        <v>26</v>
      </c>
      <c r="C238" s="32">
        <v>8</v>
      </c>
      <c r="D238" s="32">
        <f t="shared" si="2"/>
        <v>18</v>
      </c>
    </row>
    <row r="239" spans="1:4" x14ac:dyDescent="0.3">
      <c r="A239" s="31">
        <v>45022</v>
      </c>
      <c r="B239" s="32">
        <v>31</v>
      </c>
      <c r="C239" s="32">
        <v>15</v>
      </c>
      <c r="D239" s="32">
        <f t="shared" si="2"/>
        <v>16</v>
      </c>
    </row>
    <row r="240" spans="1:4" x14ac:dyDescent="0.3">
      <c r="A240" s="31">
        <v>45023</v>
      </c>
      <c r="B240" s="32">
        <v>49</v>
      </c>
      <c r="C240" s="32">
        <v>5</v>
      </c>
      <c r="D240" s="32">
        <f t="shared" si="2"/>
        <v>44</v>
      </c>
    </row>
    <row r="241" spans="1:4" x14ac:dyDescent="0.3">
      <c r="A241" s="31">
        <v>45026</v>
      </c>
      <c r="B241" s="32">
        <v>22</v>
      </c>
      <c r="C241" s="32">
        <v>25</v>
      </c>
      <c r="D241" s="32">
        <f t="shared" si="2"/>
        <v>-3</v>
      </c>
    </row>
    <row r="242" spans="1:4" x14ac:dyDescent="0.3">
      <c r="A242" s="31">
        <v>45027</v>
      </c>
      <c r="B242" s="32">
        <v>33</v>
      </c>
      <c r="C242" s="32">
        <v>9</v>
      </c>
      <c r="D242" s="32">
        <f t="shared" si="2"/>
        <v>24</v>
      </c>
    </row>
    <row r="243" spans="1:4" x14ac:dyDescent="0.3">
      <c r="A243" s="31">
        <v>45028</v>
      </c>
      <c r="B243" s="32">
        <v>60</v>
      </c>
      <c r="C243" s="32">
        <v>7</v>
      </c>
      <c r="D243" s="32">
        <f t="shared" si="2"/>
        <v>53</v>
      </c>
    </row>
    <row r="244" spans="1:4" x14ac:dyDescent="0.3">
      <c r="A244" s="31">
        <v>45029</v>
      </c>
      <c r="B244" s="32">
        <v>36</v>
      </c>
      <c r="C244" s="32">
        <v>9</v>
      </c>
      <c r="D244" s="32">
        <f t="shared" si="2"/>
        <v>27</v>
      </c>
    </row>
    <row r="245" spans="1:4" x14ac:dyDescent="0.3">
      <c r="A245" s="31">
        <v>45030</v>
      </c>
      <c r="B245" s="32">
        <v>38</v>
      </c>
      <c r="C245" s="32">
        <v>4</v>
      </c>
      <c r="D245" s="32">
        <f t="shared" si="2"/>
        <v>34</v>
      </c>
    </row>
    <row r="246" spans="1:4" x14ac:dyDescent="0.3">
      <c r="A246" s="31">
        <v>45033</v>
      </c>
      <c r="B246" s="32">
        <v>38</v>
      </c>
      <c r="C246" s="32">
        <v>20</v>
      </c>
      <c r="D246" s="32">
        <f t="shared" si="2"/>
        <v>18</v>
      </c>
    </row>
    <row r="247" spans="1:4" x14ac:dyDescent="0.3">
      <c r="A247" s="31">
        <v>45034</v>
      </c>
      <c r="B247" s="32">
        <v>23</v>
      </c>
      <c r="C247" s="32">
        <v>15</v>
      </c>
      <c r="D247" s="32">
        <f t="shared" si="2"/>
        <v>8</v>
      </c>
    </row>
    <row r="248" spans="1:4" x14ac:dyDescent="0.3">
      <c r="A248" s="31">
        <v>45035</v>
      </c>
      <c r="B248" s="32">
        <v>32</v>
      </c>
      <c r="C248" s="32">
        <v>18</v>
      </c>
      <c r="D248" s="32">
        <f t="shared" si="2"/>
        <v>14</v>
      </c>
    </row>
    <row r="249" spans="1:4" x14ac:dyDescent="0.3">
      <c r="A249" s="31">
        <v>45036</v>
      </c>
      <c r="B249" s="32">
        <v>36</v>
      </c>
      <c r="C249" s="32">
        <v>25</v>
      </c>
      <c r="D249" s="32">
        <f t="shared" si="2"/>
        <v>11</v>
      </c>
    </row>
    <row r="250" spans="1:4" x14ac:dyDescent="0.3">
      <c r="A250" s="31">
        <v>45037</v>
      </c>
      <c r="B250" s="32">
        <v>12</v>
      </c>
      <c r="C250" s="32">
        <v>44</v>
      </c>
      <c r="D250" s="32">
        <f t="shared" si="2"/>
        <v>-32</v>
      </c>
    </row>
    <row r="251" spans="1:4" x14ac:dyDescent="0.3">
      <c r="A251" s="31">
        <v>45040</v>
      </c>
      <c r="B251" s="32">
        <v>39</v>
      </c>
      <c r="C251" s="32">
        <v>47</v>
      </c>
      <c r="D251" s="32">
        <f t="shared" si="2"/>
        <v>-8</v>
      </c>
    </row>
    <row r="252" spans="1:4" x14ac:dyDescent="0.3">
      <c r="A252" s="31">
        <v>45041</v>
      </c>
      <c r="B252" s="32">
        <v>33</v>
      </c>
      <c r="C252" s="32">
        <v>73</v>
      </c>
      <c r="D252" s="32">
        <f t="shared" si="2"/>
        <v>-40</v>
      </c>
    </row>
    <row r="253" spans="1:4" x14ac:dyDescent="0.3">
      <c r="A253" s="31">
        <v>45042</v>
      </c>
      <c r="B253" s="32">
        <v>57</v>
      </c>
      <c r="C253" s="32">
        <v>52</v>
      </c>
      <c r="D253" s="32">
        <f t="shared" si="2"/>
        <v>5</v>
      </c>
    </row>
    <row r="254" spans="1:4" x14ac:dyDescent="0.3">
      <c r="A254" s="31">
        <v>45043</v>
      </c>
      <c r="B254" s="32">
        <v>40</v>
      </c>
      <c r="C254" s="32">
        <v>56</v>
      </c>
      <c r="D254" s="32">
        <f t="shared" si="2"/>
        <v>-16</v>
      </c>
    </row>
    <row r="255" spans="1:4" x14ac:dyDescent="0.3">
      <c r="A255" s="31">
        <v>45044</v>
      </c>
      <c r="B255" s="32">
        <v>98</v>
      </c>
      <c r="C255" s="32">
        <v>28</v>
      </c>
      <c r="D255" s="32">
        <f t="shared" si="2"/>
        <v>70</v>
      </c>
    </row>
    <row r="256" spans="1:4" x14ac:dyDescent="0.3">
      <c r="A256" s="31">
        <v>45050</v>
      </c>
      <c r="B256" s="32">
        <v>102</v>
      </c>
      <c r="C256" s="32">
        <v>30</v>
      </c>
      <c r="D256" s="32">
        <f t="shared" si="2"/>
        <v>72</v>
      </c>
    </row>
    <row r="257" spans="1:4" x14ac:dyDescent="0.3">
      <c r="A257" s="31">
        <v>45051</v>
      </c>
      <c r="B257" s="32">
        <v>50</v>
      </c>
      <c r="C257" s="32">
        <v>50</v>
      </c>
      <c r="D257" s="32">
        <f t="shared" si="2"/>
        <v>0</v>
      </c>
    </row>
    <row r="258" spans="1:4" x14ac:dyDescent="0.3">
      <c r="A258" s="31">
        <v>45054</v>
      </c>
      <c r="B258" s="32">
        <v>62</v>
      </c>
      <c r="C258" s="32">
        <v>51</v>
      </c>
      <c r="D258" s="32">
        <f t="shared" si="2"/>
        <v>11</v>
      </c>
    </row>
    <row r="259" spans="1:4" x14ac:dyDescent="0.3">
      <c r="A259" s="31">
        <v>45055</v>
      </c>
      <c r="B259" s="32">
        <v>24</v>
      </c>
      <c r="C259" s="32">
        <v>72</v>
      </c>
      <c r="D259" s="32">
        <f t="shared" si="2"/>
        <v>-48</v>
      </c>
    </row>
    <row r="260" spans="1:4" x14ac:dyDescent="0.3">
      <c r="A260" s="31">
        <v>45056</v>
      </c>
      <c r="B260" s="32">
        <v>40</v>
      </c>
      <c r="C260" s="32">
        <v>49</v>
      </c>
      <c r="D260" s="32">
        <f t="shared" si="2"/>
        <v>-9</v>
      </c>
    </row>
    <row r="261" spans="1:4" x14ac:dyDescent="0.3">
      <c r="A261" s="31">
        <v>45057</v>
      </c>
      <c r="B261" s="32">
        <v>62</v>
      </c>
      <c r="C261" s="32">
        <v>37</v>
      </c>
      <c r="D261" s="32">
        <f t="shared" si="2"/>
        <v>25</v>
      </c>
    </row>
    <row r="262" spans="1:4" x14ac:dyDescent="0.3">
      <c r="A262" s="31">
        <v>45058</v>
      </c>
      <c r="B262" s="32">
        <v>31</v>
      </c>
      <c r="C262" s="32">
        <v>37</v>
      </c>
      <c r="D262" s="32">
        <f t="shared" si="2"/>
        <v>-6</v>
      </c>
    </row>
    <row r="263" spans="1:4" x14ac:dyDescent="0.3">
      <c r="A263" s="31">
        <v>45061</v>
      </c>
      <c r="B263" s="32">
        <v>39</v>
      </c>
      <c r="C263" s="32">
        <v>38</v>
      </c>
      <c r="D263" s="32">
        <f t="shared" si="2"/>
        <v>1</v>
      </c>
    </row>
    <row r="264" spans="1:4" x14ac:dyDescent="0.3">
      <c r="A264" s="31">
        <v>45062</v>
      </c>
      <c r="B264" s="32">
        <v>26</v>
      </c>
      <c r="C264" s="32">
        <v>65</v>
      </c>
      <c r="D264" s="32">
        <f t="shared" si="2"/>
        <v>-39</v>
      </c>
    </row>
    <row r="265" spans="1:4" x14ac:dyDescent="0.3">
      <c r="A265" s="31">
        <v>45063</v>
      </c>
      <c r="B265" s="32">
        <v>47</v>
      </c>
      <c r="C265" s="32">
        <v>35</v>
      </c>
      <c r="D265" s="32">
        <f t="shared" si="2"/>
        <v>12</v>
      </c>
    </row>
    <row r="266" spans="1:4" x14ac:dyDescent="0.3">
      <c r="A266" s="31">
        <v>45064</v>
      </c>
      <c r="B266" s="32">
        <v>49</v>
      </c>
      <c r="C266" s="32">
        <v>21</v>
      </c>
      <c r="D266" s="32">
        <f t="shared" si="2"/>
        <v>28</v>
      </c>
    </row>
    <row r="267" spans="1:4" x14ac:dyDescent="0.3">
      <c r="A267" s="31">
        <v>45065</v>
      </c>
      <c r="B267" s="32">
        <v>36</v>
      </c>
      <c r="C267" s="32">
        <v>22</v>
      </c>
      <c r="D267" s="32">
        <f t="shared" si="2"/>
        <v>14</v>
      </c>
    </row>
    <row r="268" spans="1:4" x14ac:dyDescent="0.3">
      <c r="A268" s="31">
        <v>45068</v>
      </c>
      <c r="B268" s="32">
        <v>50</v>
      </c>
      <c r="C268" s="32">
        <v>23</v>
      </c>
      <c r="D268" s="32">
        <f t="shared" si="2"/>
        <v>27</v>
      </c>
    </row>
    <row r="269" spans="1:4" x14ac:dyDescent="0.3">
      <c r="A269" s="31">
        <v>45069</v>
      </c>
      <c r="B269" s="32">
        <v>44</v>
      </c>
      <c r="C269" s="32">
        <v>12</v>
      </c>
      <c r="D269" s="32">
        <f t="shared" si="2"/>
        <v>32</v>
      </c>
    </row>
    <row r="270" spans="1:4" x14ac:dyDescent="0.3">
      <c r="A270" s="31">
        <v>45070</v>
      </c>
      <c r="B270" s="32">
        <v>47</v>
      </c>
      <c r="C270" s="32">
        <v>24</v>
      </c>
      <c r="D270" s="32">
        <f t="shared" si="2"/>
        <v>23</v>
      </c>
    </row>
    <row r="271" spans="1:4" x14ac:dyDescent="0.3">
      <c r="A271" s="31">
        <v>45071</v>
      </c>
      <c r="B271" s="32">
        <v>49</v>
      </c>
      <c r="C271" s="32">
        <v>36</v>
      </c>
      <c r="D271" s="32">
        <f t="shared" si="2"/>
        <v>13</v>
      </c>
    </row>
    <row r="272" spans="1:4" x14ac:dyDescent="0.3">
      <c r="A272" s="31">
        <v>45072</v>
      </c>
      <c r="B272" s="32">
        <v>52</v>
      </c>
      <c r="C272" s="32">
        <v>25</v>
      </c>
      <c r="D272" s="32">
        <f t="shared" si="2"/>
        <v>27</v>
      </c>
    </row>
    <row r="273" spans="1:4" x14ac:dyDescent="0.3">
      <c r="A273" s="31">
        <v>45075</v>
      </c>
      <c r="B273" s="32">
        <v>41</v>
      </c>
      <c r="C273" s="32">
        <v>43</v>
      </c>
      <c r="D273" s="32">
        <f t="shared" si="2"/>
        <v>-2</v>
      </c>
    </row>
    <row r="274" spans="1:4" x14ac:dyDescent="0.3">
      <c r="A274" s="31">
        <v>45076</v>
      </c>
      <c r="B274" s="32">
        <v>50</v>
      </c>
      <c r="C274" s="32">
        <v>25</v>
      </c>
      <c r="D274" s="32">
        <f t="shared" si="2"/>
        <v>25</v>
      </c>
    </row>
    <row r="275" spans="1:4" x14ac:dyDescent="0.3">
      <c r="A275" s="31">
        <v>45077</v>
      </c>
      <c r="B275" s="32">
        <v>61</v>
      </c>
      <c r="C275" s="32">
        <v>20</v>
      </c>
      <c r="D275" s="32">
        <f t="shared" si="2"/>
        <v>41</v>
      </c>
    </row>
    <row r="276" spans="1:4" x14ac:dyDescent="0.3">
      <c r="A276" s="31">
        <v>45078</v>
      </c>
      <c r="B276" s="32">
        <v>52</v>
      </c>
      <c r="C276" s="32">
        <v>25</v>
      </c>
      <c r="D276" s="32">
        <f t="shared" si="2"/>
        <v>27</v>
      </c>
    </row>
    <row r="277" spans="1:4" x14ac:dyDescent="0.3">
      <c r="A277" s="31">
        <v>45079</v>
      </c>
      <c r="B277" s="32">
        <v>67</v>
      </c>
      <c r="C277" s="32">
        <v>13</v>
      </c>
      <c r="D277" s="32">
        <f t="shared" si="2"/>
        <v>54</v>
      </c>
    </row>
    <row r="278" spans="1:4" x14ac:dyDescent="0.3">
      <c r="A278" s="31">
        <v>45082</v>
      </c>
      <c r="B278" s="32">
        <v>71</v>
      </c>
      <c r="C278" s="32">
        <v>11</v>
      </c>
      <c r="D278" s="32">
        <f t="shared" si="2"/>
        <v>60</v>
      </c>
    </row>
    <row r="279" spans="1:4" x14ac:dyDescent="0.3">
      <c r="A279" s="31">
        <v>45083</v>
      </c>
      <c r="B279" s="32">
        <v>50</v>
      </c>
      <c r="C279" s="32">
        <v>19</v>
      </c>
      <c r="D279" s="32">
        <f t="shared" si="2"/>
        <v>31</v>
      </c>
    </row>
    <row r="280" spans="1:4" x14ac:dyDescent="0.3">
      <c r="A280" s="31">
        <v>45084</v>
      </c>
      <c r="B280" s="32">
        <v>77</v>
      </c>
      <c r="C280" s="32">
        <v>7</v>
      </c>
      <c r="D280" s="32">
        <f t="shared" si="2"/>
        <v>70</v>
      </c>
    </row>
    <row r="281" spans="1:4" x14ac:dyDescent="0.3">
      <c r="A281" s="31">
        <v>45085</v>
      </c>
      <c r="B281" s="32">
        <v>39</v>
      </c>
      <c r="C281" s="32">
        <v>18</v>
      </c>
      <c r="D281" s="32">
        <f t="shared" si="2"/>
        <v>21</v>
      </c>
    </row>
    <row r="282" spans="1:4" x14ac:dyDescent="0.3">
      <c r="A282" s="31">
        <v>45086</v>
      </c>
      <c r="B282" s="32">
        <v>74</v>
      </c>
      <c r="C282" s="32">
        <v>11</v>
      </c>
      <c r="D282" s="32">
        <f t="shared" si="2"/>
        <v>63</v>
      </c>
    </row>
    <row r="283" spans="1:4" x14ac:dyDescent="0.3">
      <c r="A283" s="31">
        <v>45089</v>
      </c>
      <c r="B283" s="32">
        <v>71</v>
      </c>
      <c r="C283" s="32">
        <v>13</v>
      </c>
      <c r="D283" s="32">
        <f t="shared" si="2"/>
        <v>58</v>
      </c>
    </row>
    <row r="284" spans="1:4" x14ac:dyDescent="0.3">
      <c r="A284" s="31">
        <v>45090</v>
      </c>
      <c r="B284" s="32">
        <v>55</v>
      </c>
      <c r="C284" s="32">
        <v>4</v>
      </c>
      <c r="D284" s="32">
        <f t="shared" si="2"/>
        <v>51</v>
      </c>
    </row>
    <row r="285" spans="1:4" x14ac:dyDescent="0.3">
      <c r="A285" s="31">
        <v>45091</v>
      </c>
      <c r="B285" s="32">
        <v>56</v>
      </c>
      <c r="C285" s="32">
        <v>3</v>
      </c>
      <c r="D285" s="32">
        <f t="shared" si="2"/>
        <v>53</v>
      </c>
    </row>
    <row r="286" spans="1:4" x14ac:dyDescent="0.3">
      <c r="A286" s="31">
        <v>45092</v>
      </c>
      <c r="B286" s="32">
        <v>45</v>
      </c>
      <c r="C286" s="32">
        <v>7</v>
      </c>
      <c r="D286" s="32">
        <f t="shared" si="2"/>
        <v>38</v>
      </c>
    </row>
    <row r="287" spans="1:4" x14ac:dyDescent="0.3">
      <c r="A287" s="31">
        <v>45093</v>
      </c>
      <c r="B287" s="32">
        <v>63</v>
      </c>
      <c r="C287" s="32">
        <v>3</v>
      </c>
      <c r="D287" s="32">
        <f t="shared" si="2"/>
        <v>60</v>
      </c>
    </row>
    <row r="288" spans="1:4" x14ac:dyDescent="0.3">
      <c r="A288" s="31">
        <v>45096</v>
      </c>
      <c r="B288" s="32">
        <v>54</v>
      </c>
      <c r="C288" s="32">
        <v>6</v>
      </c>
      <c r="D288" s="32">
        <f t="shared" si="2"/>
        <v>48</v>
      </c>
    </row>
    <row r="289" spans="1:4" x14ac:dyDescent="0.3">
      <c r="A289" s="31">
        <v>45097</v>
      </c>
      <c r="B289" s="32">
        <v>42</v>
      </c>
      <c r="C289" s="32">
        <v>11</v>
      </c>
      <c r="D289" s="32">
        <f t="shared" si="2"/>
        <v>31</v>
      </c>
    </row>
    <row r="290" spans="1:4" x14ac:dyDescent="0.3">
      <c r="A290" s="31">
        <v>45098</v>
      </c>
      <c r="B290" s="32">
        <v>47</v>
      </c>
      <c r="C290" s="32">
        <v>20</v>
      </c>
      <c r="D290" s="32">
        <f t="shared" si="2"/>
        <v>27</v>
      </c>
    </row>
    <row r="291" spans="1:4" x14ac:dyDescent="0.3">
      <c r="A291" s="31">
        <v>45103</v>
      </c>
      <c r="B291" s="32">
        <v>46</v>
      </c>
      <c r="C291" s="32">
        <v>31</v>
      </c>
      <c r="D291" s="32">
        <f t="shared" ref="D291:D370" si="3">B291-C291</f>
        <v>15</v>
      </c>
    </row>
    <row r="292" spans="1:4" x14ac:dyDescent="0.3">
      <c r="A292" s="31">
        <v>45104</v>
      </c>
      <c r="B292" s="32">
        <v>77</v>
      </c>
      <c r="C292" s="32">
        <v>4</v>
      </c>
      <c r="D292" s="32">
        <f t="shared" si="3"/>
        <v>73</v>
      </c>
    </row>
    <row r="293" spans="1:4" x14ac:dyDescent="0.3">
      <c r="A293" s="31">
        <v>45105</v>
      </c>
      <c r="B293" s="32">
        <v>42</v>
      </c>
      <c r="C293" s="32">
        <v>11</v>
      </c>
      <c r="D293" s="32">
        <f t="shared" si="3"/>
        <v>31</v>
      </c>
    </row>
    <row r="294" spans="1:4" x14ac:dyDescent="0.3">
      <c r="A294" s="31">
        <v>45106</v>
      </c>
      <c r="B294" s="32">
        <v>64</v>
      </c>
      <c r="C294" s="32">
        <v>2</v>
      </c>
      <c r="D294" s="32">
        <f t="shared" si="3"/>
        <v>62</v>
      </c>
    </row>
    <row r="295" spans="1:4" x14ac:dyDescent="0.3">
      <c r="A295" s="31">
        <v>45107</v>
      </c>
      <c r="B295" s="32">
        <v>60</v>
      </c>
      <c r="C295" s="32">
        <v>2</v>
      </c>
      <c r="D295" s="32">
        <f t="shared" si="3"/>
        <v>58</v>
      </c>
    </row>
    <row r="296" spans="1:4" x14ac:dyDescent="0.3">
      <c r="A296" s="31">
        <v>45110</v>
      </c>
      <c r="B296" s="32">
        <v>58</v>
      </c>
      <c r="C296" s="32">
        <v>11</v>
      </c>
      <c r="D296" s="32">
        <f t="shared" si="3"/>
        <v>47</v>
      </c>
    </row>
    <row r="297" spans="1:4" x14ac:dyDescent="0.3">
      <c r="A297" s="31">
        <v>45111</v>
      </c>
      <c r="B297" s="32">
        <v>60</v>
      </c>
      <c r="C297" s="32">
        <v>5</v>
      </c>
      <c r="D297" s="32">
        <f t="shared" si="3"/>
        <v>55</v>
      </c>
    </row>
    <row r="298" spans="1:4" x14ac:dyDescent="0.3">
      <c r="A298" s="31">
        <v>45112</v>
      </c>
      <c r="B298" s="32">
        <v>34</v>
      </c>
      <c r="C298" s="32">
        <v>8</v>
      </c>
      <c r="D298" s="32">
        <f t="shared" si="3"/>
        <v>26</v>
      </c>
    </row>
    <row r="299" spans="1:4" x14ac:dyDescent="0.3">
      <c r="A299" s="31">
        <v>45113</v>
      </c>
      <c r="B299" s="32">
        <v>38</v>
      </c>
      <c r="C299" s="32">
        <v>6</v>
      </c>
      <c r="D299" s="32">
        <f t="shared" si="3"/>
        <v>32</v>
      </c>
    </row>
    <row r="300" spans="1:4" x14ac:dyDescent="0.3">
      <c r="A300" s="31">
        <v>45114</v>
      </c>
      <c r="B300" s="32">
        <v>27</v>
      </c>
      <c r="C300" s="32">
        <v>9</v>
      </c>
      <c r="D300" s="32">
        <f t="shared" si="3"/>
        <v>18</v>
      </c>
    </row>
    <row r="301" spans="1:4" x14ac:dyDescent="0.3">
      <c r="A301" s="31">
        <v>45117</v>
      </c>
      <c r="B301" s="32">
        <v>42</v>
      </c>
      <c r="C301" s="32">
        <v>11</v>
      </c>
      <c r="D301" s="32">
        <f t="shared" si="3"/>
        <v>31</v>
      </c>
    </row>
    <row r="302" spans="1:4" x14ac:dyDescent="0.3">
      <c r="A302" s="31">
        <v>45118</v>
      </c>
      <c r="B302" s="32">
        <v>47</v>
      </c>
      <c r="C302" s="32">
        <v>3</v>
      </c>
      <c r="D302" s="32">
        <f t="shared" si="3"/>
        <v>44</v>
      </c>
    </row>
    <row r="303" spans="1:4" x14ac:dyDescent="0.3">
      <c r="A303" s="31">
        <v>45119</v>
      </c>
      <c r="B303" s="32">
        <v>35</v>
      </c>
      <c r="C303" s="32">
        <v>10</v>
      </c>
      <c r="D303" s="32">
        <f t="shared" si="3"/>
        <v>25</v>
      </c>
    </row>
    <row r="304" spans="1:4" x14ac:dyDescent="0.3">
      <c r="A304" s="31">
        <v>45120</v>
      </c>
      <c r="B304" s="32">
        <v>40</v>
      </c>
      <c r="C304" s="32">
        <v>11</v>
      </c>
      <c r="D304" s="32">
        <f t="shared" si="3"/>
        <v>29</v>
      </c>
    </row>
    <row r="305" spans="1:4" x14ac:dyDescent="0.3">
      <c r="A305" s="31">
        <v>45121</v>
      </c>
      <c r="B305" s="32">
        <v>43</v>
      </c>
      <c r="C305" s="32">
        <v>12</v>
      </c>
      <c r="D305" s="32">
        <f t="shared" si="3"/>
        <v>31</v>
      </c>
    </row>
    <row r="306" spans="1:4" x14ac:dyDescent="0.3">
      <c r="A306" s="31">
        <v>45124</v>
      </c>
      <c r="B306" s="32">
        <v>33</v>
      </c>
      <c r="C306" s="32">
        <v>18</v>
      </c>
      <c r="D306" s="32">
        <f t="shared" si="3"/>
        <v>15</v>
      </c>
    </row>
    <row r="307" spans="1:4" x14ac:dyDescent="0.3">
      <c r="A307" s="31">
        <v>45125</v>
      </c>
      <c r="B307" s="32">
        <v>21</v>
      </c>
      <c r="C307" s="32">
        <v>2</v>
      </c>
      <c r="D307" s="32">
        <f t="shared" si="3"/>
        <v>19</v>
      </c>
    </row>
    <row r="308" spans="1:4" x14ac:dyDescent="0.3">
      <c r="A308" s="31">
        <v>45126</v>
      </c>
      <c r="B308" s="32">
        <v>23</v>
      </c>
      <c r="C308" s="32">
        <v>2</v>
      </c>
      <c r="D308" s="32">
        <f t="shared" si="3"/>
        <v>21</v>
      </c>
    </row>
    <row r="309" spans="1:4" x14ac:dyDescent="0.3">
      <c r="A309" s="31">
        <v>45127</v>
      </c>
      <c r="B309" s="32">
        <v>30</v>
      </c>
      <c r="C309" s="32">
        <v>4</v>
      </c>
      <c r="D309" s="32">
        <f t="shared" si="3"/>
        <v>26</v>
      </c>
    </row>
    <row r="310" spans="1:4" x14ac:dyDescent="0.3">
      <c r="A310" s="31">
        <v>45128</v>
      </c>
      <c r="B310" s="32">
        <v>35</v>
      </c>
      <c r="C310" s="32">
        <v>16</v>
      </c>
      <c r="D310" s="32">
        <f t="shared" si="3"/>
        <v>19</v>
      </c>
    </row>
    <row r="311" spans="1:4" x14ac:dyDescent="0.3">
      <c r="A311" s="31">
        <v>45131</v>
      </c>
      <c r="B311" s="32">
        <v>27</v>
      </c>
      <c r="C311" s="32">
        <v>11</v>
      </c>
      <c r="D311" s="32">
        <f t="shared" si="3"/>
        <v>16</v>
      </c>
    </row>
    <row r="312" spans="1:4" x14ac:dyDescent="0.3">
      <c r="A312" s="31">
        <v>45132</v>
      </c>
      <c r="B312" s="32">
        <v>62</v>
      </c>
      <c r="C312" s="32">
        <v>0</v>
      </c>
      <c r="D312" s="32">
        <f t="shared" si="3"/>
        <v>62</v>
      </c>
    </row>
    <row r="313" spans="1:4" x14ac:dyDescent="0.3">
      <c r="A313" s="31">
        <v>45133</v>
      </c>
      <c r="B313" s="32">
        <v>45</v>
      </c>
      <c r="C313" s="32">
        <v>3</v>
      </c>
      <c r="D313" s="32">
        <f t="shared" si="3"/>
        <v>42</v>
      </c>
    </row>
    <row r="314" spans="1:4" x14ac:dyDescent="0.3">
      <c r="A314" s="31">
        <v>45134</v>
      </c>
      <c r="B314" s="32">
        <v>25</v>
      </c>
      <c r="C314" s="32">
        <v>5</v>
      </c>
      <c r="D314" s="32">
        <f t="shared" si="3"/>
        <v>20</v>
      </c>
    </row>
    <row r="315" spans="1:4" x14ac:dyDescent="0.3">
      <c r="A315" s="31">
        <v>45135</v>
      </c>
      <c r="B315" s="32">
        <v>50</v>
      </c>
      <c r="C315" s="32">
        <v>1</v>
      </c>
      <c r="D315" s="32">
        <f t="shared" si="3"/>
        <v>49</v>
      </c>
    </row>
    <row r="316" spans="1:4" x14ac:dyDescent="0.3">
      <c r="A316" s="31">
        <v>45138</v>
      </c>
      <c r="B316" s="32">
        <v>56</v>
      </c>
      <c r="C316" s="32">
        <v>2</v>
      </c>
      <c r="D316" s="32">
        <f t="shared" si="3"/>
        <v>54</v>
      </c>
    </row>
    <row r="317" spans="1:4" x14ac:dyDescent="0.3">
      <c r="A317" s="31">
        <v>45139</v>
      </c>
      <c r="B317" s="32">
        <v>39</v>
      </c>
      <c r="C317" s="32">
        <v>3</v>
      </c>
      <c r="D317" s="32">
        <f t="shared" si="3"/>
        <v>36</v>
      </c>
    </row>
    <row r="318" spans="1:4" x14ac:dyDescent="0.3">
      <c r="A318" s="31">
        <v>45140</v>
      </c>
      <c r="B318" s="32">
        <v>33</v>
      </c>
      <c r="C318" s="32">
        <v>0</v>
      </c>
      <c r="D318" s="32">
        <f t="shared" si="3"/>
        <v>33</v>
      </c>
    </row>
    <row r="319" spans="1:4" x14ac:dyDescent="0.3">
      <c r="A319" s="31">
        <v>45141</v>
      </c>
      <c r="B319" s="32">
        <v>27</v>
      </c>
      <c r="C319" s="32">
        <v>6</v>
      </c>
      <c r="D319" s="32">
        <f t="shared" si="3"/>
        <v>21</v>
      </c>
    </row>
    <row r="320" spans="1:4" x14ac:dyDescent="0.3">
      <c r="A320" s="31">
        <v>45142</v>
      </c>
      <c r="B320" s="32">
        <v>22</v>
      </c>
      <c r="C320" s="32">
        <v>1</v>
      </c>
      <c r="D320" s="32">
        <f t="shared" si="3"/>
        <v>21</v>
      </c>
    </row>
    <row r="321" spans="1:4" x14ac:dyDescent="0.3">
      <c r="A321" s="31">
        <v>45145</v>
      </c>
      <c r="B321" s="32">
        <v>34</v>
      </c>
      <c r="C321" s="32">
        <v>10</v>
      </c>
      <c r="D321" s="32">
        <f t="shared" si="3"/>
        <v>24</v>
      </c>
    </row>
    <row r="322" spans="1:4" x14ac:dyDescent="0.3">
      <c r="A322" s="31">
        <v>45146</v>
      </c>
      <c r="B322" s="32">
        <v>37</v>
      </c>
      <c r="C322" s="32">
        <v>7</v>
      </c>
      <c r="D322" s="32">
        <f t="shared" si="3"/>
        <v>30</v>
      </c>
    </row>
    <row r="323" spans="1:4" x14ac:dyDescent="0.3">
      <c r="A323" s="31">
        <v>45147</v>
      </c>
      <c r="B323" s="32">
        <v>29</v>
      </c>
      <c r="C323" s="32">
        <v>2</v>
      </c>
      <c r="D323" s="32">
        <f t="shared" si="3"/>
        <v>27</v>
      </c>
    </row>
    <row r="324" spans="1:4" x14ac:dyDescent="0.3">
      <c r="A324" s="31">
        <v>45148</v>
      </c>
      <c r="B324" s="32">
        <v>34</v>
      </c>
      <c r="C324" s="32">
        <v>2</v>
      </c>
      <c r="D324" s="32">
        <f t="shared" si="3"/>
        <v>32</v>
      </c>
    </row>
    <row r="325" spans="1:4" x14ac:dyDescent="0.3">
      <c r="A325" s="31">
        <v>45149</v>
      </c>
      <c r="B325" s="32">
        <v>26</v>
      </c>
      <c r="C325" s="32">
        <v>4</v>
      </c>
      <c r="D325" s="32">
        <f t="shared" si="3"/>
        <v>22</v>
      </c>
    </row>
    <row r="326" spans="1:4" x14ac:dyDescent="0.3">
      <c r="A326" s="31">
        <v>45152</v>
      </c>
      <c r="B326" s="32">
        <v>36</v>
      </c>
      <c r="C326" s="32">
        <v>7</v>
      </c>
      <c r="D326" s="32">
        <f t="shared" si="3"/>
        <v>29</v>
      </c>
    </row>
    <row r="327" spans="1:4" x14ac:dyDescent="0.3">
      <c r="A327" s="31">
        <v>45153</v>
      </c>
      <c r="B327" s="32">
        <v>39</v>
      </c>
      <c r="C327" s="32">
        <v>3</v>
      </c>
      <c r="D327" s="32">
        <f t="shared" si="3"/>
        <v>36</v>
      </c>
    </row>
    <row r="328" spans="1:4" x14ac:dyDescent="0.3">
      <c r="A328" s="31">
        <v>45154</v>
      </c>
      <c r="B328" s="32">
        <v>34</v>
      </c>
      <c r="C328" s="32">
        <v>5</v>
      </c>
      <c r="D328" s="32">
        <f t="shared" si="3"/>
        <v>29</v>
      </c>
    </row>
    <row r="329" spans="1:4" x14ac:dyDescent="0.3">
      <c r="A329" s="31">
        <v>45155</v>
      </c>
      <c r="B329" s="32">
        <v>43</v>
      </c>
      <c r="C329" s="32">
        <v>1</v>
      </c>
      <c r="D329" s="32">
        <f t="shared" si="3"/>
        <v>42</v>
      </c>
    </row>
    <row r="330" spans="1:4" x14ac:dyDescent="0.3">
      <c r="A330" s="31">
        <v>45156</v>
      </c>
      <c r="B330" s="32">
        <v>37</v>
      </c>
      <c r="C330" s="32">
        <v>9</v>
      </c>
      <c r="D330" s="32">
        <f t="shared" si="3"/>
        <v>28</v>
      </c>
    </row>
    <row r="331" spans="1:4" x14ac:dyDescent="0.3">
      <c r="A331" s="31">
        <v>45159</v>
      </c>
      <c r="B331" s="32">
        <v>38</v>
      </c>
      <c r="C331" s="32">
        <v>6</v>
      </c>
      <c r="D331" s="32">
        <f t="shared" si="3"/>
        <v>32</v>
      </c>
    </row>
    <row r="332" spans="1:4" x14ac:dyDescent="0.3">
      <c r="A332" s="31">
        <v>45160</v>
      </c>
      <c r="B332" s="32">
        <v>45</v>
      </c>
      <c r="C332" s="32">
        <v>14</v>
      </c>
      <c r="D332" s="32">
        <f t="shared" si="3"/>
        <v>31</v>
      </c>
    </row>
    <row r="333" spans="1:4" x14ac:dyDescent="0.3">
      <c r="A333" s="31">
        <v>45161</v>
      </c>
      <c r="B333" s="32">
        <v>36</v>
      </c>
      <c r="C333" s="32">
        <v>19</v>
      </c>
      <c r="D333" s="32">
        <f t="shared" si="3"/>
        <v>17</v>
      </c>
    </row>
    <row r="334" spans="1:4" x14ac:dyDescent="0.3">
      <c r="A334" s="31">
        <v>45162</v>
      </c>
      <c r="B334" s="32">
        <v>36</v>
      </c>
      <c r="C334" s="32">
        <v>13</v>
      </c>
      <c r="D334" s="32">
        <f t="shared" si="3"/>
        <v>23</v>
      </c>
    </row>
    <row r="335" spans="1:4" x14ac:dyDescent="0.3">
      <c r="A335" s="31">
        <v>45163</v>
      </c>
      <c r="B335" s="32">
        <v>23</v>
      </c>
      <c r="C335" s="32">
        <v>39</v>
      </c>
      <c r="D335" s="32">
        <f t="shared" si="3"/>
        <v>-16</v>
      </c>
    </row>
    <row r="336" spans="1:4" x14ac:dyDescent="0.3">
      <c r="A336" s="31">
        <v>45166</v>
      </c>
      <c r="B336" s="32">
        <v>37</v>
      </c>
      <c r="C336" s="32">
        <v>11</v>
      </c>
      <c r="D336" s="32">
        <f t="shared" si="3"/>
        <v>26</v>
      </c>
    </row>
    <row r="337" spans="1:4" x14ac:dyDescent="0.3">
      <c r="A337" s="31">
        <v>45167</v>
      </c>
      <c r="B337" s="32">
        <v>82</v>
      </c>
      <c r="C337" s="32">
        <v>1</v>
      </c>
      <c r="D337" s="32">
        <f t="shared" si="3"/>
        <v>81</v>
      </c>
    </row>
    <row r="338" spans="1:4" x14ac:dyDescent="0.3">
      <c r="A338" s="31">
        <v>45168</v>
      </c>
      <c r="B338" s="32">
        <v>47</v>
      </c>
      <c r="C338" s="32">
        <v>3</v>
      </c>
      <c r="D338" s="32">
        <f t="shared" si="3"/>
        <v>44</v>
      </c>
    </row>
    <row r="339" spans="1:4" x14ac:dyDescent="0.3">
      <c r="A339" s="31">
        <v>45169</v>
      </c>
      <c r="B339" s="32">
        <v>38</v>
      </c>
      <c r="C339" s="32">
        <v>9</v>
      </c>
      <c r="D339" s="32">
        <f t="shared" si="3"/>
        <v>29</v>
      </c>
    </row>
    <row r="340" spans="1:4" x14ac:dyDescent="0.3">
      <c r="A340" s="31">
        <v>45170</v>
      </c>
      <c r="B340" s="32">
        <v>39</v>
      </c>
      <c r="C340" s="32">
        <v>0</v>
      </c>
      <c r="D340" s="32">
        <f t="shared" si="3"/>
        <v>39</v>
      </c>
    </row>
    <row r="341" spans="1:4" x14ac:dyDescent="0.3">
      <c r="A341" s="31">
        <v>45173</v>
      </c>
      <c r="B341" s="32">
        <v>57</v>
      </c>
      <c r="C341" s="32">
        <v>2</v>
      </c>
      <c r="D341" s="32">
        <f t="shared" si="3"/>
        <v>55</v>
      </c>
    </row>
    <row r="342" spans="1:4" x14ac:dyDescent="0.3">
      <c r="A342" s="31">
        <v>45174</v>
      </c>
      <c r="B342" s="32">
        <v>23</v>
      </c>
      <c r="C342" s="32">
        <v>5</v>
      </c>
      <c r="D342" s="32">
        <f t="shared" si="3"/>
        <v>18</v>
      </c>
    </row>
    <row r="343" spans="1:4" x14ac:dyDescent="0.3">
      <c r="A343" s="31">
        <v>45175</v>
      </c>
      <c r="B343" s="32">
        <v>38</v>
      </c>
      <c r="C343" s="32">
        <v>5</v>
      </c>
      <c r="D343" s="32">
        <f t="shared" si="3"/>
        <v>33</v>
      </c>
    </row>
    <row r="344" spans="1:4" x14ac:dyDescent="0.3">
      <c r="A344" s="31">
        <v>45176</v>
      </c>
      <c r="B344" s="32">
        <v>23</v>
      </c>
      <c r="C344" s="32">
        <v>4</v>
      </c>
      <c r="D344" s="32">
        <f t="shared" si="3"/>
        <v>19</v>
      </c>
    </row>
    <row r="345" spans="1:4" x14ac:dyDescent="0.3">
      <c r="A345" s="31">
        <v>45177</v>
      </c>
      <c r="B345" s="32">
        <v>44</v>
      </c>
      <c r="C345" s="32">
        <v>5</v>
      </c>
      <c r="D345" s="32">
        <f t="shared" si="3"/>
        <v>39</v>
      </c>
    </row>
    <row r="346" spans="1:4" x14ac:dyDescent="0.3">
      <c r="A346" s="31">
        <v>45180</v>
      </c>
      <c r="B346" s="32">
        <v>36</v>
      </c>
      <c r="C346" s="32">
        <v>6</v>
      </c>
      <c r="D346" s="32">
        <f t="shared" si="3"/>
        <v>30</v>
      </c>
    </row>
    <row r="347" spans="1:4" x14ac:dyDescent="0.3">
      <c r="A347" s="31">
        <v>45181</v>
      </c>
      <c r="B347" s="32">
        <v>35</v>
      </c>
      <c r="C347" s="32">
        <v>2</v>
      </c>
      <c r="D347" s="32">
        <f t="shared" si="3"/>
        <v>33</v>
      </c>
    </row>
    <row r="348" spans="1:4" x14ac:dyDescent="0.3">
      <c r="A348" s="31">
        <v>45182</v>
      </c>
      <c r="B348" s="32">
        <v>28</v>
      </c>
      <c r="C348" s="32">
        <v>0</v>
      </c>
      <c r="D348" s="32">
        <f t="shared" si="3"/>
        <v>28</v>
      </c>
    </row>
    <row r="349" spans="1:4" x14ac:dyDescent="0.3">
      <c r="A349" s="31">
        <v>45183</v>
      </c>
      <c r="B349" s="32">
        <v>31</v>
      </c>
      <c r="C349" s="32">
        <v>2</v>
      </c>
      <c r="D349" s="32">
        <f t="shared" si="3"/>
        <v>29</v>
      </c>
    </row>
    <row r="350" spans="1:4" x14ac:dyDescent="0.3">
      <c r="A350" s="31">
        <v>45184</v>
      </c>
      <c r="B350" s="32">
        <v>46</v>
      </c>
      <c r="C350" s="32">
        <v>1</v>
      </c>
      <c r="D350" s="32">
        <f t="shared" si="3"/>
        <v>45</v>
      </c>
    </row>
    <row r="351" spans="1:4" x14ac:dyDescent="0.3">
      <c r="A351" s="31">
        <v>45187</v>
      </c>
      <c r="B351" s="32">
        <v>53</v>
      </c>
      <c r="C351" s="32">
        <v>14</v>
      </c>
      <c r="D351" s="32">
        <f t="shared" si="3"/>
        <v>39</v>
      </c>
    </row>
    <row r="352" spans="1:4" x14ac:dyDescent="0.3">
      <c r="A352" s="31">
        <v>45188</v>
      </c>
      <c r="B352" s="32">
        <v>33</v>
      </c>
      <c r="C352" s="32">
        <v>9</v>
      </c>
      <c r="D352" s="32">
        <f t="shared" si="3"/>
        <v>24</v>
      </c>
    </row>
    <row r="353" spans="1:4" x14ac:dyDescent="0.3">
      <c r="A353" s="31">
        <v>45189</v>
      </c>
      <c r="B353" s="32">
        <v>38</v>
      </c>
      <c r="C353" s="32">
        <v>13</v>
      </c>
      <c r="D353" s="32">
        <f t="shared" si="3"/>
        <v>25</v>
      </c>
    </row>
    <row r="354" spans="1:4" x14ac:dyDescent="0.3">
      <c r="A354" s="31">
        <v>45190</v>
      </c>
      <c r="B354" s="32">
        <v>29</v>
      </c>
      <c r="C354" s="32">
        <v>0</v>
      </c>
      <c r="D354" s="32">
        <f t="shared" si="3"/>
        <v>29</v>
      </c>
    </row>
    <row r="355" spans="1:4" x14ac:dyDescent="0.3">
      <c r="A355" s="31">
        <v>45191</v>
      </c>
      <c r="B355" s="32">
        <v>35</v>
      </c>
      <c r="C355" s="32">
        <v>13</v>
      </c>
      <c r="D355" s="32">
        <f t="shared" si="3"/>
        <v>22</v>
      </c>
    </row>
    <row r="356" spans="1:4" x14ac:dyDescent="0.3">
      <c r="A356" s="31">
        <v>45194</v>
      </c>
      <c r="B356" s="32">
        <v>30</v>
      </c>
      <c r="C356" s="32">
        <v>29</v>
      </c>
      <c r="D356" s="32">
        <f t="shared" si="3"/>
        <v>1</v>
      </c>
    </row>
    <row r="357" spans="1:4" x14ac:dyDescent="0.3">
      <c r="A357" s="31">
        <v>45195</v>
      </c>
      <c r="B357" s="32">
        <v>36</v>
      </c>
      <c r="C357" s="32">
        <v>16</v>
      </c>
      <c r="D357" s="32">
        <f t="shared" si="3"/>
        <v>20</v>
      </c>
    </row>
    <row r="358" spans="1:4" x14ac:dyDescent="0.3">
      <c r="A358" s="31">
        <v>45196</v>
      </c>
      <c r="B358" s="32">
        <v>41</v>
      </c>
      <c r="C358" s="32">
        <v>10</v>
      </c>
      <c r="D358" s="32">
        <f t="shared" si="3"/>
        <v>31</v>
      </c>
    </row>
    <row r="359" spans="1:4" x14ac:dyDescent="0.3">
      <c r="A359" s="31">
        <v>45197</v>
      </c>
      <c r="B359" s="32">
        <v>47</v>
      </c>
      <c r="C359" s="32">
        <v>8</v>
      </c>
      <c r="D359" s="32">
        <f t="shared" si="3"/>
        <v>39</v>
      </c>
    </row>
    <row r="360" spans="1:4" x14ac:dyDescent="0.3">
      <c r="A360" s="31">
        <v>45208</v>
      </c>
      <c r="B360" s="32">
        <v>65</v>
      </c>
      <c r="C360" s="32">
        <v>20</v>
      </c>
      <c r="D360" s="32">
        <f t="shared" si="3"/>
        <v>45</v>
      </c>
    </row>
    <row r="361" spans="1:4" x14ac:dyDescent="0.3">
      <c r="A361" s="31">
        <v>45209</v>
      </c>
      <c r="B361" s="32">
        <v>48</v>
      </c>
      <c r="C361" s="32">
        <v>15</v>
      </c>
      <c r="D361" s="32">
        <f t="shared" si="3"/>
        <v>33</v>
      </c>
    </row>
    <row r="362" spans="1:4" x14ac:dyDescent="0.3">
      <c r="A362" s="31">
        <v>45210</v>
      </c>
      <c r="B362" s="32">
        <v>41</v>
      </c>
      <c r="C362" s="32">
        <v>9</v>
      </c>
      <c r="D362" s="32">
        <f t="shared" si="3"/>
        <v>32</v>
      </c>
    </row>
    <row r="363" spans="1:4" x14ac:dyDescent="0.3">
      <c r="A363" s="31">
        <v>45211</v>
      </c>
      <c r="B363" s="32">
        <v>33</v>
      </c>
      <c r="C363" s="32">
        <v>9</v>
      </c>
      <c r="D363" s="32">
        <f t="shared" si="3"/>
        <v>24</v>
      </c>
    </row>
    <row r="364" spans="1:4" x14ac:dyDescent="0.3">
      <c r="A364" s="31">
        <v>45212</v>
      </c>
      <c r="B364" s="32">
        <v>43</v>
      </c>
      <c r="C364" s="32">
        <v>5</v>
      </c>
      <c r="D364" s="32">
        <f t="shared" si="3"/>
        <v>38</v>
      </c>
    </row>
    <row r="365" spans="1:4" x14ac:dyDescent="0.3">
      <c r="A365" s="31">
        <v>45215</v>
      </c>
      <c r="B365" s="32">
        <v>64</v>
      </c>
      <c r="C365" s="32">
        <v>14</v>
      </c>
      <c r="D365" s="32">
        <f t="shared" si="3"/>
        <v>50</v>
      </c>
    </row>
    <row r="366" spans="1:4" x14ac:dyDescent="0.3">
      <c r="A366" s="31">
        <v>45216</v>
      </c>
      <c r="B366" s="32">
        <v>32</v>
      </c>
      <c r="C366" s="32">
        <v>16</v>
      </c>
      <c r="D366" s="32">
        <f t="shared" si="3"/>
        <v>16</v>
      </c>
    </row>
    <row r="367" spans="1:4" x14ac:dyDescent="0.3">
      <c r="A367" s="31">
        <v>45217</v>
      </c>
      <c r="B367" s="32">
        <v>42</v>
      </c>
      <c r="C367" s="32">
        <v>25</v>
      </c>
      <c r="D367" s="32">
        <f t="shared" si="3"/>
        <v>17</v>
      </c>
    </row>
    <row r="368" spans="1:4" x14ac:dyDescent="0.3">
      <c r="A368" s="31">
        <v>45218</v>
      </c>
      <c r="B368" s="32">
        <v>29</v>
      </c>
      <c r="C368" s="32">
        <v>31</v>
      </c>
      <c r="D368" s="32">
        <f t="shared" si="3"/>
        <v>-2</v>
      </c>
    </row>
    <row r="369" spans="1:4" x14ac:dyDescent="0.3">
      <c r="A369" s="31">
        <v>45219</v>
      </c>
      <c r="B369" s="32">
        <v>41</v>
      </c>
      <c r="C369" s="32">
        <v>29</v>
      </c>
      <c r="D369" s="32">
        <f t="shared" si="3"/>
        <v>12</v>
      </c>
    </row>
    <row r="370" spans="1:4" x14ac:dyDescent="0.3">
      <c r="A370" s="31">
        <v>45222</v>
      </c>
      <c r="B370" s="32">
        <v>38</v>
      </c>
      <c r="C370" s="32">
        <v>39</v>
      </c>
      <c r="D370" s="32">
        <f t="shared" si="3"/>
        <v>-1</v>
      </c>
    </row>
    <row r="371" spans="1:4" x14ac:dyDescent="0.3">
      <c r="A371" s="31">
        <v>45223</v>
      </c>
      <c r="B371" s="32">
        <v>68</v>
      </c>
      <c r="C371" s="32">
        <v>7</v>
      </c>
      <c r="D371" s="32">
        <f t="shared" ref="D371:D405" si="4">B371-C371</f>
        <v>61</v>
      </c>
    </row>
    <row r="372" spans="1:4" x14ac:dyDescent="0.3">
      <c r="A372" s="31">
        <v>45224</v>
      </c>
      <c r="B372" s="32">
        <v>72</v>
      </c>
      <c r="C372" s="32">
        <v>3</v>
      </c>
      <c r="D372" s="32">
        <f t="shared" si="4"/>
        <v>69</v>
      </c>
    </row>
    <row r="373" spans="1:4" x14ac:dyDescent="0.3">
      <c r="A373" s="31">
        <v>45225</v>
      </c>
      <c r="B373" s="32">
        <v>48</v>
      </c>
      <c r="C373" s="32">
        <v>5</v>
      </c>
      <c r="D373" s="32">
        <f t="shared" si="4"/>
        <v>43</v>
      </c>
    </row>
    <row r="374" spans="1:4" x14ac:dyDescent="0.3">
      <c r="A374" s="31">
        <v>45226</v>
      </c>
      <c r="B374" s="32">
        <v>85</v>
      </c>
      <c r="C374" s="32">
        <v>4</v>
      </c>
      <c r="D374" s="32">
        <f t="shared" si="4"/>
        <v>81</v>
      </c>
    </row>
    <row r="375" spans="1:4" x14ac:dyDescent="0.3">
      <c r="A375" s="31">
        <v>45229</v>
      </c>
      <c r="B375" s="32">
        <v>73</v>
      </c>
      <c r="C375" s="32">
        <v>11</v>
      </c>
      <c r="D375" s="32">
        <f t="shared" si="4"/>
        <v>62</v>
      </c>
    </row>
    <row r="376" spans="1:4" x14ac:dyDescent="0.3">
      <c r="A376" s="31">
        <v>45230</v>
      </c>
      <c r="B376" s="32">
        <v>47</v>
      </c>
      <c r="C376" s="32">
        <v>16</v>
      </c>
      <c r="D376" s="32">
        <f t="shared" si="4"/>
        <v>31</v>
      </c>
    </row>
    <row r="377" spans="1:4" x14ac:dyDescent="0.3">
      <c r="A377" s="31">
        <v>45231</v>
      </c>
      <c r="B377" s="32">
        <v>43</v>
      </c>
      <c r="C377" s="32">
        <v>10</v>
      </c>
      <c r="D377" s="32">
        <f t="shared" si="4"/>
        <v>33</v>
      </c>
    </row>
    <row r="378" spans="1:4" x14ac:dyDescent="0.3">
      <c r="A378" s="31">
        <v>45232</v>
      </c>
      <c r="B378" s="32">
        <v>39</v>
      </c>
      <c r="C378" s="32">
        <v>4</v>
      </c>
      <c r="D378" s="32">
        <f t="shared" si="4"/>
        <v>35</v>
      </c>
    </row>
    <row r="379" spans="1:4" x14ac:dyDescent="0.3">
      <c r="A379" s="31">
        <v>45233</v>
      </c>
      <c r="B379" s="32">
        <v>48</v>
      </c>
      <c r="C379" s="32">
        <v>2</v>
      </c>
      <c r="D379" s="32">
        <f t="shared" si="4"/>
        <v>46</v>
      </c>
    </row>
    <row r="380" spans="1:4" x14ac:dyDescent="0.3">
      <c r="A380" s="31">
        <v>45236</v>
      </c>
      <c r="B380" s="32">
        <v>63</v>
      </c>
      <c r="C380" s="32">
        <v>3</v>
      </c>
      <c r="D380" s="32">
        <f t="shared" si="4"/>
        <v>60</v>
      </c>
    </row>
    <row r="381" spans="1:4" x14ac:dyDescent="0.3">
      <c r="A381" s="31">
        <v>45237</v>
      </c>
      <c r="B381" s="32">
        <v>62</v>
      </c>
      <c r="C381" s="32">
        <v>0</v>
      </c>
      <c r="D381" s="32">
        <f t="shared" si="4"/>
        <v>62</v>
      </c>
    </row>
    <row r="382" spans="1:4" x14ac:dyDescent="0.3">
      <c r="A382" s="31">
        <v>45238</v>
      </c>
      <c r="B382" s="32">
        <v>55</v>
      </c>
      <c r="C382" s="32">
        <v>6</v>
      </c>
      <c r="D382" s="32">
        <f t="shared" si="4"/>
        <v>49</v>
      </c>
    </row>
    <row r="383" spans="1:4" x14ac:dyDescent="0.3">
      <c r="A383" s="31">
        <v>45239</v>
      </c>
      <c r="B383" s="32">
        <v>35</v>
      </c>
      <c r="C383" s="32">
        <v>26</v>
      </c>
      <c r="D383" s="32">
        <f t="shared" si="4"/>
        <v>9</v>
      </c>
    </row>
    <row r="384" spans="1:4" x14ac:dyDescent="0.3">
      <c r="A384" s="31">
        <v>45240</v>
      </c>
      <c r="B384" s="32">
        <v>40</v>
      </c>
      <c r="C384" s="32">
        <v>17</v>
      </c>
      <c r="D384" s="32">
        <f t="shared" si="4"/>
        <v>23</v>
      </c>
    </row>
    <row r="385" spans="1:4" x14ac:dyDescent="0.3">
      <c r="A385" s="31">
        <v>45243</v>
      </c>
      <c r="B385" s="32">
        <v>48</v>
      </c>
      <c r="C385" s="32">
        <v>9</v>
      </c>
      <c r="D385" s="32">
        <f t="shared" si="4"/>
        <v>39</v>
      </c>
    </row>
    <row r="386" spans="1:4" x14ac:dyDescent="0.3">
      <c r="A386" s="31">
        <v>45244</v>
      </c>
      <c r="B386" s="32">
        <v>46</v>
      </c>
      <c r="C386" s="32">
        <v>5</v>
      </c>
      <c r="D386" s="32">
        <f t="shared" si="4"/>
        <v>41</v>
      </c>
    </row>
    <row r="387" spans="1:4" x14ac:dyDescent="0.3">
      <c r="A387" s="31">
        <v>45245</v>
      </c>
      <c r="B387" s="32">
        <v>61</v>
      </c>
      <c r="C387" s="32">
        <v>4</v>
      </c>
      <c r="D387" s="32">
        <f t="shared" si="4"/>
        <v>57</v>
      </c>
    </row>
    <row r="388" spans="1:4" x14ac:dyDescent="0.3">
      <c r="A388" s="31">
        <v>45246</v>
      </c>
      <c r="B388" s="32">
        <v>37</v>
      </c>
      <c r="C388" s="32">
        <v>8</v>
      </c>
      <c r="D388" s="32">
        <f t="shared" si="4"/>
        <v>29</v>
      </c>
    </row>
    <row r="389" spans="1:4" x14ac:dyDescent="0.3">
      <c r="A389" s="31">
        <v>45247</v>
      </c>
      <c r="B389" s="32">
        <v>52</v>
      </c>
      <c r="C389" s="32">
        <v>10</v>
      </c>
      <c r="D389" s="32">
        <f t="shared" si="4"/>
        <v>42</v>
      </c>
    </row>
    <row r="390" spans="1:4" x14ac:dyDescent="0.3">
      <c r="A390" s="31">
        <v>45250</v>
      </c>
      <c r="B390" s="32">
        <v>64</v>
      </c>
      <c r="C390" s="32">
        <v>7</v>
      </c>
      <c r="D390" s="32">
        <f t="shared" si="4"/>
        <v>57</v>
      </c>
    </row>
    <row r="391" spans="1:4" x14ac:dyDescent="0.3">
      <c r="A391" s="31">
        <v>45251</v>
      </c>
      <c r="B391" s="32">
        <v>62</v>
      </c>
      <c r="C391" s="32">
        <v>5</v>
      </c>
      <c r="D391" s="32">
        <f t="shared" si="4"/>
        <v>57</v>
      </c>
    </row>
    <row r="392" spans="1:4" x14ac:dyDescent="0.3">
      <c r="A392" s="31">
        <v>45252</v>
      </c>
      <c r="B392" s="32">
        <v>75</v>
      </c>
      <c r="C392" s="32">
        <v>11</v>
      </c>
      <c r="D392" s="32">
        <f t="shared" si="4"/>
        <v>64</v>
      </c>
    </row>
    <row r="393" spans="1:4" x14ac:dyDescent="0.3">
      <c r="A393" s="31">
        <v>45253</v>
      </c>
      <c r="B393" s="32">
        <v>51</v>
      </c>
      <c r="C393" s="32">
        <v>16</v>
      </c>
      <c r="D393" s="32">
        <f t="shared" si="4"/>
        <v>35</v>
      </c>
    </row>
    <row r="394" spans="1:4" x14ac:dyDescent="0.3">
      <c r="A394" s="31">
        <v>45254</v>
      </c>
      <c r="B394" s="32">
        <v>57</v>
      </c>
      <c r="C394" s="32">
        <v>13</v>
      </c>
      <c r="D394" s="32">
        <f t="shared" si="4"/>
        <v>44</v>
      </c>
    </row>
    <row r="395" spans="1:4" x14ac:dyDescent="0.3">
      <c r="A395" s="31">
        <v>45257</v>
      </c>
      <c r="B395" s="32">
        <v>70</v>
      </c>
      <c r="C395" s="32">
        <v>25</v>
      </c>
      <c r="D395" s="32">
        <f t="shared" si="4"/>
        <v>45</v>
      </c>
    </row>
    <row r="396" spans="1:4" x14ac:dyDescent="0.3">
      <c r="A396" s="31">
        <v>45258</v>
      </c>
      <c r="B396" s="32">
        <v>50</v>
      </c>
      <c r="C396" s="32">
        <v>13</v>
      </c>
      <c r="D396" s="32">
        <f t="shared" si="4"/>
        <v>37</v>
      </c>
    </row>
    <row r="397" spans="1:4" x14ac:dyDescent="0.3">
      <c r="A397" s="31">
        <v>45259</v>
      </c>
      <c r="B397" s="32">
        <v>35</v>
      </c>
      <c r="C397" s="32">
        <v>13</v>
      </c>
      <c r="D397" s="32">
        <f t="shared" si="4"/>
        <v>22</v>
      </c>
    </row>
    <row r="398" spans="1:4" x14ac:dyDescent="0.3">
      <c r="A398" s="31">
        <v>45260</v>
      </c>
      <c r="B398" s="32">
        <v>30</v>
      </c>
      <c r="C398" s="32">
        <v>9</v>
      </c>
      <c r="D398" s="32">
        <f t="shared" si="4"/>
        <v>21</v>
      </c>
    </row>
    <row r="399" spans="1:4" x14ac:dyDescent="0.3">
      <c r="A399" s="31">
        <v>45261</v>
      </c>
      <c r="B399" s="32">
        <v>53</v>
      </c>
      <c r="C399" s="32">
        <v>3</v>
      </c>
      <c r="D399" s="32">
        <f t="shared" si="4"/>
        <v>50</v>
      </c>
    </row>
    <row r="400" spans="1:4" x14ac:dyDescent="0.3">
      <c r="A400" s="31">
        <v>45264</v>
      </c>
      <c r="B400" s="32">
        <v>57</v>
      </c>
      <c r="C400" s="32">
        <v>8</v>
      </c>
      <c r="D400" s="32">
        <f t="shared" si="4"/>
        <v>49</v>
      </c>
    </row>
    <row r="401" spans="1:4" x14ac:dyDescent="0.3">
      <c r="A401" s="31">
        <v>45265</v>
      </c>
      <c r="B401" s="32">
        <v>53</v>
      </c>
      <c r="C401" s="32">
        <v>12</v>
      </c>
      <c r="D401" s="32">
        <f t="shared" si="4"/>
        <v>41</v>
      </c>
    </row>
    <row r="402" spans="1:4" x14ac:dyDescent="0.3">
      <c r="A402" s="31">
        <v>45266</v>
      </c>
      <c r="B402" s="32">
        <v>45</v>
      </c>
      <c r="C402" s="32">
        <v>11</v>
      </c>
      <c r="D402" s="32">
        <f t="shared" si="4"/>
        <v>34</v>
      </c>
    </row>
    <row r="403" spans="1:4" x14ac:dyDescent="0.3">
      <c r="A403" s="31">
        <v>45267</v>
      </c>
      <c r="B403" s="32">
        <v>45</v>
      </c>
      <c r="C403" s="32">
        <v>21</v>
      </c>
      <c r="D403" s="32">
        <f t="shared" si="4"/>
        <v>24</v>
      </c>
    </row>
    <row r="404" spans="1:4" x14ac:dyDescent="0.3">
      <c r="A404" s="31">
        <v>45268</v>
      </c>
      <c r="B404" s="32">
        <v>40</v>
      </c>
      <c r="C404" s="32">
        <v>17</v>
      </c>
      <c r="D404" s="32">
        <f t="shared" si="4"/>
        <v>23</v>
      </c>
    </row>
    <row r="405" spans="1:4" x14ac:dyDescent="0.3">
      <c r="A405" s="31">
        <v>45271</v>
      </c>
      <c r="B405" s="32">
        <v>42</v>
      </c>
      <c r="C405" s="32">
        <v>9</v>
      </c>
      <c r="D405" s="32">
        <f t="shared" si="4"/>
        <v>33</v>
      </c>
    </row>
    <row r="406" spans="1:4" x14ac:dyDescent="0.3">
      <c r="A406" s="31">
        <v>45272</v>
      </c>
      <c r="B406" s="32">
        <v>52</v>
      </c>
      <c r="C406" s="32">
        <v>7</v>
      </c>
      <c r="D406" s="32">
        <f t="shared" ref="D406:D447" si="5">B406-C406</f>
        <v>45</v>
      </c>
    </row>
    <row r="407" spans="1:4" x14ac:dyDescent="0.3">
      <c r="A407" s="31">
        <v>45273</v>
      </c>
      <c r="B407" s="32">
        <v>40</v>
      </c>
      <c r="C407" s="32">
        <v>9</v>
      </c>
      <c r="D407" s="32">
        <f t="shared" si="5"/>
        <v>31</v>
      </c>
    </row>
    <row r="408" spans="1:4" x14ac:dyDescent="0.3">
      <c r="A408" s="31">
        <v>45274</v>
      </c>
      <c r="B408" s="32">
        <v>46</v>
      </c>
      <c r="C408" s="32">
        <v>19</v>
      </c>
      <c r="D408" s="32">
        <f t="shared" si="5"/>
        <v>27</v>
      </c>
    </row>
    <row r="409" spans="1:4" x14ac:dyDescent="0.3">
      <c r="A409" s="31">
        <v>45275</v>
      </c>
      <c r="B409" s="32">
        <v>48</v>
      </c>
      <c r="C409" s="32">
        <v>14</v>
      </c>
      <c r="D409" s="32">
        <f t="shared" si="5"/>
        <v>34</v>
      </c>
    </row>
    <row r="410" spans="1:4" x14ac:dyDescent="0.3">
      <c r="A410" s="31">
        <v>45278</v>
      </c>
      <c r="B410" s="32">
        <v>39</v>
      </c>
      <c r="C410" s="32">
        <v>39</v>
      </c>
      <c r="D410" s="32">
        <f t="shared" si="5"/>
        <v>0</v>
      </c>
    </row>
    <row r="411" spans="1:4" x14ac:dyDescent="0.3">
      <c r="A411" s="31">
        <v>45279</v>
      </c>
      <c r="B411" s="32">
        <v>35</v>
      </c>
      <c r="C411" s="32">
        <v>20</v>
      </c>
      <c r="D411" s="32">
        <f t="shared" si="5"/>
        <v>15</v>
      </c>
    </row>
    <row r="412" spans="1:4" x14ac:dyDescent="0.3">
      <c r="A412" s="31">
        <v>45280</v>
      </c>
      <c r="B412" s="32">
        <v>37</v>
      </c>
      <c r="C412" s="32">
        <v>17</v>
      </c>
      <c r="D412" s="32">
        <f t="shared" si="5"/>
        <v>20</v>
      </c>
    </row>
    <row r="413" spans="1:4" x14ac:dyDescent="0.3">
      <c r="A413" s="31">
        <v>45281</v>
      </c>
      <c r="B413" s="32">
        <v>39</v>
      </c>
      <c r="C413" s="32">
        <v>15</v>
      </c>
      <c r="D413" s="32">
        <f t="shared" si="5"/>
        <v>24</v>
      </c>
    </row>
    <row r="414" spans="1:4" x14ac:dyDescent="0.3">
      <c r="A414" s="31">
        <v>45282</v>
      </c>
      <c r="B414" s="32">
        <v>24</v>
      </c>
      <c r="C414" s="32">
        <v>61</v>
      </c>
      <c r="D414" s="32">
        <f t="shared" si="5"/>
        <v>-37</v>
      </c>
    </row>
    <row r="415" spans="1:4" x14ac:dyDescent="0.3">
      <c r="A415" s="31">
        <v>45285</v>
      </c>
      <c r="B415" s="32">
        <v>41</v>
      </c>
      <c r="C415" s="32">
        <v>35</v>
      </c>
      <c r="D415" s="32">
        <f t="shared" si="5"/>
        <v>6</v>
      </c>
    </row>
    <row r="416" spans="1:4" x14ac:dyDescent="0.3">
      <c r="A416" s="31">
        <v>45286</v>
      </c>
      <c r="B416" s="32">
        <v>46</v>
      </c>
      <c r="C416" s="32">
        <v>16</v>
      </c>
      <c r="D416" s="32">
        <f t="shared" si="5"/>
        <v>30</v>
      </c>
    </row>
    <row r="417" spans="1:4" x14ac:dyDescent="0.3">
      <c r="A417" s="31">
        <v>45287</v>
      </c>
      <c r="B417" s="32">
        <v>42</v>
      </c>
      <c r="C417" s="32">
        <v>22</v>
      </c>
      <c r="D417" s="32">
        <f t="shared" si="5"/>
        <v>20</v>
      </c>
    </row>
    <row r="418" spans="1:4" x14ac:dyDescent="0.3">
      <c r="A418" s="31">
        <v>45288</v>
      </c>
      <c r="B418" s="32">
        <v>68</v>
      </c>
      <c r="C418" s="32">
        <v>11</v>
      </c>
      <c r="D418" s="32">
        <f t="shared" si="5"/>
        <v>57</v>
      </c>
    </row>
    <row r="419" spans="1:4" x14ac:dyDescent="0.3">
      <c r="A419" s="31">
        <v>45289</v>
      </c>
      <c r="B419" s="32">
        <v>74</v>
      </c>
      <c r="C419" s="32">
        <v>4</v>
      </c>
      <c r="D419" s="32">
        <f t="shared" si="5"/>
        <v>70</v>
      </c>
    </row>
    <row r="420" spans="1:4" x14ac:dyDescent="0.3">
      <c r="A420" s="31">
        <v>45293</v>
      </c>
      <c r="B420" s="32">
        <v>66</v>
      </c>
      <c r="C420" s="32">
        <v>8</v>
      </c>
      <c r="D420" s="32">
        <f t="shared" si="5"/>
        <v>58</v>
      </c>
    </row>
    <row r="421" spans="1:4" x14ac:dyDescent="0.3">
      <c r="A421" s="31">
        <v>45294</v>
      </c>
      <c r="B421" s="32">
        <v>45</v>
      </c>
      <c r="C421" s="32">
        <v>11</v>
      </c>
      <c r="D421" s="32">
        <f t="shared" si="5"/>
        <v>34</v>
      </c>
    </row>
    <row r="422" spans="1:4" x14ac:dyDescent="0.3">
      <c r="A422" s="31">
        <v>45295</v>
      </c>
      <c r="B422" s="32">
        <v>46</v>
      </c>
      <c r="C422" s="32">
        <v>11</v>
      </c>
      <c r="D422" s="32">
        <f t="shared" si="5"/>
        <v>35</v>
      </c>
    </row>
    <row r="423" spans="1:4" x14ac:dyDescent="0.3">
      <c r="A423" s="31">
        <v>45296</v>
      </c>
      <c r="B423" s="32">
        <v>30</v>
      </c>
      <c r="C423" s="32">
        <v>17</v>
      </c>
      <c r="D423" s="32">
        <f t="shared" si="5"/>
        <v>13</v>
      </c>
    </row>
    <row r="424" spans="1:4" x14ac:dyDescent="0.3">
      <c r="A424" s="31">
        <v>45299</v>
      </c>
      <c r="B424" s="32">
        <v>35</v>
      </c>
      <c r="C424" s="32">
        <v>22</v>
      </c>
      <c r="D424" s="32">
        <f t="shared" si="5"/>
        <v>13</v>
      </c>
    </row>
    <row r="425" spans="1:4" x14ac:dyDescent="0.3">
      <c r="A425" s="31">
        <v>45300</v>
      </c>
      <c r="B425" s="32">
        <v>48</v>
      </c>
      <c r="C425" s="32">
        <v>10</v>
      </c>
      <c r="D425" s="32">
        <f t="shared" si="5"/>
        <v>38</v>
      </c>
    </row>
    <row r="426" spans="1:4" x14ac:dyDescent="0.3">
      <c r="A426" s="31">
        <v>45301</v>
      </c>
      <c r="B426" s="32">
        <v>42</v>
      </c>
      <c r="C426" s="32">
        <v>16</v>
      </c>
      <c r="D426" s="32">
        <f t="shared" si="5"/>
        <v>26</v>
      </c>
    </row>
    <row r="427" spans="1:4" x14ac:dyDescent="0.3">
      <c r="A427" s="31">
        <v>45302</v>
      </c>
      <c r="B427" s="32">
        <v>59</v>
      </c>
      <c r="C427" s="32">
        <v>6</v>
      </c>
      <c r="D427" s="32">
        <f t="shared" si="5"/>
        <v>53</v>
      </c>
    </row>
    <row r="428" spans="1:4" x14ac:dyDescent="0.3">
      <c r="A428" s="31">
        <v>45303</v>
      </c>
      <c r="B428" s="32">
        <v>28</v>
      </c>
      <c r="C428" s="32">
        <v>9</v>
      </c>
      <c r="D428" s="32">
        <f t="shared" si="5"/>
        <v>19</v>
      </c>
    </row>
    <row r="429" spans="1:4" x14ac:dyDescent="0.3">
      <c r="A429" s="31">
        <v>45306</v>
      </c>
      <c r="B429" s="32">
        <v>43</v>
      </c>
      <c r="C429" s="32">
        <v>8</v>
      </c>
      <c r="D429" s="32">
        <f t="shared" si="5"/>
        <v>35</v>
      </c>
    </row>
    <row r="430" spans="1:4" x14ac:dyDescent="0.3">
      <c r="A430" s="31">
        <v>45307</v>
      </c>
      <c r="B430" s="32">
        <v>39</v>
      </c>
      <c r="C430" s="32">
        <v>9</v>
      </c>
      <c r="D430" s="32">
        <f t="shared" si="5"/>
        <v>30</v>
      </c>
    </row>
    <row r="431" spans="1:4" x14ac:dyDescent="0.3">
      <c r="A431" s="31">
        <v>45308</v>
      </c>
      <c r="B431" s="32">
        <v>39</v>
      </c>
      <c r="C431" s="32">
        <v>18</v>
      </c>
      <c r="D431" s="32">
        <f t="shared" si="5"/>
        <v>21</v>
      </c>
    </row>
    <row r="432" spans="1:4" x14ac:dyDescent="0.3">
      <c r="A432" s="31">
        <v>45309</v>
      </c>
      <c r="B432" s="32">
        <v>43</v>
      </c>
      <c r="C432" s="32">
        <v>13</v>
      </c>
      <c r="D432" s="32">
        <f t="shared" si="5"/>
        <v>30</v>
      </c>
    </row>
    <row r="433" spans="1:4" x14ac:dyDescent="0.3">
      <c r="A433" s="31">
        <v>45310</v>
      </c>
      <c r="B433" s="32">
        <v>48</v>
      </c>
      <c r="C433" s="32">
        <v>26</v>
      </c>
      <c r="D433" s="32">
        <f t="shared" si="5"/>
        <v>22</v>
      </c>
    </row>
    <row r="434" spans="1:4" x14ac:dyDescent="0.3">
      <c r="A434" s="31">
        <v>45313</v>
      </c>
      <c r="B434" s="32">
        <v>22</v>
      </c>
      <c r="C434" s="32">
        <v>105</v>
      </c>
      <c r="D434" s="32">
        <f t="shared" si="5"/>
        <v>-83</v>
      </c>
    </row>
    <row r="435" spans="1:4" x14ac:dyDescent="0.3">
      <c r="A435" s="31">
        <v>45314</v>
      </c>
      <c r="B435" s="32">
        <v>51</v>
      </c>
      <c r="C435" s="32">
        <v>30</v>
      </c>
      <c r="D435" s="32">
        <f t="shared" si="5"/>
        <v>21</v>
      </c>
    </row>
    <row r="436" spans="1:4" x14ac:dyDescent="0.3">
      <c r="A436" s="31">
        <v>45315</v>
      </c>
      <c r="B436" s="32">
        <v>82</v>
      </c>
      <c r="C436" s="32">
        <v>4</v>
      </c>
      <c r="D436" s="32">
        <f t="shared" si="5"/>
        <v>78</v>
      </c>
    </row>
    <row r="437" spans="1:4" x14ac:dyDescent="0.3">
      <c r="A437" s="31">
        <v>45316</v>
      </c>
      <c r="B437" s="32">
        <v>109</v>
      </c>
      <c r="C437" s="32">
        <v>5</v>
      </c>
      <c r="D437" s="32">
        <f t="shared" si="5"/>
        <v>104</v>
      </c>
    </row>
    <row r="438" spans="1:4" x14ac:dyDescent="0.3">
      <c r="A438" s="31">
        <v>45317</v>
      </c>
      <c r="B438" s="32">
        <v>65</v>
      </c>
      <c r="C438" s="32">
        <v>11</v>
      </c>
      <c r="D438" s="32">
        <f t="shared" si="5"/>
        <v>54</v>
      </c>
    </row>
    <row r="439" spans="1:4" x14ac:dyDescent="0.3">
      <c r="A439" s="31">
        <v>45320</v>
      </c>
      <c r="B439" s="32">
        <v>34</v>
      </c>
      <c r="C439" s="32">
        <v>83</v>
      </c>
      <c r="D439" s="32">
        <f t="shared" si="5"/>
        <v>-49</v>
      </c>
    </row>
    <row r="440" spans="1:4" x14ac:dyDescent="0.3">
      <c r="A440" s="31">
        <v>45321</v>
      </c>
      <c r="B440" s="32">
        <v>25</v>
      </c>
      <c r="C440" s="32">
        <v>87</v>
      </c>
      <c r="D440" s="32">
        <f t="shared" si="5"/>
        <v>-62</v>
      </c>
    </row>
    <row r="441" spans="1:4" x14ac:dyDescent="0.3">
      <c r="A441" s="31">
        <v>45322</v>
      </c>
      <c r="B441" s="32">
        <v>30</v>
      </c>
      <c r="C441" s="32">
        <v>184</v>
      </c>
      <c r="D441" s="32">
        <f t="shared" si="5"/>
        <v>-154</v>
      </c>
    </row>
    <row r="442" spans="1:4" x14ac:dyDescent="0.3">
      <c r="A442" s="31">
        <v>45323</v>
      </c>
      <c r="B442" s="32">
        <v>31</v>
      </c>
      <c r="C442" s="32">
        <v>99</v>
      </c>
      <c r="D442" s="32">
        <f t="shared" si="5"/>
        <v>-68</v>
      </c>
    </row>
    <row r="443" spans="1:4" x14ac:dyDescent="0.3">
      <c r="A443" s="31">
        <v>45324</v>
      </c>
      <c r="B443" s="32">
        <v>28</v>
      </c>
      <c r="C443" s="32">
        <v>108</v>
      </c>
      <c r="D443" s="32">
        <f t="shared" si="5"/>
        <v>-80</v>
      </c>
    </row>
    <row r="444" spans="1:4" x14ac:dyDescent="0.3">
      <c r="A444" s="31">
        <v>45327</v>
      </c>
      <c r="B444" s="32">
        <v>20</v>
      </c>
      <c r="C444" s="32">
        <v>1368</v>
      </c>
      <c r="D444" s="32">
        <f t="shared" si="5"/>
        <v>-1348</v>
      </c>
    </row>
    <row r="445" spans="1:4" x14ac:dyDescent="0.3">
      <c r="A445" s="31">
        <v>45328</v>
      </c>
      <c r="B445" s="32">
        <v>145</v>
      </c>
      <c r="C445" s="32">
        <v>135</v>
      </c>
      <c r="D445" s="32">
        <f t="shared" si="5"/>
        <v>10</v>
      </c>
    </row>
    <row r="446" spans="1:4" x14ac:dyDescent="0.3">
      <c r="A446" s="31">
        <v>45329</v>
      </c>
      <c r="B446" s="32">
        <v>100</v>
      </c>
      <c r="C446" s="32">
        <v>282</v>
      </c>
      <c r="D446" s="32">
        <f t="shared" si="5"/>
        <v>-182</v>
      </c>
    </row>
    <row r="447" spans="1:4" x14ac:dyDescent="0.3">
      <c r="A447" s="31">
        <v>45330</v>
      </c>
      <c r="B447" s="32">
        <v>480</v>
      </c>
      <c r="C447" s="32">
        <v>2</v>
      </c>
      <c r="D447" s="32">
        <f t="shared" si="5"/>
        <v>478</v>
      </c>
    </row>
    <row r="448" spans="1:4" x14ac:dyDescent="0.3">
      <c r="A448" s="31">
        <v>45341</v>
      </c>
      <c r="B448" s="32">
        <v>272</v>
      </c>
      <c r="C448" s="32">
        <v>3</v>
      </c>
      <c r="D448" s="32">
        <f t="shared" ref="D448:D588" si="6">B448-C448</f>
        <v>269</v>
      </c>
    </row>
    <row r="449" spans="1:4" x14ac:dyDescent="0.3">
      <c r="A449" s="31">
        <v>45342</v>
      </c>
      <c r="B449" s="32">
        <v>155</v>
      </c>
      <c r="C449" s="32">
        <v>0</v>
      </c>
      <c r="D449" s="32">
        <f t="shared" si="6"/>
        <v>155</v>
      </c>
    </row>
    <row r="450" spans="1:4" x14ac:dyDescent="0.3">
      <c r="A450" s="31">
        <v>45343</v>
      </c>
      <c r="B450" s="32">
        <v>155</v>
      </c>
      <c r="C450" s="32">
        <v>0</v>
      </c>
      <c r="D450" s="32">
        <f t="shared" si="6"/>
        <v>155</v>
      </c>
    </row>
    <row r="451" spans="1:4" x14ac:dyDescent="0.3">
      <c r="A451" s="31">
        <v>45344</v>
      </c>
      <c r="B451" s="32">
        <v>96</v>
      </c>
      <c r="C451" s="32">
        <v>1</v>
      </c>
      <c r="D451" s="32">
        <f t="shared" si="6"/>
        <v>95</v>
      </c>
    </row>
    <row r="452" spans="1:4" x14ac:dyDescent="0.3">
      <c r="A452" s="31">
        <v>45345</v>
      </c>
      <c r="B452" s="32">
        <v>141</v>
      </c>
      <c r="C452" s="32">
        <v>1</v>
      </c>
      <c r="D452" s="32">
        <f t="shared" si="6"/>
        <v>140</v>
      </c>
    </row>
    <row r="453" spans="1:4" x14ac:dyDescent="0.3">
      <c r="A453" s="31">
        <v>45348</v>
      </c>
      <c r="B453" s="32">
        <v>124</v>
      </c>
      <c r="C453" s="32">
        <v>1</v>
      </c>
      <c r="D453" s="32">
        <f t="shared" si="6"/>
        <v>123</v>
      </c>
    </row>
    <row r="454" spans="1:4" x14ac:dyDescent="0.3">
      <c r="A454" s="31">
        <v>45349</v>
      </c>
      <c r="B454" s="32">
        <v>115</v>
      </c>
      <c r="C454" s="32">
        <v>2</v>
      </c>
      <c r="D454" s="32">
        <f t="shared" si="6"/>
        <v>113</v>
      </c>
    </row>
    <row r="455" spans="1:4" x14ac:dyDescent="0.3">
      <c r="A455" s="31">
        <v>45350</v>
      </c>
      <c r="B455" s="32">
        <v>34</v>
      </c>
      <c r="C455" s="32">
        <v>326</v>
      </c>
      <c r="D455" s="32">
        <f t="shared" si="6"/>
        <v>-292</v>
      </c>
    </row>
    <row r="456" spans="1:4" x14ac:dyDescent="0.3">
      <c r="A456" s="31">
        <v>45351</v>
      </c>
      <c r="B456" s="32">
        <v>115</v>
      </c>
      <c r="C456" s="32">
        <v>6</v>
      </c>
      <c r="D456" s="32">
        <f t="shared" si="6"/>
        <v>109</v>
      </c>
    </row>
    <row r="457" spans="1:4" x14ac:dyDescent="0.3">
      <c r="A457" s="31">
        <v>45352</v>
      </c>
      <c r="B457" s="32">
        <v>80</v>
      </c>
      <c r="C457" s="32">
        <v>9</v>
      </c>
      <c r="D457" s="32">
        <f t="shared" si="6"/>
        <v>71</v>
      </c>
    </row>
    <row r="458" spans="1:4" x14ac:dyDescent="0.3">
      <c r="A458" s="31">
        <v>45355</v>
      </c>
      <c r="B458" s="32">
        <v>87</v>
      </c>
      <c r="C458" s="32">
        <v>15</v>
      </c>
      <c r="D458" s="32">
        <f t="shared" si="6"/>
        <v>72</v>
      </c>
    </row>
    <row r="459" spans="1:4" x14ac:dyDescent="0.3">
      <c r="A459" s="31">
        <v>45356</v>
      </c>
      <c r="B459" s="32">
        <v>59</v>
      </c>
      <c r="C459" s="32">
        <v>20</v>
      </c>
      <c r="D459" s="32">
        <f t="shared" si="6"/>
        <v>39</v>
      </c>
    </row>
    <row r="460" spans="1:4" x14ac:dyDescent="0.3">
      <c r="A460" s="31">
        <v>45357</v>
      </c>
      <c r="B460" s="32">
        <v>105</v>
      </c>
      <c r="C460" s="32">
        <v>3</v>
      </c>
      <c r="D460" s="32">
        <f t="shared" si="6"/>
        <v>102</v>
      </c>
    </row>
    <row r="461" spans="1:4" x14ac:dyDescent="0.3">
      <c r="A461" s="31">
        <v>45358</v>
      </c>
      <c r="B461" s="32">
        <v>69</v>
      </c>
      <c r="C461" s="32">
        <v>8</v>
      </c>
      <c r="D461" s="32">
        <f t="shared" si="6"/>
        <v>61</v>
      </c>
    </row>
    <row r="462" spans="1:4" x14ac:dyDescent="0.3">
      <c r="A462" s="31">
        <v>45359</v>
      </c>
      <c r="B462" s="32">
        <v>75</v>
      </c>
      <c r="C462" s="32">
        <v>4</v>
      </c>
      <c r="D462" s="32">
        <f t="shared" si="6"/>
        <v>71</v>
      </c>
    </row>
    <row r="463" spans="1:4" x14ac:dyDescent="0.3">
      <c r="A463" s="31">
        <v>45362</v>
      </c>
      <c r="B463" s="32">
        <v>99</v>
      </c>
      <c r="C463" s="32">
        <v>0</v>
      </c>
      <c r="D463" s="32">
        <f t="shared" si="6"/>
        <v>99</v>
      </c>
    </row>
    <row r="464" spans="1:4" x14ac:dyDescent="0.3">
      <c r="A464" s="31">
        <v>45363</v>
      </c>
      <c r="B464" s="32">
        <v>79</v>
      </c>
      <c r="C464" s="32">
        <v>2</v>
      </c>
      <c r="D464" s="32">
        <f t="shared" si="6"/>
        <v>77</v>
      </c>
    </row>
    <row r="465" spans="1:4" x14ac:dyDescent="0.3">
      <c r="A465" s="31">
        <v>45364</v>
      </c>
      <c r="B465" s="32">
        <v>61</v>
      </c>
      <c r="C465" s="32">
        <v>4</v>
      </c>
      <c r="D465" s="32">
        <f t="shared" si="6"/>
        <v>57</v>
      </c>
    </row>
    <row r="466" spans="1:4" x14ac:dyDescent="0.3">
      <c r="A466" s="31">
        <v>45365</v>
      </c>
      <c r="B466" s="32">
        <v>51</v>
      </c>
      <c r="C466" s="32">
        <v>2</v>
      </c>
      <c r="D466" s="32">
        <f t="shared" si="6"/>
        <v>49</v>
      </c>
    </row>
    <row r="467" spans="1:4" x14ac:dyDescent="0.3">
      <c r="A467" s="31">
        <v>45366</v>
      </c>
      <c r="B467" s="32">
        <v>87</v>
      </c>
      <c r="C467" s="32">
        <v>1</v>
      </c>
      <c r="D467" s="32">
        <f t="shared" si="6"/>
        <v>86</v>
      </c>
    </row>
    <row r="468" spans="1:4" x14ac:dyDescent="0.3">
      <c r="A468" s="31">
        <v>45369</v>
      </c>
      <c r="B468" s="32">
        <v>93</v>
      </c>
      <c r="C468" s="32">
        <v>3</v>
      </c>
      <c r="D468" s="32">
        <f t="shared" si="6"/>
        <v>90</v>
      </c>
    </row>
    <row r="469" spans="1:4" x14ac:dyDescent="0.3">
      <c r="A469" s="31">
        <v>45370</v>
      </c>
      <c r="B469" s="32">
        <v>69</v>
      </c>
      <c r="C469" s="32">
        <v>8</v>
      </c>
      <c r="D469" s="32">
        <f t="shared" si="6"/>
        <v>61</v>
      </c>
    </row>
    <row r="470" spans="1:4" x14ac:dyDescent="0.3">
      <c r="A470" s="31">
        <v>45371</v>
      </c>
      <c r="B470" s="32">
        <v>87</v>
      </c>
      <c r="C470" s="32">
        <v>6</v>
      </c>
      <c r="D470" s="32">
        <f t="shared" si="6"/>
        <v>81</v>
      </c>
    </row>
    <row r="471" spans="1:4" x14ac:dyDescent="0.3">
      <c r="A471" s="31">
        <v>45372</v>
      </c>
      <c r="B471" s="32">
        <v>79</v>
      </c>
      <c r="C471" s="32">
        <v>9</v>
      </c>
      <c r="D471" s="32">
        <f t="shared" si="6"/>
        <v>70</v>
      </c>
    </row>
    <row r="472" spans="1:4" x14ac:dyDescent="0.3">
      <c r="A472" s="31">
        <v>45373</v>
      </c>
      <c r="B472" s="32">
        <v>66</v>
      </c>
      <c r="C472" s="32">
        <v>13</v>
      </c>
      <c r="D472" s="32">
        <f t="shared" si="6"/>
        <v>53</v>
      </c>
    </row>
    <row r="473" spans="1:4" x14ac:dyDescent="0.3">
      <c r="A473" s="31">
        <v>45376</v>
      </c>
      <c r="B473" s="32">
        <v>46</v>
      </c>
      <c r="C473" s="32">
        <v>37</v>
      </c>
      <c r="D473" s="32">
        <f t="shared" si="6"/>
        <v>9</v>
      </c>
    </row>
    <row r="474" spans="1:4" x14ac:dyDescent="0.3">
      <c r="A474" s="31">
        <v>45377</v>
      </c>
      <c r="B474" s="32">
        <v>63</v>
      </c>
      <c r="C474" s="32">
        <v>21</v>
      </c>
      <c r="D474" s="32">
        <f t="shared" si="6"/>
        <v>42</v>
      </c>
    </row>
    <row r="475" spans="1:4" x14ac:dyDescent="0.3">
      <c r="A475" s="31">
        <v>45378</v>
      </c>
      <c r="B475" s="32">
        <v>45</v>
      </c>
      <c r="C475" s="32">
        <v>67</v>
      </c>
      <c r="D475" s="32">
        <f t="shared" si="6"/>
        <v>-22</v>
      </c>
    </row>
    <row r="476" spans="1:4" x14ac:dyDescent="0.3">
      <c r="A476" s="31">
        <v>45379</v>
      </c>
      <c r="B476" s="32">
        <v>80</v>
      </c>
      <c r="C476" s="32">
        <v>10</v>
      </c>
      <c r="D476" s="32">
        <f t="shared" si="6"/>
        <v>70</v>
      </c>
    </row>
    <row r="477" spans="1:4" x14ac:dyDescent="0.3">
      <c r="A477" s="31">
        <v>45380</v>
      </c>
      <c r="B477" s="32">
        <v>76</v>
      </c>
      <c r="C477" s="32">
        <v>12</v>
      </c>
      <c r="D477" s="32">
        <f t="shared" si="6"/>
        <v>64</v>
      </c>
    </row>
    <row r="478" spans="1:4" x14ac:dyDescent="0.3">
      <c r="A478" s="31">
        <v>45383</v>
      </c>
      <c r="B478" s="32">
        <v>90</v>
      </c>
      <c r="C478" s="32">
        <v>17</v>
      </c>
      <c r="D478" s="32">
        <f t="shared" si="6"/>
        <v>73</v>
      </c>
    </row>
    <row r="479" spans="1:4" x14ac:dyDescent="0.3">
      <c r="A479" s="31">
        <v>45384</v>
      </c>
      <c r="B479" s="32">
        <v>65</v>
      </c>
      <c r="C479" s="32">
        <v>11</v>
      </c>
      <c r="D479" s="32">
        <f t="shared" si="6"/>
        <v>54</v>
      </c>
    </row>
    <row r="480" spans="1:4" x14ac:dyDescent="0.3">
      <c r="A480" s="31">
        <v>45385</v>
      </c>
      <c r="B480" s="32">
        <v>55</v>
      </c>
      <c r="C480" s="32">
        <v>20</v>
      </c>
      <c r="D480" s="32">
        <f t="shared" si="6"/>
        <v>35</v>
      </c>
    </row>
    <row r="481" spans="1:4" x14ac:dyDescent="0.3">
      <c r="A481" s="31">
        <v>45390</v>
      </c>
      <c r="B481" s="32">
        <v>59</v>
      </c>
      <c r="C481" s="32">
        <v>51</v>
      </c>
      <c r="D481" s="32">
        <f t="shared" si="6"/>
        <v>8</v>
      </c>
    </row>
    <row r="482" spans="1:4" x14ac:dyDescent="0.3">
      <c r="A482" s="31">
        <v>45391</v>
      </c>
      <c r="B482" s="32">
        <v>64</v>
      </c>
      <c r="C482" s="32">
        <v>18</v>
      </c>
      <c r="D482" s="32">
        <f t="shared" si="6"/>
        <v>46</v>
      </c>
    </row>
    <row r="483" spans="1:4" x14ac:dyDescent="0.3">
      <c r="A483" s="31">
        <v>45392</v>
      </c>
      <c r="B483" s="32">
        <v>32</v>
      </c>
      <c r="C483" s="32">
        <v>32</v>
      </c>
      <c r="D483" s="32">
        <f t="shared" si="6"/>
        <v>0</v>
      </c>
    </row>
    <row r="484" spans="1:4" x14ac:dyDescent="0.3">
      <c r="A484" s="31">
        <v>45393</v>
      </c>
      <c r="B484" s="32">
        <v>52</v>
      </c>
      <c r="C484" s="32">
        <v>21</v>
      </c>
      <c r="D484" s="32">
        <f t="shared" si="6"/>
        <v>31</v>
      </c>
    </row>
    <row r="485" spans="1:4" x14ac:dyDescent="0.3">
      <c r="A485" s="31">
        <v>45394</v>
      </c>
      <c r="B485" s="32">
        <v>68</v>
      </c>
      <c r="C485" s="32">
        <v>20</v>
      </c>
      <c r="D485" s="32">
        <f t="shared" si="6"/>
        <v>48</v>
      </c>
    </row>
    <row r="486" spans="1:4" x14ac:dyDescent="0.3">
      <c r="A486" s="31">
        <v>45397</v>
      </c>
      <c r="B486" s="32">
        <v>20</v>
      </c>
      <c r="C486" s="32">
        <v>310</v>
      </c>
      <c r="D486" s="32">
        <f t="shared" si="6"/>
        <v>-290</v>
      </c>
    </row>
    <row r="487" spans="1:4" x14ac:dyDescent="0.3">
      <c r="A487" s="31">
        <v>45398</v>
      </c>
      <c r="B487" s="32">
        <v>19</v>
      </c>
      <c r="C487" s="32">
        <v>746</v>
      </c>
      <c r="D487" s="32">
        <f t="shared" si="6"/>
        <v>-727</v>
      </c>
    </row>
    <row r="488" spans="1:4" x14ac:dyDescent="0.3">
      <c r="A488" s="31">
        <v>45399</v>
      </c>
      <c r="B488" s="32">
        <v>238</v>
      </c>
      <c r="C488" s="32">
        <v>28</v>
      </c>
      <c r="D488" s="32">
        <f t="shared" si="6"/>
        <v>210</v>
      </c>
    </row>
    <row r="489" spans="1:4" x14ac:dyDescent="0.3">
      <c r="A489" s="31">
        <v>45400</v>
      </c>
      <c r="B489" s="32">
        <v>69</v>
      </c>
      <c r="C489" s="32">
        <v>38</v>
      </c>
      <c r="D489" s="32">
        <f t="shared" si="6"/>
        <v>31</v>
      </c>
    </row>
    <row r="490" spans="1:4" x14ac:dyDescent="0.3">
      <c r="A490" s="31">
        <v>45401</v>
      </c>
      <c r="B490" s="32">
        <v>61</v>
      </c>
      <c r="C490" s="32">
        <v>49</v>
      </c>
      <c r="D490" s="32">
        <f t="shared" si="6"/>
        <v>12</v>
      </c>
    </row>
    <row r="491" spans="1:4" x14ac:dyDescent="0.3">
      <c r="A491" s="31">
        <v>45404</v>
      </c>
      <c r="B491" s="32">
        <v>62</v>
      </c>
      <c r="C491" s="32">
        <v>62</v>
      </c>
      <c r="D491" s="32">
        <f t="shared" si="6"/>
        <v>0</v>
      </c>
    </row>
    <row r="492" spans="1:4" x14ac:dyDescent="0.3">
      <c r="A492" s="31">
        <v>45405</v>
      </c>
      <c r="B492" s="32">
        <v>62</v>
      </c>
      <c r="C492" s="32">
        <v>44</v>
      </c>
      <c r="D492" s="32">
        <f t="shared" si="6"/>
        <v>18</v>
      </c>
    </row>
    <row r="493" spans="1:4" x14ac:dyDescent="0.3">
      <c r="A493" s="31">
        <v>45406</v>
      </c>
      <c r="B493" s="32">
        <v>72</v>
      </c>
      <c r="C493" s="32">
        <v>26</v>
      </c>
      <c r="D493" s="32">
        <f t="shared" si="6"/>
        <v>46</v>
      </c>
    </row>
    <row r="494" spans="1:4" x14ac:dyDescent="0.3">
      <c r="A494" s="31">
        <v>45407</v>
      </c>
      <c r="B494" s="32">
        <v>61</v>
      </c>
      <c r="C494" s="32">
        <v>21</v>
      </c>
      <c r="D494" s="32">
        <f t="shared" si="6"/>
        <v>40</v>
      </c>
    </row>
    <row r="495" spans="1:4" x14ac:dyDescent="0.3">
      <c r="A495" s="31">
        <v>45408</v>
      </c>
      <c r="B495" s="32">
        <v>82</v>
      </c>
      <c r="C495" s="32">
        <v>21</v>
      </c>
      <c r="D495" s="32">
        <f t="shared" si="6"/>
        <v>61</v>
      </c>
    </row>
    <row r="496" spans="1:4" x14ac:dyDescent="0.3">
      <c r="A496" s="31">
        <v>45411</v>
      </c>
      <c r="B496" s="32">
        <v>135</v>
      </c>
      <c r="C496" s="32">
        <v>24</v>
      </c>
      <c r="D496" s="32">
        <f t="shared" si="6"/>
        <v>111</v>
      </c>
    </row>
    <row r="497" spans="1:4" x14ac:dyDescent="0.3">
      <c r="A497" s="31">
        <v>45412</v>
      </c>
      <c r="B497" s="32">
        <v>76</v>
      </c>
      <c r="C497" s="32">
        <v>40</v>
      </c>
      <c r="D497" s="32">
        <f t="shared" si="6"/>
        <v>36</v>
      </c>
    </row>
    <row r="498" spans="1:4" x14ac:dyDescent="0.3">
      <c r="A498" s="31">
        <v>45418</v>
      </c>
      <c r="B498" s="32">
        <v>104</v>
      </c>
      <c r="C498" s="32">
        <v>67</v>
      </c>
      <c r="D498" s="32">
        <f t="shared" si="6"/>
        <v>37</v>
      </c>
    </row>
    <row r="499" spans="1:4" x14ac:dyDescent="0.3">
      <c r="A499" s="31">
        <v>45419</v>
      </c>
      <c r="B499" s="32">
        <v>65</v>
      </c>
      <c r="C499" s="32">
        <v>57</v>
      </c>
      <c r="D499" s="32">
        <f t="shared" si="6"/>
        <v>8</v>
      </c>
    </row>
    <row r="500" spans="1:4" x14ac:dyDescent="0.3">
      <c r="A500" s="31">
        <v>45420</v>
      </c>
      <c r="B500" s="32">
        <v>60</v>
      </c>
      <c r="C500" s="32">
        <v>49</v>
      </c>
      <c r="D500" s="32">
        <f t="shared" si="6"/>
        <v>11</v>
      </c>
    </row>
    <row r="501" spans="1:4" x14ac:dyDescent="0.3">
      <c r="A501" s="31">
        <v>45421</v>
      </c>
      <c r="B501" s="32">
        <v>62</v>
      </c>
      <c r="C501" s="32">
        <v>51</v>
      </c>
      <c r="D501" s="32">
        <f t="shared" si="6"/>
        <v>11</v>
      </c>
    </row>
    <row r="502" spans="1:4" x14ac:dyDescent="0.3">
      <c r="A502" s="31">
        <v>45422</v>
      </c>
      <c r="B502" s="32">
        <v>43</v>
      </c>
      <c r="C502" s="32">
        <v>73</v>
      </c>
      <c r="D502" s="32">
        <f t="shared" si="6"/>
        <v>-30</v>
      </c>
    </row>
    <row r="503" spans="1:4" x14ac:dyDescent="0.3">
      <c r="A503" s="31">
        <v>45425</v>
      </c>
      <c r="B503" s="32">
        <v>39</v>
      </c>
      <c r="C503" s="32">
        <v>77</v>
      </c>
      <c r="D503" s="32">
        <f t="shared" si="6"/>
        <v>-38</v>
      </c>
    </row>
    <row r="504" spans="1:4" x14ac:dyDescent="0.3">
      <c r="A504" s="31">
        <v>45426</v>
      </c>
      <c r="B504" s="32">
        <v>81</v>
      </c>
      <c r="C504" s="32">
        <v>40</v>
      </c>
      <c r="D504" s="32">
        <f t="shared" si="6"/>
        <v>41</v>
      </c>
    </row>
    <row r="505" spans="1:4" x14ac:dyDescent="0.3">
      <c r="A505" s="31">
        <v>45427</v>
      </c>
      <c r="B505" s="32">
        <v>65</v>
      </c>
      <c r="C505" s="32">
        <v>32</v>
      </c>
      <c r="D505" s="32">
        <f t="shared" si="6"/>
        <v>33</v>
      </c>
    </row>
    <row r="506" spans="1:4" x14ac:dyDescent="0.3">
      <c r="A506" s="31">
        <v>45428</v>
      </c>
      <c r="B506" s="32">
        <v>63</v>
      </c>
      <c r="C506" s="32">
        <v>19</v>
      </c>
      <c r="D506" s="32">
        <f t="shared" si="6"/>
        <v>44</v>
      </c>
    </row>
    <row r="507" spans="1:4" x14ac:dyDescent="0.3">
      <c r="A507" s="31">
        <v>45429</v>
      </c>
      <c r="B507" s="32">
        <v>94</v>
      </c>
      <c r="C507" s="32">
        <v>17</v>
      </c>
      <c r="D507" s="32">
        <f t="shared" si="6"/>
        <v>77</v>
      </c>
    </row>
    <row r="508" spans="1:4" x14ac:dyDescent="0.3">
      <c r="A508" s="31">
        <v>45432</v>
      </c>
      <c r="B508" s="32">
        <v>54</v>
      </c>
      <c r="C508" s="32">
        <v>45</v>
      </c>
      <c r="D508" s="32">
        <f t="shared" si="6"/>
        <v>9</v>
      </c>
    </row>
    <row r="509" spans="1:4" x14ac:dyDescent="0.3">
      <c r="A509" s="31">
        <v>45433</v>
      </c>
      <c r="B509" s="32">
        <v>33</v>
      </c>
      <c r="C509" s="32">
        <v>47</v>
      </c>
      <c r="D509" s="32">
        <f t="shared" si="6"/>
        <v>-14</v>
      </c>
    </row>
    <row r="510" spans="1:4" x14ac:dyDescent="0.3">
      <c r="A510" s="31">
        <v>45434</v>
      </c>
      <c r="B510" s="32">
        <v>53</v>
      </c>
      <c r="C510" s="32">
        <v>34</v>
      </c>
      <c r="D510" s="32">
        <f t="shared" si="6"/>
        <v>19</v>
      </c>
    </row>
    <row r="511" spans="1:4" x14ac:dyDescent="0.3">
      <c r="A511" s="31">
        <v>45435</v>
      </c>
      <c r="B511" s="32">
        <v>37</v>
      </c>
      <c r="C511" s="32">
        <v>28</v>
      </c>
      <c r="D511" s="32">
        <f t="shared" si="6"/>
        <v>9</v>
      </c>
    </row>
    <row r="512" spans="1:4" x14ac:dyDescent="0.3">
      <c r="A512" s="31">
        <v>45436</v>
      </c>
      <c r="B512" s="32">
        <v>57</v>
      </c>
      <c r="C512" s="32">
        <v>28</v>
      </c>
      <c r="D512" s="32">
        <f t="shared" si="6"/>
        <v>29</v>
      </c>
    </row>
    <row r="513" spans="1:4" x14ac:dyDescent="0.3">
      <c r="A513" s="31">
        <v>45439</v>
      </c>
      <c r="B513" s="32">
        <v>45</v>
      </c>
      <c r="C513" s="32">
        <v>47</v>
      </c>
      <c r="D513" s="32">
        <f t="shared" si="6"/>
        <v>-2</v>
      </c>
    </row>
    <row r="514" spans="1:4" x14ac:dyDescent="0.3">
      <c r="A514" s="31">
        <v>45440</v>
      </c>
      <c r="B514" s="32">
        <v>34</v>
      </c>
      <c r="C514" s="32">
        <v>49</v>
      </c>
      <c r="D514" s="32">
        <f t="shared" si="6"/>
        <v>-15</v>
      </c>
    </row>
    <row r="515" spans="1:4" x14ac:dyDescent="0.3">
      <c r="A515" s="31">
        <v>45441</v>
      </c>
      <c r="B515" s="32">
        <v>33</v>
      </c>
      <c r="C515" s="32">
        <v>58</v>
      </c>
      <c r="D515" s="32">
        <f t="shared" si="6"/>
        <v>-25</v>
      </c>
    </row>
    <row r="516" spans="1:4" x14ac:dyDescent="0.3">
      <c r="A516" s="31">
        <v>45442</v>
      </c>
      <c r="B516" s="32">
        <v>39</v>
      </c>
      <c r="C516" s="32">
        <v>60</v>
      </c>
      <c r="D516" s="32">
        <f t="shared" si="6"/>
        <v>-21</v>
      </c>
    </row>
    <row r="517" spans="1:4" x14ac:dyDescent="0.3">
      <c r="A517" s="31">
        <v>45443</v>
      </c>
      <c r="B517" s="32">
        <v>44</v>
      </c>
      <c r="C517" s="32">
        <v>38</v>
      </c>
      <c r="D517" s="32">
        <f t="shared" si="6"/>
        <v>6</v>
      </c>
    </row>
    <row r="518" spans="1:4" x14ac:dyDescent="0.3">
      <c r="A518" s="31">
        <v>45446</v>
      </c>
      <c r="B518" s="32">
        <v>23</v>
      </c>
      <c r="C518" s="32">
        <v>107</v>
      </c>
      <c r="D518" s="32">
        <f t="shared" si="6"/>
        <v>-84</v>
      </c>
    </row>
    <row r="519" spans="1:4" x14ac:dyDescent="0.3">
      <c r="A519" s="31">
        <v>45447</v>
      </c>
      <c r="B519" s="32">
        <v>41</v>
      </c>
      <c r="C519" s="32">
        <v>71</v>
      </c>
      <c r="D519" s="32">
        <f t="shared" si="6"/>
        <v>-30</v>
      </c>
    </row>
    <row r="520" spans="1:4" x14ac:dyDescent="0.3">
      <c r="A520" s="31">
        <v>45448</v>
      </c>
      <c r="B520" s="32">
        <v>26</v>
      </c>
      <c r="C520" s="32">
        <v>40</v>
      </c>
      <c r="D520" s="32">
        <f t="shared" si="6"/>
        <v>-14</v>
      </c>
    </row>
    <row r="521" spans="1:4" x14ac:dyDescent="0.3">
      <c r="A521" s="31">
        <v>45449</v>
      </c>
      <c r="B521" s="32">
        <v>24</v>
      </c>
      <c r="C521" s="32">
        <v>149</v>
      </c>
      <c r="D521" s="32">
        <f t="shared" si="6"/>
        <v>-125</v>
      </c>
    </row>
    <row r="522" spans="1:4" x14ac:dyDescent="0.3">
      <c r="A522" s="31">
        <v>45450</v>
      </c>
      <c r="B522" s="32">
        <v>77</v>
      </c>
      <c r="C522" s="32">
        <v>38</v>
      </c>
      <c r="D522" s="32">
        <f t="shared" si="6"/>
        <v>39</v>
      </c>
    </row>
    <row r="523" spans="1:4" x14ac:dyDescent="0.3">
      <c r="A523" s="31">
        <v>45454</v>
      </c>
      <c r="B523" s="32">
        <v>46</v>
      </c>
      <c r="C523" s="32">
        <v>33</v>
      </c>
      <c r="D523" s="32">
        <f t="shared" si="6"/>
        <v>13</v>
      </c>
    </row>
    <row r="524" spans="1:4" x14ac:dyDescent="0.3">
      <c r="A524" s="31">
        <v>45455</v>
      </c>
      <c r="B524" s="32">
        <v>91</v>
      </c>
      <c r="C524" s="32">
        <v>22</v>
      </c>
      <c r="D524" s="32">
        <f t="shared" si="6"/>
        <v>69</v>
      </c>
    </row>
    <row r="525" spans="1:4" x14ac:dyDescent="0.3">
      <c r="A525" s="31">
        <v>45456</v>
      </c>
      <c r="B525" s="32">
        <v>64</v>
      </c>
      <c r="C525" s="32">
        <v>21</v>
      </c>
      <c r="D525" s="32">
        <f t="shared" si="6"/>
        <v>43</v>
      </c>
    </row>
    <row r="526" spans="1:4" x14ac:dyDescent="0.3">
      <c r="A526" s="31">
        <v>45457</v>
      </c>
      <c r="B526" s="32">
        <v>51</v>
      </c>
      <c r="C526" s="32">
        <v>17</v>
      </c>
      <c r="D526" s="32">
        <f t="shared" si="6"/>
        <v>34</v>
      </c>
    </row>
    <row r="527" spans="1:4" x14ac:dyDescent="0.3">
      <c r="A527" s="31">
        <v>45460</v>
      </c>
      <c r="B527" s="32">
        <v>45</v>
      </c>
      <c r="C527" s="32">
        <v>21</v>
      </c>
      <c r="D527" s="32">
        <f t="shared" si="6"/>
        <v>24</v>
      </c>
    </row>
    <row r="528" spans="1:4" x14ac:dyDescent="0.3">
      <c r="A528" s="31">
        <v>45461</v>
      </c>
      <c r="B528" s="32">
        <v>65</v>
      </c>
      <c r="C528" s="32">
        <v>10</v>
      </c>
      <c r="D528" s="32">
        <f t="shared" si="6"/>
        <v>55</v>
      </c>
    </row>
    <row r="529" spans="1:4" x14ac:dyDescent="0.3">
      <c r="A529" s="31">
        <v>45462</v>
      </c>
      <c r="B529" s="32">
        <v>61</v>
      </c>
      <c r="C529" s="32">
        <v>14</v>
      </c>
      <c r="D529" s="32">
        <f t="shared" si="6"/>
        <v>47</v>
      </c>
    </row>
    <row r="530" spans="1:4" x14ac:dyDescent="0.3">
      <c r="A530" s="31">
        <v>45463</v>
      </c>
      <c r="B530" s="32">
        <v>39</v>
      </c>
      <c r="C530" s="32">
        <v>49</v>
      </c>
      <c r="D530" s="32">
        <f t="shared" si="6"/>
        <v>-10</v>
      </c>
    </row>
    <row r="531" spans="1:4" x14ac:dyDescent="0.3">
      <c r="A531" s="31">
        <v>45464</v>
      </c>
      <c r="B531" s="32">
        <v>49</v>
      </c>
      <c r="C531" s="32">
        <v>36</v>
      </c>
      <c r="D531" s="32">
        <f t="shared" si="6"/>
        <v>13</v>
      </c>
    </row>
    <row r="532" spans="1:4" x14ac:dyDescent="0.3">
      <c r="A532" s="31">
        <v>45467</v>
      </c>
      <c r="B532" s="32">
        <v>30</v>
      </c>
      <c r="C532" s="32">
        <v>78</v>
      </c>
      <c r="D532" s="32">
        <f t="shared" si="6"/>
        <v>-48</v>
      </c>
    </row>
    <row r="533" spans="1:4" x14ac:dyDescent="0.3">
      <c r="A533" s="31">
        <v>45468</v>
      </c>
      <c r="B533" s="32">
        <v>69</v>
      </c>
      <c r="C533" s="32">
        <v>59</v>
      </c>
      <c r="D533" s="32">
        <f t="shared" si="6"/>
        <v>10</v>
      </c>
    </row>
    <row r="534" spans="1:4" x14ac:dyDescent="0.3">
      <c r="A534" s="31">
        <v>45469</v>
      </c>
      <c r="B534" s="32">
        <v>65</v>
      </c>
      <c r="C534" s="32">
        <v>22</v>
      </c>
      <c r="D534" s="32">
        <f t="shared" si="6"/>
        <v>43</v>
      </c>
    </row>
    <row r="535" spans="1:4" x14ac:dyDescent="0.3">
      <c r="A535" s="31">
        <v>45470</v>
      </c>
      <c r="B535" s="32">
        <v>43</v>
      </c>
      <c r="C535" s="32">
        <v>20</v>
      </c>
      <c r="D535" s="32">
        <f t="shared" si="6"/>
        <v>23</v>
      </c>
    </row>
    <row r="536" spans="1:4" x14ac:dyDescent="0.3">
      <c r="A536" s="31">
        <v>45471</v>
      </c>
      <c r="B536" s="32">
        <v>47</v>
      </c>
      <c r="C536" s="32">
        <v>24</v>
      </c>
      <c r="D536" s="32">
        <f t="shared" si="6"/>
        <v>23</v>
      </c>
    </row>
    <row r="537" spans="1:4" x14ac:dyDescent="0.3">
      <c r="A537" s="31">
        <v>45474</v>
      </c>
      <c r="B537" s="32">
        <v>60</v>
      </c>
      <c r="C537" s="32">
        <v>18</v>
      </c>
      <c r="D537" s="32">
        <f t="shared" si="6"/>
        <v>42</v>
      </c>
    </row>
    <row r="538" spans="1:4" x14ac:dyDescent="0.3">
      <c r="A538" s="31">
        <v>45475</v>
      </c>
      <c r="B538" s="32">
        <v>67</v>
      </c>
      <c r="C538" s="32">
        <v>5</v>
      </c>
      <c r="D538" s="32">
        <f t="shared" si="6"/>
        <v>62</v>
      </c>
    </row>
    <row r="539" spans="1:4" x14ac:dyDescent="0.3">
      <c r="A539" s="31">
        <v>45476</v>
      </c>
      <c r="B539" s="32">
        <v>61</v>
      </c>
      <c r="C539" s="32">
        <v>6</v>
      </c>
      <c r="D539" s="32">
        <f t="shared" si="6"/>
        <v>55</v>
      </c>
    </row>
    <row r="540" spans="1:4" x14ac:dyDescent="0.3">
      <c r="A540" s="31">
        <v>45477</v>
      </c>
      <c r="B540" s="32">
        <v>24</v>
      </c>
      <c r="C540" s="32">
        <v>24</v>
      </c>
      <c r="D540" s="32">
        <f t="shared" si="6"/>
        <v>0</v>
      </c>
    </row>
    <row r="541" spans="1:4" x14ac:dyDescent="0.3">
      <c r="A541" s="31">
        <v>45478</v>
      </c>
      <c r="B541" s="32">
        <v>54</v>
      </c>
      <c r="C541" s="32">
        <v>3</v>
      </c>
      <c r="D541" s="32">
        <f t="shared" si="6"/>
        <v>51</v>
      </c>
    </row>
    <row r="542" spans="1:4" x14ac:dyDescent="0.3">
      <c r="A542" s="31">
        <v>45481</v>
      </c>
      <c r="B542" s="32">
        <v>24</v>
      </c>
      <c r="C542" s="32">
        <v>38</v>
      </c>
      <c r="D542" s="32">
        <f t="shared" si="6"/>
        <v>-14</v>
      </c>
    </row>
    <row r="543" spans="1:4" x14ac:dyDescent="0.3">
      <c r="A543" s="31">
        <v>45482</v>
      </c>
      <c r="B543" s="32">
        <v>59</v>
      </c>
      <c r="C543" s="32">
        <v>22</v>
      </c>
      <c r="D543" s="32">
        <f t="shared" si="6"/>
        <v>37</v>
      </c>
    </row>
    <row r="544" spans="1:4" x14ac:dyDescent="0.3">
      <c r="A544" s="31">
        <v>45483</v>
      </c>
      <c r="B544" s="32">
        <v>50</v>
      </c>
      <c r="C544" s="32">
        <v>40</v>
      </c>
      <c r="D544" s="32">
        <f t="shared" si="6"/>
        <v>10</v>
      </c>
    </row>
    <row r="545" spans="1:4" x14ac:dyDescent="0.3">
      <c r="A545" s="31">
        <v>45484</v>
      </c>
      <c r="B545" s="32">
        <v>104</v>
      </c>
      <c r="C545" s="32">
        <v>8</v>
      </c>
      <c r="D545" s="32">
        <f t="shared" si="6"/>
        <v>96</v>
      </c>
    </row>
    <row r="546" spans="1:4" x14ac:dyDescent="0.3">
      <c r="A546" s="31">
        <v>45488</v>
      </c>
      <c r="B546" s="32">
        <v>47</v>
      </c>
      <c r="C546" s="32">
        <v>13</v>
      </c>
      <c r="D546" s="32">
        <f t="shared" si="6"/>
        <v>34</v>
      </c>
    </row>
    <row r="547" spans="1:4" x14ac:dyDescent="0.3">
      <c r="A547" s="31">
        <v>45489</v>
      </c>
      <c r="B547" s="32">
        <v>59</v>
      </c>
      <c r="C547" s="32">
        <v>10</v>
      </c>
      <c r="D547" s="32">
        <f t="shared" si="6"/>
        <v>49</v>
      </c>
    </row>
    <row r="548" spans="1:4" x14ac:dyDescent="0.3">
      <c r="A548" s="31">
        <v>45490</v>
      </c>
      <c r="B548" s="32">
        <v>55</v>
      </c>
      <c r="C548" s="32">
        <v>13</v>
      </c>
      <c r="D548" s="32">
        <f t="shared" si="6"/>
        <v>42</v>
      </c>
    </row>
    <row r="549" spans="1:4" x14ac:dyDescent="0.3">
      <c r="A549" s="31">
        <v>45491</v>
      </c>
      <c r="B549" s="32">
        <v>52</v>
      </c>
      <c r="C549" s="32">
        <v>13</v>
      </c>
      <c r="D549" s="32">
        <f t="shared" si="6"/>
        <v>39</v>
      </c>
    </row>
    <row r="550" spans="1:4" x14ac:dyDescent="0.3">
      <c r="A550" s="31">
        <v>45492</v>
      </c>
      <c r="B550" s="32">
        <v>62</v>
      </c>
      <c r="C550" s="32">
        <v>10</v>
      </c>
      <c r="D550" s="32">
        <f t="shared" si="6"/>
        <v>52</v>
      </c>
    </row>
    <row r="551" spans="1:4" x14ac:dyDescent="0.3">
      <c r="A551" s="31">
        <v>45495</v>
      </c>
      <c r="B551" s="32">
        <v>68</v>
      </c>
      <c r="C551" s="32">
        <v>10</v>
      </c>
      <c r="D551" s="32">
        <f t="shared" si="6"/>
        <v>58</v>
      </c>
    </row>
    <row r="552" spans="1:4" x14ac:dyDescent="0.3">
      <c r="A552" s="31">
        <v>45496</v>
      </c>
      <c r="B552" s="32">
        <v>50</v>
      </c>
      <c r="C552" s="32">
        <v>16</v>
      </c>
      <c r="D552" s="32">
        <f t="shared" si="6"/>
        <v>34</v>
      </c>
    </row>
    <row r="553" spans="1:4" x14ac:dyDescent="0.3">
      <c r="A553" s="31">
        <v>45497</v>
      </c>
      <c r="B553" s="32">
        <v>51</v>
      </c>
      <c r="C553" s="32">
        <v>27</v>
      </c>
      <c r="D553" s="32">
        <f t="shared" si="6"/>
        <v>24</v>
      </c>
    </row>
    <row r="554" spans="1:4" x14ac:dyDescent="0.3">
      <c r="A554" s="31">
        <v>45498</v>
      </c>
      <c r="B554" s="32">
        <v>60</v>
      </c>
      <c r="C554" s="32">
        <v>8</v>
      </c>
      <c r="D554" s="32">
        <f t="shared" si="6"/>
        <v>52</v>
      </c>
    </row>
    <row r="555" spans="1:4" x14ac:dyDescent="0.3">
      <c r="A555" s="31">
        <v>45499</v>
      </c>
      <c r="B555" s="32">
        <v>67</v>
      </c>
      <c r="C555" s="32">
        <v>13</v>
      </c>
      <c r="D555" s="32">
        <f t="shared" si="6"/>
        <v>54</v>
      </c>
    </row>
    <row r="556" spans="1:4" x14ac:dyDescent="0.3">
      <c r="A556" s="31">
        <v>45502</v>
      </c>
      <c r="B556" s="32">
        <v>76</v>
      </c>
      <c r="C556" s="32">
        <v>4</v>
      </c>
      <c r="D556" s="32">
        <f t="shared" si="6"/>
        <v>72</v>
      </c>
    </row>
    <row r="557" spans="1:4" x14ac:dyDescent="0.3">
      <c r="A557" s="31">
        <v>45503</v>
      </c>
      <c r="B557" s="32">
        <v>82</v>
      </c>
      <c r="C557" s="32">
        <v>4</v>
      </c>
      <c r="D557" s="32">
        <f t="shared" si="6"/>
        <v>78</v>
      </c>
    </row>
    <row r="558" spans="1:4" x14ac:dyDescent="0.3">
      <c r="A558" s="31">
        <v>45504</v>
      </c>
      <c r="B558" s="32">
        <v>90</v>
      </c>
      <c r="C558" s="32">
        <v>4</v>
      </c>
      <c r="D558" s="32">
        <f t="shared" si="6"/>
        <v>86</v>
      </c>
    </row>
    <row r="559" spans="1:4" x14ac:dyDescent="0.3">
      <c r="A559" s="31">
        <v>45505</v>
      </c>
      <c r="B559" s="32">
        <v>73</v>
      </c>
      <c r="C559" s="32">
        <v>6</v>
      </c>
      <c r="D559" s="32">
        <f t="shared" si="6"/>
        <v>67</v>
      </c>
    </row>
    <row r="560" spans="1:4" x14ac:dyDescent="0.3">
      <c r="A560" s="31">
        <v>45506</v>
      </c>
      <c r="B560" s="32">
        <v>57</v>
      </c>
      <c r="C560" s="32">
        <v>10</v>
      </c>
      <c r="D560" s="32">
        <f t="shared" si="6"/>
        <v>47</v>
      </c>
    </row>
    <row r="561" spans="1:4" x14ac:dyDescent="0.3">
      <c r="A561" s="31">
        <v>45509</v>
      </c>
      <c r="B561" s="32">
        <v>51</v>
      </c>
      <c r="C561" s="32">
        <v>36</v>
      </c>
      <c r="D561" s="32">
        <f t="shared" si="6"/>
        <v>15</v>
      </c>
    </row>
    <row r="562" spans="1:4" x14ac:dyDescent="0.3">
      <c r="A562" s="31">
        <v>45510</v>
      </c>
      <c r="B562" s="32">
        <v>73</v>
      </c>
      <c r="C562" s="32">
        <v>26</v>
      </c>
      <c r="D562" s="32">
        <f t="shared" si="6"/>
        <v>47</v>
      </c>
    </row>
    <row r="563" spans="1:4" x14ac:dyDescent="0.3">
      <c r="A563" s="31">
        <v>45511</v>
      </c>
      <c r="B563" s="32">
        <v>71</v>
      </c>
      <c r="C563" s="32">
        <v>17</v>
      </c>
      <c r="D563" s="32">
        <f t="shared" si="6"/>
        <v>54</v>
      </c>
    </row>
    <row r="564" spans="1:4" x14ac:dyDescent="0.3">
      <c r="A564" s="31">
        <v>45512</v>
      </c>
      <c r="B564" s="32">
        <v>70</v>
      </c>
      <c r="C564" s="32">
        <v>19</v>
      </c>
      <c r="D564" s="32">
        <f t="shared" si="6"/>
        <v>51</v>
      </c>
    </row>
    <row r="565" spans="1:4" x14ac:dyDescent="0.3">
      <c r="A565" s="31">
        <v>45513</v>
      </c>
      <c r="B565" s="32">
        <v>40</v>
      </c>
      <c r="C565" s="32">
        <v>22</v>
      </c>
      <c r="D565" s="32">
        <f t="shared" si="6"/>
        <v>18</v>
      </c>
    </row>
    <row r="566" spans="1:4" x14ac:dyDescent="0.3">
      <c r="A566" s="31">
        <v>45516</v>
      </c>
      <c r="B566" s="32">
        <v>38</v>
      </c>
      <c r="C566" s="32">
        <v>45</v>
      </c>
      <c r="D566" s="32">
        <f t="shared" si="6"/>
        <v>-7</v>
      </c>
    </row>
    <row r="567" spans="1:4" x14ac:dyDescent="0.3">
      <c r="A567" s="31">
        <v>45517</v>
      </c>
      <c r="B567" s="32">
        <v>47</v>
      </c>
      <c r="C567" s="32">
        <v>11</v>
      </c>
      <c r="D567" s="32">
        <f t="shared" si="6"/>
        <v>36</v>
      </c>
    </row>
    <row r="568" spans="1:4" x14ac:dyDescent="0.3">
      <c r="A568" s="31">
        <v>45518</v>
      </c>
      <c r="B568" s="32">
        <v>43</v>
      </c>
      <c r="C568" s="32">
        <v>4</v>
      </c>
      <c r="D568" s="32">
        <f t="shared" si="6"/>
        <v>39</v>
      </c>
    </row>
    <row r="569" spans="1:4" x14ac:dyDescent="0.3">
      <c r="A569" s="31">
        <v>45519</v>
      </c>
      <c r="B569" s="32">
        <v>54</v>
      </c>
      <c r="C569" s="32">
        <v>9</v>
      </c>
      <c r="D569" s="32">
        <f t="shared" si="6"/>
        <v>45</v>
      </c>
    </row>
    <row r="570" spans="1:4" x14ac:dyDescent="0.3">
      <c r="A570" s="31">
        <v>45520</v>
      </c>
      <c r="B570" s="32">
        <v>43</v>
      </c>
      <c r="C570" s="32">
        <v>11</v>
      </c>
      <c r="D570" s="32">
        <f t="shared" si="6"/>
        <v>32</v>
      </c>
    </row>
    <row r="571" spans="1:4" x14ac:dyDescent="0.3">
      <c r="A571" s="31">
        <v>45523</v>
      </c>
      <c r="B571" s="32">
        <v>53</v>
      </c>
      <c r="C571" s="32">
        <v>17</v>
      </c>
      <c r="D571" s="32">
        <f t="shared" si="6"/>
        <v>36</v>
      </c>
    </row>
    <row r="572" spans="1:4" x14ac:dyDescent="0.3">
      <c r="A572" s="31">
        <v>45524</v>
      </c>
      <c r="B572" s="32">
        <v>37</v>
      </c>
      <c r="C572" s="32">
        <v>13</v>
      </c>
      <c r="D572" s="32">
        <f t="shared" si="6"/>
        <v>24</v>
      </c>
    </row>
    <row r="573" spans="1:4" x14ac:dyDescent="0.3">
      <c r="A573" s="31">
        <v>45525</v>
      </c>
      <c r="B573" s="32">
        <v>52</v>
      </c>
      <c r="C573" s="32">
        <v>6</v>
      </c>
      <c r="D573" s="32">
        <f t="shared" si="6"/>
        <v>46</v>
      </c>
    </row>
    <row r="574" spans="1:4" x14ac:dyDescent="0.3">
      <c r="A574" s="31">
        <v>45526</v>
      </c>
      <c r="B574" s="32">
        <v>41</v>
      </c>
      <c r="C574" s="32">
        <v>12</v>
      </c>
      <c r="D574" s="32">
        <f t="shared" si="6"/>
        <v>29</v>
      </c>
    </row>
    <row r="575" spans="1:4" x14ac:dyDescent="0.3">
      <c r="A575" s="31">
        <v>45527</v>
      </c>
      <c r="B575" s="32">
        <v>50</v>
      </c>
      <c r="C575" s="32">
        <v>14</v>
      </c>
      <c r="D575" s="32">
        <f t="shared" si="6"/>
        <v>36</v>
      </c>
    </row>
    <row r="576" spans="1:4" x14ac:dyDescent="0.3">
      <c r="A576" s="31">
        <v>45530</v>
      </c>
      <c r="B576" s="32">
        <v>59</v>
      </c>
      <c r="C576" s="32">
        <v>10</v>
      </c>
      <c r="D576" s="32">
        <f t="shared" si="6"/>
        <v>49</v>
      </c>
    </row>
    <row r="577" spans="1:4" x14ac:dyDescent="0.3">
      <c r="A577" s="31">
        <v>45531</v>
      </c>
      <c r="B577" s="32">
        <v>58</v>
      </c>
      <c r="C577" s="32">
        <v>8</v>
      </c>
      <c r="D577" s="32">
        <f t="shared" si="6"/>
        <v>50</v>
      </c>
    </row>
    <row r="578" spans="1:4" x14ac:dyDescent="0.3">
      <c r="A578" s="31">
        <v>45532</v>
      </c>
      <c r="B578" s="32">
        <v>53</v>
      </c>
      <c r="C578" s="32">
        <v>7</v>
      </c>
      <c r="D578" s="32">
        <f t="shared" si="6"/>
        <v>46</v>
      </c>
    </row>
    <row r="579" spans="1:4" x14ac:dyDescent="0.3">
      <c r="A579" s="31">
        <v>45533</v>
      </c>
      <c r="B579" s="32">
        <v>65</v>
      </c>
      <c r="C579" s="32">
        <v>1</v>
      </c>
      <c r="D579" s="32">
        <f t="shared" si="6"/>
        <v>64</v>
      </c>
    </row>
    <row r="580" spans="1:4" x14ac:dyDescent="0.3">
      <c r="A580" s="31">
        <v>45537</v>
      </c>
      <c r="B580" s="32">
        <v>54</v>
      </c>
      <c r="C580" s="32">
        <v>9</v>
      </c>
      <c r="D580" s="32">
        <f t="shared" si="6"/>
        <v>45</v>
      </c>
    </row>
    <row r="581" spans="1:4" x14ac:dyDescent="0.3">
      <c r="A581" s="31">
        <v>45538</v>
      </c>
      <c r="B581" s="32">
        <v>74</v>
      </c>
      <c r="C581" s="32">
        <v>7</v>
      </c>
      <c r="D581" s="32">
        <f t="shared" si="6"/>
        <v>67</v>
      </c>
    </row>
    <row r="582" spans="1:4" x14ac:dyDescent="0.3">
      <c r="A582" s="31">
        <v>45539</v>
      </c>
      <c r="B582" s="32">
        <v>44</v>
      </c>
      <c r="C582" s="32">
        <v>34</v>
      </c>
      <c r="D582" s="32">
        <f t="shared" si="6"/>
        <v>10</v>
      </c>
    </row>
    <row r="583" spans="1:4" x14ac:dyDescent="0.3">
      <c r="A583" s="31">
        <v>45540</v>
      </c>
      <c r="B583" s="32">
        <v>66</v>
      </c>
      <c r="C583" s="32">
        <v>8</v>
      </c>
      <c r="D583" s="32">
        <f t="shared" si="6"/>
        <v>58</v>
      </c>
    </row>
    <row r="584" spans="1:4" x14ac:dyDescent="0.3">
      <c r="A584" s="31">
        <v>45541</v>
      </c>
      <c r="B584" s="32">
        <v>43</v>
      </c>
      <c r="C584" s="32">
        <v>4</v>
      </c>
      <c r="D584" s="32">
        <f t="shared" si="6"/>
        <v>39</v>
      </c>
    </row>
    <row r="585" spans="1:4" x14ac:dyDescent="0.3">
      <c r="A585" s="31">
        <v>45544</v>
      </c>
      <c r="B585" s="32">
        <v>57</v>
      </c>
      <c r="C585" s="32">
        <v>18</v>
      </c>
      <c r="D585" s="32">
        <f t="shared" si="6"/>
        <v>39</v>
      </c>
    </row>
    <row r="586" spans="1:4" x14ac:dyDescent="0.3">
      <c r="A586" s="31">
        <v>45545</v>
      </c>
      <c r="B586" s="32">
        <v>49</v>
      </c>
      <c r="C586" s="32">
        <v>31</v>
      </c>
      <c r="D586" s="32">
        <f t="shared" si="6"/>
        <v>18</v>
      </c>
    </row>
    <row r="587" spans="1:4" x14ac:dyDescent="0.3">
      <c r="A587" s="31">
        <v>45546</v>
      </c>
      <c r="B587" s="32">
        <v>35</v>
      </c>
      <c r="C587" s="32">
        <v>30</v>
      </c>
      <c r="D587" s="32">
        <f t="shared" si="6"/>
        <v>5</v>
      </c>
    </row>
    <row r="588" spans="1:4" x14ac:dyDescent="0.3">
      <c r="A588" s="31">
        <v>45547</v>
      </c>
      <c r="B588" s="32">
        <v>48</v>
      </c>
      <c r="C588" s="32">
        <v>6</v>
      </c>
      <c r="D588" s="32">
        <f t="shared" si="6"/>
        <v>42</v>
      </c>
    </row>
    <row r="589" spans="1:4" x14ac:dyDescent="0.3">
      <c r="A589" s="31">
        <v>45548</v>
      </c>
      <c r="B589" s="32">
        <v>47</v>
      </c>
      <c r="C589" s="32">
        <v>15</v>
      </c>
      <c r="D589" s="32">
        <f t="shared" ref="D589:D602" si="7">B589-C589</f>
        <v>32</v>
      </c>
    </row>
    <row r="590" spans="1:4" x14ac:dyDescent="0.3">
      <c r="A590" s="31">
        <v>45553</v>
      </c>
      <c r="B590" s="32">
        <v>32</v>
      </c>
      <c r="C590" s="32">
        <v>28</v>
      </c>
      <c r="D590" s="32">
        <f t="shared" si="7"/>
        <v>4</v>
      </c>
    </row>
    <row r="591" spans="1:4" x14ac:dyDescent="0.3">
      <c r="A591" s="31">
        <v>45554</v>
      </c>
      <c r="B591" s="32">
        <v>76</v>
      </c>
      <c r="C591" s="32">
        <v>7</v>
      </c>
      <c r="D591" s="32">
        <f t="shared" si="7"/>
        <v>69</v>
      </c>
    </row>
    <row r="592" spans="1:4" x14ac:dyDescent="0.3">
      <c r="A592" s="31">
        <v>45555</v>
      </c>
      <c r="B592" s="32">
        <v>57</v>
      </c>
      <c r="C592" s="32">
        <v>5</v>
      </c>
      <c r="D592" s="32">
        <f t="shared" si="7"/>
        <v>52</v>
      </c>
    </row>
    <row r="593" spans="1:4" x14ac:dyDescent="0.3">
      <c r="A593" s="31">
        <v>45559</v>
      </c>
      <c r="B593" s="32">
        <v>98</v>
      </c>
      <c r="C593" s="32">
        <v>7</v>
      </c>
      <c r="D593" s="32">
        <f t="shared" si="7"/>
        <v>91</v>
      </c>
    </row>
    <row r="594" spans="1:4" x14ac:dyDescent="0.3">
      <c r="A594" s="31">
        <v>45560</v>
      </c>
      <c r="B594" s="32">
        <v>66</v>
      </c>
      <c r="C594" s="32">
        <v>3</v>
      </c>
      <c r="D594" s="32">
        <f t="shared" si="7"/>
        <v>63</v>
      </c>
    </row>
    <row r="595" spans="1:4" x14ac:dyDescent="0.3">
      <c r="A595" s="31">
        <v>45561</v>
      </c>
      <c r="B595" s="32">
        <v>151</v>
      </c>
      <c r="C595" s="32">
        <v>3</v>
      </c>
      <c r="D595" s="32">
        <f t="shared" si="7"/>
        <v>148</v>
      </c>
    </row>
    <row r="596" spans="1:4" x14ac:dyDescent="0.3">
      <c r="A596" s="31">
        <v>45562</v>
      </c>
      <c r="B596" s="32">
        <v>138</v>
      </c>
      <c r="C596" s="32">
        <v>3</v>
      </c>
      <c r="D596" s="32">
        <f t="shared" si="7"/>
        <v>135</v>
      </c>
    </row>
    <row r="597" spans="1:4" x14ac:dyDescent="0.3">
      <c r="A597" s="31">
        <v>45565</v>
      </c>
      <c r="B597" s="32">
        <v>713</v>
      </c>
      <c r="C597" s="32">
        <v>2</v>
      </c>
      <c r="D597" s="32">
        <f t="shared" si="7"/>
        <v>711</v>
      </c>
    </row>
    <row r="598" spans="1:4" x14ac:dyDescent="0.3">
      <c r="A598" s="31">
        <v>45573</v>
      </c>
      <c r="B598" s="32">
        <v>791</v>
      </c>
      <c r="C598" s="32">
        <v>3</v>
      </c>
      <c r="D598" s="32">
        <f t="shared" si="7"/>
        <v>788</v>
      </c>
    </row>
    <row r="599" spans="1:4" x14ac:dyDescent="0.3">
      <c r="A599" s="31">
        <v>45574</v>
      </c>
      <c r="B599" s="32">
        <v>51</v>
      </c>
      <c r="C599" s="32">
        <v>854</v>
      </c>
      <c r="D599" s="32">
        <f t="shared" si="7"/>
        <v>-803</v>
      </c>
    </row>
    <row r="600" spans="1:4" x14ac:dyDescent="0.3">
      <c r="A600" s="31">
        <v>45575</v>
      </c>
      <c r="B600" s="32">
        <v>82</v>
      </c>
      <c r="C600" s="32">
        <v>48</v>
      </c>
      <c r="D600" s="32">
        <f t="shared" si="7"/>
        <v>34</v>
      </c>
    </row>
    <row r="601" spans="1:4" x14ac:dyDescent="0.3">
      <c r="A601" s="31">
        <v>45576</v>
      </c>
      <c r="B601" s="32">
        <v>51</v>
      </c>
      <c r="C601" s="32">
        <v>33</v>
      </c>
      <c r="D601" s="32">
        <f t="shared" si="7"/>
        <v>18</v>
      </c>
    </row>
    <row r="602" spans="1:4" x14ac:dyDescent="0.3">
      <c r="A602" s="31">
        <v>45579</v>
      </c>
      <c r="B602" s="32">
        <v>121</v>
      </c>
      <c r="C602" s="32">
        <v>6</v>
      </c>
      <c r="D602" s="32">
        <f t="shared" si="7"/>
        <v>115</v>
      </c>
    </row>
    <row r="603" spans="1:4" x14ac:dyDescent="0.3">
      <c r="A603" s="31">
        <v>45580</v>
      </c>
      <c r="B603" s="32">
        <v>72</v>
      </c>
      <c r="C603" s="32">
        <v>2</v>
      </c>
      <c r="D603" s="32">
        <f t="shared" ref="D603:D720" si="8">B603-C603</f>
        <v>70</v>
      </c>
    </row>
    <row r="604" spans="1:4" x14ac:dyDescent="0.3">
      <c r="A604" s="31">
        <v>45581</v>
      </c>
      <c r="B604" s="32">
        <v>106</v>
      </c>
      <c r="C604" s="32">
        <v>5</v>
      </c>
      <c r="D604" s="32">
        <f t="shared" si="8"/>
        <v>101</v>
      </c>
    </row>
    <row r="605" spans="1:4" x14ac:dyDescent="0.3">
      <c r="A605" s="31">
        <v>45582</v>
      </c>
      <c r="B605" s="32">
        <v>68</v>
      </c>
      <c r="C605" s="32">
        <v>7</v>
      </c>
      <c r="D605" s="32">
        <f t="shared" si="8"/>
        <v>61</v>
      </c>
    </row>
    <row r="606" spans="1:4" x14ac:dyDescent="0.3">
      <c r="A606" s="31">
        <v>45583</v>
      </c>
      <c r="B606" s="32">
        <v>138</v>
      </c>
      <c r="C606" s="32">
        <v>0</v>
      </c>
      <c r="D606" s="32">
        <f t="shared" si="8"/>
        <v>138</v>
      </c>
    </row>
    <row r="607" spans="1:4" x14ac:dyDescent="0.3">
      <c r="A607" s="31">
        <v>45586</v>
      </c>
      <c r="B607" s="32">
        <v>190</v>
      </c>
      <c r="C607" s="32">
        <v>0</v>
      </c>
      <c r="D607" s="32">
        <f t="shared" si="8"/>
        <v>190</v>
      </c>
    </row>
    <row r="608" spans="1:4" x14ac:dyDescent="0.3">
      <c r="A608" s="31">
        <v>45587</v>
      </c>
      <c r="B608" s="32">
        <v>132</v>
      </c>
      <c r="C608" s="32">
        <v>0</v>
      </c>
      <c r="D608" s="32">
        <f t="shared" si="8"/>
        <v>132</v>
      </c>
    </row>
    <row r="609" spans="1:4" x14ac:dyDescent="0.3">
      <c r="A609" s="31">
        <v>45588</v>
      </c>
      <c r="B609" s="32">
        <v>127</v>
      </c>
      <c r="C609" s="32">
        <v>2</v>
      </c>
      <c r="D609" s="32">
        <f t="shared" si="8"/>
        <v>125</v>
      </c>
    </row>
    <row r="610" spans="1:4" x14ac:dyDescent="0.3">
      <c r="A610" s="31">
        <v>45589</v>
      </c>
      <c r="B610" s="32">
        <v>133</v>
      </c>
      <c r="C610" s="32">
        <v>3</v>
      </c>
      <c r="D610" s="32">
        <f t="shared" si="8"/>
        <v>130</v>
      </c>
    </row>
    <row r="611" spans="1:4" x14ac:dyDescent="0.3">
      <c r="A611" s="31">
        <v>45590</v>
      </c>
      <c r="B611" s="32">
        <v>191</v>
      </c>
      <c r="C611" s="32">
        <v>1</v>
      </c>
      <c r="D611" s="32">
        <f t="shared" si="8"/>
        <v>190</v>
      </c>
    </row>
    <row r="612" spans="1:4" x14ac:dyDescent="0.3">
      <c r="A612" s="31">
        <v>45593</v>
      </c>
      <c r="B612" s="32">
        <v>294</v>
      </c>
      <c r="C612" s="32">
        <v>1</v>
      </c>
      <c r="D612" s="32">
        <f t="shared" si="8"/>
        <v>293</v>
      </c>
    </row>
    <row r="613" spans="1:4" x14ac:dyDescent="0.3">
      <c r="A613" s="31">
        <v>45594</v>
      </c>
      <c r="B613" s="32">
        <v>152</v>
      </c>
      <c r="C613" s="32">
        <v>19</v>
      </c>
      <c r="D613" s="32">
        <f t="shared" si="8"/>
        <v>133</v>
      </c>
    </row>
    <row r="614" spans="1:4" x14ac:dyDescent="0.3">
      <c r="A614" s="31">
        <v>45595</v>
      </c>
      <c r="B614" s="32">
        <v>194</v>
      </c>
      <c r="C614" s="32">
        <v>8</v>
      </c>
      <c r="D614" s="32">
        <f t="shared" si="8"/>
        <v>186</v>
      </c>
    </row>
    <row r="615" spans="1:4" x14ac:dyDescent="0.3">
      <c r="A615" s="31">
        <v>45596</v>
      </c>
      <c r="B615" s="32">
        <v>212</v>
      </c>
      <c r="C615" s="32">
        <v>14</v>
      </c>
      <c r="D615" s="32">
        <f t="shared" si="8"/>
        <v>198</v>
      </c>
    </row>
    <row r="616" spans="1:4" x14ac:dyDescent="0.3">
      <c r="A616" s="31">
        <v>45597</v>
      </c>
      <c r="B616" s="32">
        <v>124</v>
      </c>
      <c r="C616" s="32">
        <v>165</v>
      </c>
      <c r="D616" s="32">
        <f t="shared" si="8"/>
        <v>-41</v>
      </c>
    </row>
    <row r="617" spans="1:4" x14ac:dyDescent="0.3">
      <c r="A617" s="31">
        <v>45600</v>
      </c>
      <c r="B617" s="32">
        <v>186</v>
      </c>
      <c r="C617" s="32">
        <v>43</v>
      </c>
      <c r="D617" s="32">
        <f t="shared" si="8"/>
        <v>143</v>
      </c>
    </row>
    <row r="618" spans="1:4" x14ac:dyDescent="0.3">
      <c r="A618" s="31">
        <v>45601</v>
      </c>
      <c r="B618" s="32">
        <v>218</v>
      </c>
      <c r="C618" s="32">
        <v>2</v>
      </c>
      <c r="D618" s="32">
        <f t="shared" si="8"/>
        <v>216</v>
      </c>
    </row>
    <row r="619" spans="1:4" x14ac:dyDescent="0.3">
      <c r="A619" s="31">
        <v>45602</v>
      </c>
      <c r="B619" s="32">
        <v>181</v>
      </c>
      <c r="C619" s="32">
        <v>7</v>
      </c>
      <c r="D619" s="32">
        <f t="shared" si="8"/>
        <v>174</v>
      </c>
    </row>
    <row r="620" spans="1:4" x14ac:dyDescent="0.3">
      <c r="A620" s="31">
        <v>45603</v>
      </c>
      <c r="B620" s="32">
        <v>233</v>
      </c>
      <c r="C620" s="32">
        <v>10</v>
      </c>
      <c r="D620" s="32">
        <f t="shared" si="8"/>
        <v>223</v>
      </c>
    </row>
    <row r="621" spans="1:4" x14ac:dyDescent="0.3">
      <c r="A621" s="31">
        <v>45604</v>
      </c>
      <c r="B621" s="32">
        <v>155</v>
      </c>
      <c r="C621" s="32">
        <v>6</v>
      </c>
      <c r="D621" s="32">
        <f t="shared" si="8"/>
        <v>149</v>
      </c>
    </row>
    <row r="622" spans="1:4" x14ac:dyDescent="0.3">
      <c r="A622" s="31">
        <v>45607</v>
      </c>
      <c r="B622" s="32">
        <v>213</v>
      </c>
      <c r="C622" s="32">
        <v>19</v>
      </c>
      <c r="D622" s="32">
        <f t="shared" si="8"/>
        <v>194</v>
      </c>
    </row>
    <row r="623" spans="1:4" x14ac:dyDescent="0.3">
      <c r="A623" s="31">
        <v>45608</v>
      </c>
      <c r="B623" s="32">
        <v>113</v>
      </c>
      <c r="C623" s="32">
        <v>20</v>
      </c>
      <c r="D623" s="32">
        <f t="shared" si="8"/>
        <v>93</v>
      </c>
    </row>
    <row r="624" spans="1:4" x14ac:dyDescent="0.3">
      <c r="A624" s="31">
        <v>45609</v>
      </c>
      <c r="B624" s="32">
        <v>89</v>
      </c>
      <c r="C624" s="32">
        <v>25</v>
      </c>
      <c r="D624" s="32">
        <f t="shared" si="8"/>
        <v>64</v>
      </c>
    </row>
    <row r="625" spans="1:4" x14ac:dyDescent="0.3">
      <c r="A625" s="31">
        <v>45610</v>
      </c>
      <c r="B625" s="32">
        <v>58</v>
      </c>
      <c r="C625" s="32">
        <v>26</v>
      </c>
      <c r="D625" s="32">
        <f t="shared" si="8"/>
        <v>32</v>
      </c>
    </row>
    <row r="626" spans="1:4" x14ac:dyDescent="0.3">
      <c r="A626" s="31">
        <v>45611</v>
      </c>
      <c r="B626" s="32">
        <v>81</v>
      </c>
      <c r="C626" s="32">
        <v>54</v>
      </c>
      <c r="D626" s="32">
        <f t="shared" si="8"/>
        <v>27</v>
      </c>
    </row>
    <row r="627" spans="1:4" x14ac:dyDescent="0.3">
      <c r="A627" s="31">
        <v>45614</v>
      </c>
      <c r="B627" s="32">
        <v>90</v>
      </c>
      <c r="C627" s="32">
        <v>101</v>
      </c>
      <c r="D627" s="32">
        <f t="shared" si="8"/>
        <v>-11</v>
      </c>
    </row>
    <row r="628" spans="1:4" x14ac:dyDescent="0.3">
      <c r="A628" s="31">
        <v>45615</v>
      </c>
      <c r="B628" s="32">
        <v>103</v>
      </c>
      <c r="C628" s="32">
        <v>35</v>
      </c>
      <c r="D628" s="32">
        <f t="shared" si="8"/>
        <v>68</v>
      </c>
    </row>
    <row r="629" spans="1:4" x14ac:dyDescent="0.3">
      <c r="A629" s="31">
        <v>45616</v>
      </c>
      <c r="B629" s="32">
        <v>178</v>
      </c>
      <c r="C629" s="32">
        <v>6</v>
      </c>
      <c r="D629" s="32">
        <f t="shared" si="8"/>
        <v>172</v>
      </c>
    </row>
    <row r="630" spans="1:4" x14ac:dyDescent="0.3">
      <c r="A630" s="31">
        <v>45617</v>
      </c>
      <c r="B630" s="32">
        <v>125</v>
      </c>
      <c r="C630" s="32">
        <v>12</v>
      </c>
      <c r="D630" s="32">
        <f t="shared" si="8"/>
        <v>113</v>
      </c>
    </row>
    <row r="631" spans="1:4" x14ac:dyDescent="0.3">
      <c r="A631" s="31">
        <v>45618</v>
      </c>
      <c r="B631" s="32">
        <v>78</v>
      </c>
      <c r="C631" s="32">
        <v>17</v>
      </c>
      <c r="D631" s="32">
        <f t="shared" si="8"/>
        <v>61</v>
      </c>
    </row>
    <row r="632" spans="1:4" x14ac:dyDescent="0.3">
      <c r="A632" s="31">
        <v>45621</v>
      </c>
      <c r="B632" s="32">
        <v>170</v>
      </c>
      <c r="C632" s="32">
        <v>26</v>
      </c>
      <c r="D632" s="32">
        <f t="shared" si="8"/>
        <v>144</v>
      </c>
    </row>
    <row r="633" spans="1:4" x14ac:dyDescent="0.3">
      <c r="A633" s="31">
        <v>45622</v>
      </c>
      <c r="B633" s="32">
        <v>106</v>
      </c>
      <c r="C633" s="32">
        <v>65</v>
      </c>
      <c r="D633" s="32">
        <f t="shared" si="8"/>
        <v>41</v>
      </c>
    </row>
    <row r="634" spans="1:4" x14ac:dyDescent="0.3">
      <c r="A634" s="31">
        <v>45623</v>
      </c>
      <c r="B634" s="32">
        <v>108</v>
      </c>
      <c r="C634" s="32">
        <v>22</v>
      </c>
      <c r="D634" s="32">
        <f t="shared" si="8"/>
        <v>86</v>
      </c>
    </row>
    <row r="635" spans="1:4" x14ac:dyDescent="0.3">
      <c r="A635" s="31">
        <v>45624</v>
      </c>
      <c r="B635" s="32">
        <v>113</v>
      </c>
      <c r="C635" s="32">
        <v>7</v>
      </c>
      <c r="D635" s="32">
        <f t="shared" si="8"/>
        <v>106</v>
      </c>
    </row>
    <row r="636" spans="1:4" x14ac:dyDescent="0.3">
      <c r="A636" s="31">
        <v>45625</v>
      </c>
      <c r="B636" s="32">
        <v>144</v>
      </c>
      <c r="C636" s="32">
        <v>11</v>
      </c>
      <c r="D636" s="32">
        <f t="shared" si="8"/>
        <v>133</v>
      </c>
    </row>
    <row r="637" spans="1:4" x14ac:dyDescent="0.3">
      <c r="A637" s="31">
        <v>45628</v>
      </c>
      <c r="B637" s="32">
        <v>185</v>
      </c>
      <c r="C637" s="32">
        <v>6</v>
      </c>
      <c r="D637" s="32">
        <f t="shared" si="8"/>
        <v>179</v>
      </c>
    </row>
    <row r="638" spans="1:4" x14ac:dyDescent="0.3">
      <c r="A638" s="31">
        <v>45629</v>
      </c>
      <c r="B638" s="32">
        <v>134</v>
      </c>
      <c r="C638" s="32">
        <v>6</v>
      </c>
      <c r="D638" s="32">
        <f t="shared" si="8"/>
        <v>128</v>
      </c>
    </row>
    <row r="639" spans="1:4" x14ac:dyDescent="0.3">
      <c r="A639" s="31">
        <v>45630</v>
      </c>
      <c r="B639" s="32">
        <v>97</v>
      </c>
      <c r="C639" s="32">
        <v>19</v>
      </c>
      <c r="D639" s="32">
        <f t="shared" si="8"/>
        <v>78</v>
      </c>
    </row>
    <row r="640" spans="1:4" x14ac:dyDescent="0.3">
      <c r="A640" s="31">
        <v>45631</v>
      </c>
      <c r="B640" s="32">
        <v>142</v>
      </c>
      <c r="C640" s="32">
        <v>11</v>
      </c>
      <c r="D640" s="32">
        <f t="shared" si="8"/>
        <v>131</v>
      </c>
    </row>
    <row r="641" spans="1:4" x14ac:dyDescent="0.3">
      <c r="A641" s="31">
        <v>45632</v>
      </c>
      <c r="B641" s="32">
        <v>134</v>
      </c>
      <c r="C641" s="32">
        <v>6</v>
      </c>
      <c r="D641" s="32">
        <f t="shared" si="8"/>
        <v>128</v>
      </c>
    </row>
    <row r="642" spans="1:4" x14ac:dyDescent="0.3">
      <c r="A642" s="31">
        <v>45635</v>
      </c>
      <c r="B642" s="32">
        <v>118</v>
      </c>
      <c r="C642" s="32">
        <v>27</v>
      </c>
      <c r="D642" s="32">
        <f t="shared" si="8"/>
        <v>91</v>
      </c>
    </row>
    <row r="643" spans="1:4" x14ac:dyDescent="0.3">
      <c r="A643" s="31">
        <v>45636</v>
      </c>
      <c r="B643" s="32">
        <v>119</v>
      </c>
      <c r="C643" s="32">
        <v>6</v>
      </c>
      <c r="D643" s="32">
        <f t="shared" si="8"/>
        <v>113</v>
      </c>
    </row>
    <row r="644" spans="1:4" x14ac:dyDescent="0.3">
      <c r="A644" s="31">
        <v>45637</v>
      </c>
      <c r="B644" s="32">
        <v>156</v>
      </c>
      <c r="C644" s="32">
        <v>11</v>
      </c>
      <c r="D644" s="32">
        <f t="shared" si="8"/>
        <v>145</v>
      </c>
    </row>
    <row r="645" spans="1:4" x14ac:dyDescent="0.3">
      <c r="A645" s="31">
        <v>45638</v>
      </c>
      <c r="B645" s="32">
        <v>155</v>
      </c>
      <c r="C645" s="32">
        <v>7</v>
      </c>
      <c r="D645" s="32">
        <f t="shared" si="8"/>
        <v>148</v>
      </c>
    </row>
    <row r="646" spans="1:4" x14ac:dyDescent="0.3">
      <c r="A646" s="31">
        <v>45639</v>
      </c>
      <c r="B646" s="32">
        <v>100</v>
      </c>
      <c r="C646" s="32">
        <v>17</v>
      </c>
      <c r="D646" s="32">
        <f t="shared" si="8"/>
        <v>83</v>
      </c>
    </row>
    <row r="647" spans="1:4" x14ac:dyDescent="0.3">
      <c r="A647" s="31">
        <v>45642</v>
      </c>
      <c r="B647" s="32">
        <v>115</v>
      </c>
      <c r="C647" s="32">
        <v>30</v>
      </c>
      <c r="D647" s="32">
        <f t="shared" si="8"/>
        <v>85</v>
      </c>
    </row>
    <row r="648" spans="1:4" x14ac:dyDescent="0.3">
      <c r="A648" s="31">
        <v>45643</v>
      </c>
      <c r="B648" s="32">
        <v>31</v>
      </c>
      <c r="C648" s="32">
        <v>162</v>
      </c>
      <c r="D648" s="32">
        <f t="shared" si="8"/>
        <v>-131</v>
      </c>
    </row>
    <row r="649" spans="1:4" x14ac:dyDescent="0.3">
      <c r="A649" s="31">
        <v>45644</v>
      </c>
      <c r="B649" s="32">
        <v>108</v>
      </c>
      <c r="C649" s="32">
        <v>15</v>
      </c>
      <c r="D649" s="32">
        <f t="shared" si="8"/>
        <v>93</v>
      </c>
    </row>
    <row r="650" spans="1:4" x14ac:dyDescent="0.3">
      <c r="A650" s="31">
        <v>45645</v>
      </c>
      <c r="B650" s="32">
        <v>81</v>
      </c>
      <c r="C650" s="32">
        <v>25</v>
      </c>
      <c r="D650" s="32">
        <f t="shared" si="8"/>
        <v>56</v>
      </c>
    </row>
    <row r="651" spans="1:4" x14ac:dyDescent="0.3">
      <c r="A651" s="31">
        <v>45646</v>
      </c>
      <c r="B651" s="32">
        <v>98</v>
      </c>
      <c r="C651" s="32">
        <v>16</v>
      </c>
      <c r="D651" s="32">
        <f t="shared" si="8"/>
        <v>82</v>
      </c>
    </row>
    <row r="652" spans="1:4" x14ac:dyDescent="0.3">
      <c r="A652" s="31">
        <v>45649</v>
      </c>
      <c r="B652" s="32">
        <v>33</v>
      </c>
      <c r="C652" s="32">
        <v>207</v>
      </c>
      <c r="D652" s="32">
        <f t="shared" si="8"/>
        <v>-174</v>
      </c>
    </row>
    <row r="653" spans="1:4" x14ac:dyDescent="0.3">
      <c r="A653" s="31">
        <v>45650</v>
      </c>
      <c r="B653" s="32">
        <v>83</v>
      </c>
      <c r="C653" s="32">
        <v>37</v>
      </c>
      <c r="D653" s="32">
        <f t="shared" si="8"/>
        <v>46</v>
      </c>
    </row>
    <row r="654" spans="1:4" x14ac:dyDescent="0.3">
      <c r="A654" s="31">
        <v>45651</v>
      </c>
      <c r="B654" s="32">
        <v>46</v>
      </c>
      <c r="C654" s="32">
        <v>62</v>
      </c>
      <c r="D654" s="32">
        <f t="shared" si="8"/>
        <v>-16</v>
      </c>
    </row>
    <row r="655" spans="1:4" x14ac:dyDescent="0.3">
      <c r="A655" s="31">
        <v>45652</v>
      </c>
      <c r="B655" s="32">
        <v>107</v>
      </c>
      <c r="C655" s="32">
        <v>9</v>
      </c>
      <c r="D655" s="32">
        <f t="shared" si="8"/>
        <v>98</v>
      </c>
    </row>
    <row r="656" spans="1:4" x14ac:dyDescent="0.3">
      <c r="A656" s="31">
        <v>45653</v>
      </c>
      <c r="B656" s="32">
        <v>79</v>
      </c>
      <c r="C656" s="32">
        <v>13</v>
      </c>
      <c r="D656" s="32">
        <f t="shared" si="8"/>
        <v>66</v>
      </c>
    </row>
    <row r="657" spans="1:4" x14ac:dyDescent="0.3">
      <c r="A657" s="31">
        <v>45656</v>
      </c>
      <c r="B657" s="32">
        <v>54</v>
      </c>
      <c r="C657" s="32">
        <v>20</v>
      </c>
      <c r="D657" s="32">
        <f t="shared" si="8"/>
        <v>34</v>
      </c>
    </row>
    <row r="658" spans="1:4" x14ac:dyDescent="0.3">
      <c r="A658" s="31">
        <v>45657</v>
      </c>
      <c r="B658" s="32">
        <v>57</v>
      </c>
      <c r="C658" s="32">
        <v>30</v>
      </c>
      <c r="D658" s="32">
        <f t="shared" si="8"/>
        <v>27</v>
      </c>
    </row>
    <row r="659" spans="1:4" x14ac:dyDescent="0.3">
      <c r="A659" s="31">
        <v>45660</v>
      </c>
      <c r="B659" s="32">
        <v>55</v>
      </c>
      <c r="C659" s="32">
        <v>111</v>
      </c>
      <c r="D659" s="32">
        <f t="shared" si="8"/>
        <v>-56</v>
      </c>
    </row>
    <row r="660" spans="1:4" x14ac:dyDescent="0.3">
      <c r="A660" s="31">
        <v>45663</v>
      </c>
      <c r="B660" s="32">
        <v>68</v>
      </c>
      <c r="C660" s="32">
        <v>91</v>
      </c>
      <c r="D660" s="32">
        <f t="shared" si="8"/>
        <v>-23</v>
      </c>
    </row>
    <row r="661" spans="1:4" x14ac:dyDescent="0.3">
      <c r="A661" s="31">
        <v>45664</v>
      </c>
      <c r="B661" s="32">
        <v>104</v>
      </c>
      <c r="C661" s="32">
        <v>18</v>
      </c>
      <c r="D661" s="32">
        <f t="shared" si="8"/>
        <v>86</v>
      </c>
    </row>
    <row r="662" spans="1:4" x14ac:dyDescent="0.3">
      <c r="A662" s="31">
        <v>45665</v>
      </c>
      <c r="B662" s="32">
        <v>74</v>
      </c>
      <c r="C662" s="32">
        <v>9</v>
      </c>
      <c r="D662" s="32">
        <f t="shared" si="8"/>
        <v>65</v>
      </c>
    </row>
    <row r="663" spans="1:4" x14ac:dyDescent="0.3">
      <c r="A663" s="31">
        <v>45667</v>
      </c>
      <c r="B663" s="32">
        <v>44</v>
      </c>
      <c r="C663" s="32">
        <v>52</v>
      </c>
      <c r="D663" s="32">
        <f t="shared" si="8"/>
        <v>-8</v>
      </c>
    </row>
    <row r="664" spans="1:4" x14ac:dyDescent="0.3">
      <c r="A664" s="31">
        <v>45670</v>
      </c>
      <c r="B664" s="32">
        <v>52</v>
      </c>
      <c r="C664" s="32">
        <v>41</v>
      </c>
      <c r="D664" s="32">
        <f t="shared" si="8"/>
        <v>11</v>
      </c>
    </row>
    <row r="665" spans="1:4" x14ac:dyDescent="0.3">
      <c r="A665" s="31">
        <v>45671</v>
      </c>
      <c r="B665" s="32">
        <v>157</v>
      </c>
      <c r="C665" s="32">
        <v>3</v>
      </c>
      <c r="D665" s="32">
        <f t="shared" si="8"/>
        <v>154</v>
      </c>
    </row>
    <row r="666" spans="1:4" x14ac:dyDescent="0.3">
      <c r="A666" s="31">
        <v>45672</v>
      </c>
      <c r="B666" s="32">
        <v>81</v>
      </c>
      <c r="C666" s="32">
        <v>10</v>
      </c>
      <c r="D666" s="32">
        <f t="shared" si="8"/>
        <v>71</v>
      </c>
    </row>
    <row r="667" spans="1:4" x14ac:dyDescent="0.3">
      <c r="A667" s="31">
        <v>45673</v>
      </c>
      <c r="B667" s="32">
        <v>84</v>
      </c>
      <c r="C667" s="32">
        <v>7</v>
      </c>
      <c r="D667" s="32">
        <f t="shared" si="8"/>
        <v>77</v>
      </c>
    </row>
    <row r="668" spans="1:4" x14ac:dyDescent="0.3">
      <c r="A668" s="31">
        <v>45674</v>
      </c>
      <c r="B668" s="32">
        <v>65</v>
      </c>
      <c r="C668" s="32">
        <v>16</v>
      </c>
      <c r="D668" s="32">
        <f t="shared" si="8"/>
        <v>49</v>
      </c>
    </row>
    <row r="669" spans="1:4" x14ac:dyDescent="0.3">
      <c r="A669" s="31">
        <v>45677</v>
      </c>
      <c r="B669" s="32">
        <v>80</v>
      </c>
      <c r="C669" s="32">
        <v>26</v>
      </c>
      <c r="D669" s="32">
        <f t="shared" si="8"/>
        <v>54</v>
      </c>
    </row>
    <row r="670" spans="1:4" x14ac:dyDescent="0.3">
      <c r="A670" s="31">
        <v>45678</v>
      </c>
      <c r="B670" s="32">
        <v>52</v>
      </c>
      <c r="C670" s="32">
        <v>27</v>
      </c>
      <c r="D670" s="32">
        <f t="shared" si="8"/>
        <v>25</v>
      </c>
    </row>
    <row r="671" spans="1:4" x14ac:dyDescent="0.3">
      <c r="A671" s="31">
        <v>45679</v>
      </c>
      <c r="B671" s="32">
        <v>48</v>
      </c>
      <c r="C671" s="32">
        <v>26</v>
      </c>
      <c r="D671" s="32">
        <f t="shared" si="8"/>
        <v>22</v>
      </c>
    </row>
    <row r="672" spans="1:4" x14ac:dyDescent="0.3">
      <c r="A672" s="31">
        <v>45680</v>
      </c>
      <c r="B672" s="32">
        <v>46</v>
      </c>
      <c r="C672" s="32">
        <v>29</v>
      </c>
      <c r="D672" s="32">
        <f t="shared" si="8"/>
        <v>17</v>
      </c>
    </row>
    <row r="673" spans="1:4" x14ac:dyDescent="0.3">
      <c r="A673" s="31">
        <v>45681</v>
      </c>
      <c r="B673" s="32">
        <v>74</v>
      </c>
      <c r="C673" s="32">
        <v>29</v>
      </c>
      <c r="D673" s="32">
        <f t="shared" si="8"/>
        <v>45</v>
      </c>
    </row>
    <row r="674" spans="1:4" x14ac:dyDescent="0.3">
      <c r="A674" s="31">
        <v>45693</v>
      </c>
      <c r="B674" s="32">
        <v>83</v>
      </c>
      <c r="C674" s="32">
        <v>45</v>
      </c>
      <c r="D674" s="32">
        <f t="shared" si="8"/>
        <v>38</v>
      </c>
    </row>
    <row r="675" spans="1:4" x14ac:dyDescent="0.3">
      <c r="A675" s="31">
        <v>45694</v>
      </c>
      <c r="B675" s="32">
        <v>101</v>
      </c>
      <c r="C675" s="32">
        <v>4</v>
      </c>
      <c r="D675" s="32">
        <f t="shared" si="8"/>
        <v>97</v>
      </c>
    </row>
    <row r="676" spans="1:4" x14ac:dyDescent="0.3">
      <c r="A676" s="31">
        <v>45695</v>
      </c>
      <c r="B676" s="32">
        <v>93</v>
      </c>
      <c r="C676" s="32">
        <v>2</v>
      </c>
      <c r="D676" s="32">
        <f t="shared" si="8"/>
        <v>91</v>
      </c>
    </row>
    <row r="677" spans="1:4" x14ac:dyDescent="0.3">
      <c r="A677" s="31">
        <v>45698</v>
      </c>
      <c r="B677" s="32">
        <v>140</v>
      </c>
      <c r="C677" s="32">
        <v>2</v>
      </c>
      <c r="D677" s="32">
        <f t="shared" si="8"/>
        <v>138</v>
      </c>
    </row>
    <row r="678" spans="1:4" x14ac:dyDescent="0.3">
      <c r="A678" s="31">
        <v>45699</v>
      </c>
      <c r="B678" s="32">
        <v>84</v>
      </c>
      <c r="C678" s="32">
        <v>2</v>
      </c>
      <c r="D678" s="32">
        <f t="shared" si="8"/>
        <v>82</v>
      </c>
    </row>
    <row r="679" spans="1:4" x14ac:dyDescent="0.3">
      <c r="A679" s="31">
        <v>45700</v>
      </c>
      <c r="B679" s="32">
        <v>95</v>
      </c>
      <c r="C679" s="32">
        <v>2</v>
      </c>
      <c r="D679" s="32">
        <f t="shared" si="8"/>
        <v>93</v>
      </c>
    </row>
    <row r="680" spans="1:4" x14ac:dyDescent="0.3">
      <c r="A680" s="31">
        <v>45701</v>
      </c>
      <c r="B680" s="32">
        <v>74</v>
      </c>
      <c r="C680" s="32">
        <v>7</v>
      </c>
      <c r="D680" s="32">
        <f t="shared" si="8"/>
        <v>67</v>
      </c>
    </row>
    <row r="681" spans="1:4" x14ac:dyDescent="0.3">
      <c r="A681" s="31">
        <v>45702</v>
      </c>
      <c r="B681" s="32">
        <v>87</v>
      </c>
      <c r="C681" s="32">
        <v>9</v>
      </c>
      <c r="D681" s="32">
        <f t="shared" si="8"/>
        <v>78</v>
      </c>
    </row>
    <row r="682" spans="1:4" x14ac:dyDescent="0.3">
      <c r="A682" s="31">
        <v>45705</v>
      </c>
      <c r="B682" s="32">
        <v>114</v>
      </c>
      <c r="C682" s="32">
        <v>7</v>
      </c>
      <c r="D682" s="32">
        <f t="shared" si="8"/>
        <v>107</v>
      </c>
    </row>
    <row r="683" spans="1:4" x14ac:dyDescent="0.3">
      <c r="A683" s="31">
        <v>45706</v>
      </c>
      <c r="B683" s="32">
        <v>53</v>
      </c>
      <c r="C683" s="32">
        <v>21</v>
      </c>
      <c r="D683" s="32">
        <f t="shared" si="8"/>
        <v>32</v>
      </c>
    </row>
    <row r="684" spans="1:4" x14ac:dyDescent="0.3">
      <c r="A684" s="31">
        <v>45707</v>
      </c>
      <c r="B684" s="32">
        <v>120</v>
      </c>
      <c r="C684" s="32">
        <v>4</v>
      </c>
      <c r="D684" s="32">
        <f t="shared" si="8"/>
        <v>116</v>
      </c>
    </row>
    <row r="685" spans="1:4" x14ac:dyDescent="0.3">
      <c r="A685" s="31">
        <v>45708</v>
      </c>
      <c r="B685" s="32">
        <v>107</v>
      </c>
      <c r="C685" s="32">
        <v>1</v>
      </c>
      <c r="D685" s="32">
        <f t="shared" si="8"/>
        <v>106</v>
      </c>
    </row>
    <row r="686" spans="1:4" x14ac:dyDescent="0.3">
      <c r="A686" s="31">
        <v>45709</v>
      </c>
      <c r="B686" s="32">
        <v>119</v>
      </c>
      <c r="C686" s="32">
        <v>4</v>
      </c>
      <c r="D686" s="32">
        <f t="shared" si="8"/>
        <v>115</v>
      </c>
    </row>
    <row r="687" spans="1:4" x14ac:dyDescent="0.3">
      <c r="A687" s="31">
        <v>45712</v>
      </c>
      <c r="B687" s="32">
        <v>91</v>
      </c>
      <c r="C687" s="32">
        <v>18</v>
      </c>
      <c r="D687" s="32">
        <f t="shared" si="8"/>
        <v>73</v>
      </c>
    </row>
    <row r="688" spans="1:4" x14ac:dyDescent="0.3">
      <c r="A688" s="31">
        <v>45713</v>
      </c>
      <c r="B688" s="32">
        <v>65</v>
      </c>
      <c r="C688" s="32">
        <v>7</v>
      </c>
      <c r="D688" s="32">
        <f t="shared" si="8"/>
        <v>58</v>
      </c>
    </row>
    <row r="689" spans="1:4" x14ac:dyDescent="0.3">
      <c r="A689" s="31">
        <v>45714</v>
      </c>
      <c r="B689" s="32">
        <v>108</v>
      </c>
      <c r="C689" s="32">
        <v>3</v>
      </c>
      <c r="D689" s="32">
        <f t="shared" si="8"/>
        <v>105</v>
      </c>
    </row>
    <row r="690" spans="1:4" x14ac:dyDescent="0.3">
      <c r="A690" s="31">
        <v>45715</v>
      </c>
      <c r="B690" s="32">
        <v>90</v>
      </c>
      <c r="C690" s="32">
        <v>12</v>
      </c>
      <c r="D690" s="32">
        <f t="shared" si="8"/>
        <v>78</v>
      </c>
    </row>
    <row r="691" spans="1:4" x14ac:dyDescent="0.3">
      <c r="A691" s="31">
        <v>45716</v>
      </c>
      <c r="B691" s="32">
        <v>56</v>
      </c>
      <c r="C691" s="32">
        <v>47</v>
      </c>
      <c r="D691" s="32">
        <f t="shared" si="8"/>
        <v>9</v>
      </c>
    </row>
    <row r="692" spans="1:4" x14ac:dyDescent="0.3">
      <c r="A692" s="31">
        <v>45719</v>
      </c>
      <c r="B692" s="32">
        <v>70</v>
      </c>
      <c r="C692" s="32">
        <v>34</v>
      </c>
      <c r="D692" s="32">
        <f t="shared" si="8"/>
        <v>36</v>
      </c>
    </row>
    <row r="693" spans="1:4" x14ac:dyDescent="0.3">
      <c r="A693" s="31">
        <v>45720</v>
      </c>
      <c r="B693" s="32">
        <v>88</v>
      </c>
      <c r="C693" s="32">
        <v>13</v>
      </c>
      <c r="D693" s="32">
        <f t="shared" si="8"/>
        <v>75</v>
      </c>
    </row>
    <row r="694" spans="1:4" x14ac:dyDescent="0.3">
      <c r="A694" s="31">
        <v>45721</v>
      </c>
      <c r="B694" s="32">
        <v>70</v>
      </c>
      <c r="C694" s="32">
        <v>6</v>
      </c>
      <c r="D694" s="32">
        <f t="shared" si="8"/>
        <v>64</v>
      </c>
    </row>
    <row r="695" spans="1:4" x14ac:dyDescent="0.3">
      <c r="A695" s="31">
        <v>45722</v>
      </c>
      <c r="B695" s="32">
        <v>118</v>
      </c>
      <c r="C695" s="32">
        <v>5</v>
      </c>
      <c r="D695" s="32">
        <f t="shared" si="8"/>
        <v>113</v>
      </c>
    </row>
    <row r="696" spans="1:4" x14ac:dyDescent="0.3">
      <c r="A696" s="31">
        <v>45723</v>
      </c>
      <c r="B696" s="32">
        <v>62</v>
      </c>
      <c r="C696" s="32">
        <v>12</v>
      </c>
      <c r="D696" s="32">
        <f t="shared" si="8"/>
        <v>50</v>
      </c>
    </row>
    <row r="697" spans="1:4" x14ac:dyDescent="0.3">
      <c r="A697" s="31">
        <v>45726</v>
      </c>
      <c r="B697" s="32">
        <v>93</v>
      </c>
      <c r="C697" s="32">
        <v>8</v>
      </c>
      <c r="D697" s="32">
        <f t="shared" si="8"/>
        <v>85</v>
      </c>
    </row>
    <row r="698" spans="1:4" x14ac:dyDescent="0.3">
      <c r="A698" s="31">
        <v>45727</v>
      </c>
      <c r="B698" s="32">
        <v>66</v>
      </c>
      <c r="C698" s="32">
        <v>5</v>
      </c>
      <c r="D698" s="32">
        <f t="shared" si="8"/>
        <v>61</v>
      </c>
    </row>
    <row r="699" spans="1:4" x14ac:dyDescent="0.3">
      <c r="A699" s="31">
        <v>45728</v>
      </c>
      <c r="B699" s="32">
        <v>94</v>
      </c>
      <c r="C699" s="32">
        <v>2</v>
      </c>
      <c r="D699" s="32">
        <f t="shared" si="8"/>
        <v>92</v>
      </c>
    </row>
    <row r="700" spans="1:4" x14ac:dyDescent="0.3">
      <c r="A700" s="31">
        <v>45729</v>
      </c>
      <c r="B700" s="32">
        <v>57</v>
      </c>
      <c r="C700" s="32">
        <v>14</v>
      </c>
      <c r="D700" s="32">
        <f t="shared" si="8"/>
        <v>43</v>
      </c>
    </row>
    <row r="701" spans="1:4" x14ac:dyDescent="0.3">
      <c r="A701" s="31">
        <v>45730</v>
      </c>
      <c r="B701" s="32">
        <v>96</v>
      </c>
      <c r="C701" s="32">
        <v>6</v>
      </c>
      <c r="D701" s="32">
        <f t="shared" si="8"/>
        <v>90</v>
      </c>
    </row>
    <row r="702" spans="1:4" x14ac:dyDescent="0.3">
      <c r="A702" s="31">
        <v>45733</v>
      </c>
      <c r="B702" s="32">
        <v>84</v>
      </c>
      <c r="C702" s="32">
        <v>11</v>
      </c>
      <c r="D702" s="32">
        <f t="shared" si="8"/>
        <v>73</v>
      </c>
    </row>
    <row r="703" spans="1:4" x14ac:dyDescent="0.3">
      <c r="A703" s="31">
        <v>45734</v>
      </c>
      <c r="B703" s="32">
        <v>78</v>
      </c>
      <c r="C703" s="32">
        <v>11</v>
      </c>
      <c r="D703" s="32">
        <f t="shared" si="8"/>
        <v>67</v>
      </c>
    </row>
    <row r="704" spans="1:4" x14ac:dyDescent="0.3">
      <c r="A704" s="31">
        <v>45735</v>
      </c>
      <c r="B704" s="32">
        <v>56</v>
      </c>
      <c r="C704" s="32">
        <v>8</v>
      </c>
      <c r="D704" s="32">
        <f t="shared" si="8"/>
        <v>48</v>
      </c>
    </row>
    <row r="705" spans="1:4" x14ac:dyDescent="0.3">
      <c r="A705" s="31">
        <v>45736</v>
      </c>
      <c r="B705" s="32">
        <v>73</v>
      </c>
      <c r="C705" s="32">
        <v>7</v>
      </c>
      <c r="D705" s="32">
        <f t="shared" si="8"/>
        <v>66</v>
      </c>
    </row>
    <row r="706" spans="1:4" x14ac:dyDescent="0.3">
      <c r="A706" s="31">
        <v>45737</v>
      </c>
      <c r="B706" s="32">
        <v>56</v>
      </c>
      <c r="C706" s="32">
        <v>31</v>
      </c>
      <c r="D706" s="32">
        <f t="shared" si="8"/>
        <v>25</v>
      </c>
    </row>
    <row r="707" spans="1:4" x14ac:dyDescent="0.3">
      <c r="A707" s="31">
        <v>45740</v>
      </c>
      <c r="B707" s="32">
        <v>54</v>
      </c>
      <c r="C707" s="32">
        <v>47</v>
      </c>
      <c r="D707" s="32">
        <f t="shared" si="8"/>
        <v>7</v>
      </c>
    </row>
    <row r="708" spans="1:4" x14ac:dyDescent="0.3">
      <c r="A708" s="31">
        <v>45741</v>
      </c>
      <c r="B708" s="32">
        <v>57</v>
      </c>
      <c r="C708" s="32">
        <v>46</v>
      </c>
      <c r="D708" s="32">
        <f t="shared" si="8"/>
        <v>11</v>
      </c>
    </row>
    <row r="709" spans="1:4" x14ac:dyDescent="0.3">
      <c r="A709" s="31">
        <v>45742</v>
      </c>
      <c r="B709" s="32">
        <v>90</v>
      </c>
      <c r="C709" s="32">
        <v>12</v>
      </c>
      <c r="D709" s="32">
        <f t="shared" si="8"/>
        <v>78</v>
      </c>
    </row>
    <row r="710" spans="1:4" x14ac:dyDescent="0.3">
      <c r="A710" s="31">
        <v>45743</v>
      </c>
      <c r="B710" s="32">
        <v>55</v>
      </c>
      <c r="C710" s="32">
        <v>29</v>
      </c>
      <c r="D710" s="32">
        <f t="shared" si="8"/>
        <v>26</v>
      </c>
    </row>
    <row r="711" spans="1:4" x14ac:dyDescent="0.3">
      <c r="A711" s="31">
        <v>45744</v>
      </c>
      <c r="B711" s="32">
        <v>35</v>
      </c>
      <c r="C711" s="32">
        <v>33</v>
      </c>
      <c r="D711" s="32">
        <f t="shared" si="8"/>
        <v>2</v>
      </c>
    </row>
    <row r="712" spans="1:4" x14ac:dyDescent="0.3">
      <c r="A712" s="31">
        <v>45747</v>
      </c>
      <c r="B712" s="32">
        <v>41</v>
      </c>
      <c r="C712" s="32">
        <v>43</v>
      </c>
      <c r="D712" s="32">
        <f t="shared" si="8"/>
        <v>-2</v>
      </c>
    </row>
    <row r="713" spans="1:4" x14ac:dyDescent="0.3">
      <c r="A713" s="31">
        <v>45748</v>
      </c>
      <c r="B713" s="32">
        <v>65</v>
      </c>
      <c r="C713" s="32">
        <v>19</v>
      </c>
      <c r="D713" s="32">
        <f t="shared" si="8"/>
        <v>46</v>
      </c>
    </row>
    <row r="714" spans="1:4" x14ac:dyDescent="0.3">
      <c r="A714" s="31">
        <v>45749</v>
      </c>
      <c r="B714" s="32">
        <v>48</v>
      </c>
      <c r="C714" s="32">
        <v>19</v>
      </c>
      <c r="D714" s="32">
        <f t="shared" si="8"/>
        <v>29</v>
      </c>
    </row>
    <row r="715" spans="1:4" x14ac:dyDescent="0.3">
      <c r="A715" s="31">
        <v>45750</v>
      </c>
      <c r="B715" s="32">
        <v>59</v>
      </c>
      <c r="C715" s="32">
        <v>30</v>
      </c>
      <c r="D715" s="32">
        <f t="shared" si="8"/>
        <v>29</v>
      </c>
    </row>
    <row r="716" spans="1:4" x14ac:dyDescent="0.3">
      <c r="A716" s="31">
        <v>45754</v>
      </c>
      <c r="B716" s="32">
        <v>25</v>
      </c>
      <c r="C716" s="32">
        <v>2902</v>
      </c>
      <c r="D716" s="32">
        <f t="shared" si="8"/>
        <v>-2877</v>
      </c>
    </row>
    <row r="717" spans="1:4" x14ac:dyDescent="0.3">
      <c r="A717" s="31">
        <v>45755</v>
      </c>
      <c r="B717" s="32">
        <v>127</v>
      </c>
      <c r="C717" s="32">
        <v>168</v>
      </c>
      <c r="D717" s="32">
        <f t="shared" si="8"/>
        <v>-41</v>
      </c>
    </row>
    <row r="718" spans="1:4" x14ac:dyDescent="0.3">
      <c r="A718" s="31">
        <v>45756</v>
      </c>
      <c r="B718" s="32">
        <v>128</v>
      </c>
      <c r="C718" s="32">
        <v>13</v>
      </c>
      <c r="D718" s="32">
        <f t="shared" si="8"/>
        <v>115</v>
      </c>
    </row>
    <row r="719" spans="1:4" x14ac:dyDescent="0.3">
      <c r="A719" s="31">
        <v>45757</v>
      </c>
      <c r="B719" s="32">
        <v>174</v>
      </c>
      <c r="C719" s="32">
        <v>2</v>
      </c>
      <c r="D719" s="32">
        <f t="shared" si="8"/>
        <v>172</v>
      </c>
    </row>
    <row r="720" spans="1:4" x14ac:dyDescent="0.3">
      <c r="A720" s="31">
        <v>45758</v>
      </c>
      <c r="B720" s="32">
        <v>104</v>
      </c>
      <c r="C720" s="32">
        <v>11</v>
      </c>
      <c r="D720" s="32">
        <f t="shared" si="8"/>
        <v>93</v>
      </c>
    </row>
    <row r="721" spans="1:4" x14ac:dyDescent="0.3">
      <c r="A721" s="31">
        <v>45761</v>
      </c>
      <c r="B721" s="32">
        <v>102</v>
      </c>
      <c r="C721" s="32">
        <v>2</v>
      </c>
      <c r="D721" s="32">
        <f>B721-C721</f>
        <v>100</v>
      </c>
    </row>
    <row r="722" spans="1:4" x14ac:dyDescent="0.3">
      <c r="A722" s="31">
        <v>45762</v>
      </c>
      <c r="B722" s="32">
        <v>57</v>
      </c>
      <c r="C722" s="32">
        <v>9</v>
      </c>
      <c r="D722" s="32">
        <f>B722-C722</f>
        <v>48</v>
      </c>
    </row>
    <row r="723" spans="1:4" x14ac:dyDescent="0.3">
      <c r="A723" s="31">
        <v>45763</v>
      </c>
      <c r="B723" s="32">
        <v>45</v>
      </c>
      <c r="C723" s="32">
        <v>5</v>
      </c>
      <c r="D723" s="32">
        <f t="shared" ref="D723:D834" si="9">B723-C723</f>
        <v>40</v>
      </c>
    </row>
    <row r="724" spans="1:4" x14ac:dyDescent="0.3">
      <c r="A724" s="31">
        <v>45764</v>
      </c>
      <c r="B724" s="32">
        <v>86</v>
      </c>
      <c r="C724" s="32">
        <v>2</v>
      </c>
      <c r="D724" s="32">
        <f t="shared" si="9"/>
        <v>84</v>
      </c>
    </row>
    <row r="725" spans="1:4" x14ac:dyDescent="0.3">
      <c r="A725" s="31">
        <v>45765</v>
      </c>
      <c r="B725" s="32">
        <v>59</v>
      </c>
      <c r="C725" s="32">
        <v>10</v>
      </c>
      <c r="D725" s="32">
        <f t="shared" si="9"/>
        <v>49</v>
      </c>
    </row>
    <row r="726" spans="1:4" x14ac:dyDescent="0.3">
      <c r="A726" s="31">
        <v>45768</v>
      </c>
      <c r="B726" s="32">
        <v>100</v>
      </c>
      <c r="C726" s="32">
        <v>11</v>
      </c>
      <c r="D726" s="32">
        <f t="shared" si="9"/>
        <v>89</v>
      </c>
    </row>
    <row r="727" spans="1:4" x14ac:dyDescent="0.3">
      <c r="A727" s="31">
        <v>45769</v>
      </c>
      <c r="B727" s="32">
        <v>80</v>
      </c>
      <c r="C727" s="32">
        <v>12</v>
      </c>
      <c r="D727" s="32">
        <f t="shared" si="9"/>
        <v>68</v>
      </c>
    </row>
    <row r="728" spans="1:4" x14ac:dyDescent="0.3">
      <c r="A728" s="31">
        <v>45770</v>
      </c>
      <c r="B728" s="32">
        <v>61</v>
      </c>
      <c r="C728" s="32">
        <v>18</v>
      </c>
      <c r="D728" s="32">
        <f t="shared" si="9"/>
        <v>43</v>
      </c>
    </row>
    <row r="729" spans="1:4" x14ac:dyDescent="0.3">
      <c r="A729" s="31">
        <v>45771</v>
      </c>
      <c r="B729" s="32">
        <v>52</v>
      </c>
      <c r="C729" s="32">
        <v>11</v>
      </c>
      <c r="D729" s="32">
        <f t="shared" si="9"/>
        <v>41</v>
      </c>
    </row>
    <row r="730" spans="1:4" x14ac:dyDescent="0.3">
      <c r="A730" s="31">
        <v>45772</v>
      </c>
      <c r="B730" s="32">
        <v>65</v>
      </c>
      <c r="C730" s="32">
        <v>18</v>
      </c>
      <c r="D730" s="32">
        <f t="shared" si="9"/>
        <v>47</v>
      </c>
    </row>
    <row r="731" spans="1:4" x14ac:dyDescent="0.3">
      <c r="A731" s="31">
        <v>45791</v>
      </c>
      <c r="B731" s="32">
        <v>90</v>
      </c>
      <c r="C731" s="32">
        <v>9</v>
      </c>
      <c r="D731" s="32">
        <f t="shared" si="9"/>
        <v>81</v>
      </c>
    </row>
    <row r="732" spans="1:4" x14ac:dyDescent="0.3">
      <c r="A732" s="31">
        <v>45792</v>
      </c>
      <c r="B732" s="32">
        <v>76</v>
      </c>
      <c r="C732" s="32">
        <v>11</v>
      </c>
      <c r="D732" s="32">
        <f t="shared" si="9"/>
        <v>65</v>
      </c>
    </row>
    <row r="733" spans="1:4" x14ac:dyDescent="0.3">
      <c r="A733" s="31">
        <v>45793</v>
      </c>
      <c r="B733" s="32">
        <v>68</v>
      </c>
      <c r="C733" s="32">
        <v>11</v>
      </c>
      <c r="D733" s="32">
        <f t="shared" si="9"/>
        <v>57</v>
      </c>
    </row>
    <row r="734" spans="1:4" x14ac:dyDescent="0.3">
      <c r="A734" s="31">
        <v>45796</v>
      </c>
      <c r="B734" s="32">
        <v>121</v>
      </c>
      <c r="C734" s="32">
        <v>0</v>
      </c>
      <c r="D734" s="32">
        <f t="shared" si="9"/>
        <v>121</v>
      </c>
    </row>
    <row r="735" spans="1:4" x14ac:dyDescent="0.3">
      <c r="A735" s="31">
        <v>45797</v>
      </c>
      <c r="B735" s="32">
        <v>101</v>
      </c>
      <c r="C735" s="32">
        <v>9</v>
      </c>
      <c r="D735" s="32">
        <f t="shared" si="9"/>
        <v>92</v>
      </c>
    </row>
    <row r="736" spans="1:4" x14ac:dyDescent="0.3">
      <c r="A736" s="31">
        <v>45798</v>
      </c>
      <c r="B736" s="32">
        <v>84</v>
      </c>
      <c r="C736" s="32">
        <v>3</v>
      </c>
      <c r="D736" s="32">
        <f t="shared" si="9"/>
        <v>81</v>
      </c>
    </row>
    <row r="737" spans="1:4" x14ac:dyDescent="0.3">
      <c r="A737" s="31">
        <v>45799</v>
      </c>
      <c r="B737" s="32">
        <v>50</v>
      </c>
      <c r="C737" s="32">
        <v>17</v>
      </c>
      <c r="D737" s="32">
        <f t="shared" si="9"/>
        <v>33</v>
      </c>
    </row>
    <row r="738" spans="1:4" x14ac:dyDescent="0.3">
      <c r="A738" s="31">
        <v>45800</v>
      </c>
      <c r="B738" s="32">
        <v>51</v>
      </c>
      <c r="C738" s="32">
        <v>12</v>
      </c>
      <c r="D738" s="32">
        <f t="shared" si="9"/>
        <v>39</v>
      </c>
    </row>
    <row r="739" spans="1:4" x14ac:dyDescent="0.3">
      <c r="A739" s="31">
        <v>45803</v>
      </c>
      <c r="B739" s="32">
        <v>85</v>
      </c>
      <c r="C739" s="32">
        <v>4</v>
      </c>
      <c r="D739" s="32">
        <f t="shared" si="9"/>
        <v>81</v>
      </c>
    </row>
    <row r="740" spans="1:4" x14ac:dyDescent="0.3">
      <c r="A740" s="31">
        <v>45804</v>
      </c>
      <c r="B740" s="32">
        <v>95</v>
      </c>
      <c r="C740" s="32">
        <v>5</v>
      </c>
      <c r="D740" s="32">
        <f t="shared" si="9"/>
        <v>90</v>
      </c>
    </row>
    <row r="741" spans="1:4" x14ac:dyDescent="0.3">
      <c r="A741" s="31">
        <v>45805</v>
      </c>
      <c r="B741" s="32">
        <v>75</v>
      </c>
      <c r="C741" s="32">
        <v>9</v>
      </c>
      <c r="D741" s="32">
        <f t="shared" si="9"/>
        <v>66</v>
      </c>
    </row>
    <row r="742" spans="1:4" x14ac:dyDescent="0.3">
      <c r="A742" s="31">
        <v>45806</v>
      </c>
      <c r="B742" s="32">
        <v>120</v>
      </c>
      <c r="C742" s="32">
        <v>15</v>
      </c>
      <c r="D742" s="32">
        <f t="shared" si="9"/>
        <v>105</v>
      </c>
    </row>
    <row r="743" spans="1:4" x14ac:dyDescent="0.3">
      <c r="A743" s="31">
        <v>45807</v>
      </c>
      <c r="B743" s="32">
        <v>53</v>
      </c>
      <c r="C743" s="32">
        <v>19</v>
      </c>
      <c r="D743" s="32">
        <f t="shared" si="9"/>
        <v>34</v>
      </c>
    </row>
    <row r="744" spans="1:4" x14ac:dyDescent="0.3">
      <c r="A744" s="31">
        <v>45811</v>
      </c>
      <c r="B744" s="32">
        <v>82</v>
      </c>
      <c r="C744" s="32">
        <v>12</v>
      </c>
      <c r="D744" s="32">
        <f t="shared" si="9"/>
        <v>70</v>
      </c>
    </row>
    <row r="745" spans="1:4" x14ac:dyDescent="0.3">
      <c r="A745" s="31">
        <v>45812</v>
      </c>
      <c r="B745" s="32">
        <v>86</v>
      </c>
      <c r="C745" s="32">
        <v>2</v>
      </c>
      <c r="D745" s="32">
        <f t="shared" si="9"/>
        <v>84</v>
      </c>
    </row>
    <row r="746" spans="1:4" x14ac:dyDescent="0.3">
      <c r="A746" s="31">
        <v>45813</v>
      </c>
      <c r="B746" s="32">
        <v>76</v>
      </c>
      <c r="C746" s="32">
        <v>12</v>
      </c>
      <c r="D746" s="32">
        <f t="shared" si="9"/>
        <v>64</v>
      </c>
    </row>
    <row r="747" spans="1:4" x14ac:dyDescent="0.3">
      <c r="A747" s="31">
        <v>45814</v>
      </c>
      <c r="B747" s="32">
        <v>65</v>
      </c>
      <c r="C747" s="32">
        <v>5</v>
      </c>
      <c r="D747" s="32">
        <f t="shared" si="9"/>
        <v>60</v>
      </c>
    </row>
    <row r="748" spans="1:4" x14ac:dyDescent="0.3">
      <c r="A748" s="31">
        <v>45817</v>
      </c>
      <c r="B748" s="32">
        <v>87</v>
      </c>
      <c r="C748" s="32">
        <v>3</v>
      </c>
      <c r="D748" s="32">
        <f t="shared" si="9"/>
        <v>84</v>
      </c>
    </row>
    <row r="749" spans="1:4" x14ac:dyDescent="0.3">
      <c r="A749" s="31">
        <v>45818</v>
      </c>
      <c r="B749" s="32">
        <v>61</v>
      </c>
      <c r="C749" s="32">
        <v>2</v>
      </c>
      <c r="D749" s="32">
        <f t="shared" si="9"/>
        <v>59</v>
      </c>
    </row>
    <row r="750" spans="1:4" x14ac:dyDescent="0.3">
      <c r="A750" s="31">
        <v>45819</v>
      </c>
      <c r="B750" s="32">
        <v>72</v>
      </c>
      <c r="C750" s="32">
        <v>6</v>
      </c>
      <c r="D750" s="32">
        <f t="shared" si="9"/>
        <v>66</v>
      </c>
    </row>
    <row r="751" spans="1:4" x14ac:dyDescent="0.3">
      <c r="A751" s="31">
        <v>45820</v>
      </c>
      <c r="B751" s="32">
        <v>74</v>
      </c>
      <c r="C751" s="32">
        <v>5</v>
      </c>
      <c r="D751" s="32">
        <f t="shared" si="9"/>
        <v>69</v>
      </c>
    </row>
    <row r="752" spans="1:4" x14ac:dyDescent="0.3">
      <c r="A752" s="31">
        <v>45821</v>
      </c>
      <c r="B752" s="32">
        <v>63</v>
      </c>
      <c r="C752" s="32">
        <v>15</v>
      </c>
      <c r="D752" s="32">
        <f t="shared" si="9"/>
        <v>48</v>
      </c>
    </row>
    <row r="753" spans="1:4" x14ac:dyDescent="0.3">
      <c r="A753" s="31">
        <v>45824</v>
      </c>
      <c r="B753" s="32">
        <v>73</v>
      </c>
      <c r="C753" s="32">
        <v>6</v>
      </c>
      <c r="D753" s="32">
        <f t="shared" si="9"/>
        <v>67</v>
      </c>
    </row>
    <row r="754" spans="1:4" x14ac:dyDescent="0.3">
      <c r="A754" s="31">
        <v>45825</v>
      </c>
      <c r="B754" s="32">
        <v>61</v>
      </c>
      <c r="C754" s="32">
        <v>9</v>
      </c>
      <c r="D754" s="32">
        <f t="shared" si="9"/>
        <v>52</v>
      </c>
    </row>
    <row r="755" spans="1:4" x14ac:dyDescent="0.3">
      <c r="A755" s="31">
        <v>45826</v>
      </c>
      <c r="B755" s="32">
        <v>49</v>
      </c>
      <c r="C755" s="32">
        <v>13</v>
      </c>
      <c r="D755" s="32">
        <f t="shared" si="9"/>
        <v>36</v>
      </c>
    </row>
    <row r="756" spans="1:4" x14ac:dyDescent="0.3">
      <c r="A756" s="31">
        <v>45827</v>
      </c>
      <c r="B756" s="32">
        <v>39</v>
      </c>
      <c r="C756" s="32">
        <v>20</v>
      </c>
      <c r="D756" s="32">
        <f t="shared" si="9"/>
        <v>19</v>
      </c>
    </row>
    <row r="757" spans="1:4" x14ac:dyDescent="0.3">
      <c r="A757" s="31">
        <v>45828</v>
      </c>
      <c r="B757" s="32">
        <v>53</v>
      </c>
      <c r="C757" s="32">
        <v>19</v>
      </c>
      <c r="D757" s="32">
        <f t="shared" si="9"/>
        <v>34</v>
      </c>
    </row>
    <row r="758" spans="1:4" x14ac:dyDescent="0.3">
      <c r="A758" s="31">
        <v>45831</v>
      </c>
      <c r="B758" s="32">
        <v>84</v>
      </c>
      <c r="C758" s="32">
        <v>1</v>
      </c>
      <c r="D758" s="32">
        <f t="shared" si="9"/>
        <v>83</v>
      </c>
    </row>
    <row r="759" spans="1:4" x14ac:dyDescent="0.3">
      <c r="A759" s="31">
        <v>45832</v>
      </c>
      <c r="B759" s="32">
        <v>85</v>
      </c>
      <c r="C759" s="32">
        <v>19</v>
      </c>
      <c r="D759" s="32">
        <f t="shared" si="9"/>
        <v>66</v>
      </c>
    </row>
    <row r="760" spans="1:4" x14ac:dyDescent="0.3">
      <c r="A760" s="31">
        <v>45833</v>
      </c>
      <c r="B760" s="32">
        <v>80</v>
      </c>
      <c r="C760" s="32">
        <v>6</v>
      </c>
      <c r="D760" s="32">
        <f t="shared" si="9"/>
        <v>74</v>
      </c>
    </row>
    <row r="761" spans="1:4" x14ac:dyDescent="0.3">
      <c r="A761" s="31">
        <v>45834</v>
      </c>
      <c r="B761" s="32">
        <v>72</v>
      </c>
      <c r="C761" s="32">
        <v>3</v>
      </c>
      <c r="D761" s="32">
        <f t="shared" si="9"/>
        <v>69</v>
      </c>
    </row>
    <row r="762" spans="1:4" x14ac:dyDescent="0.3">
      <c r="A762" s="31">
        <v>45835</v>
      </c>
      <c r="B762" s="32">
        <v>60</v>
      </c>
      <c r="C762" s="32">
        <v>5</v>
      </c>
      <c r="D762" s="32">
        <f t="shared" si="9"/>
        <v>55</v>
      </c>
    </row>
    <row r="763" spans="1:4" x14ac:dyDescent="0.3">
      <c r="A763" s="31">
        <v>45838</v>
      </c>
      <c r="B763" s="32">
        <v>92</v>
      </c>
      <c r="C763" s="32">
        <v>5</v>
      </c>
      <c r="D763" s="32">
        <f t="shared" si="9"/>
        <v>87</v>
      </c>
    </row>
    <row r="764" spans="1:4" x14ac:dyDescent="0.3">
      <c r="A764" s="31">
        <v>45839</v>
      </c>
      <c r="B764" s="32">
        <v>74</v>
      </c>
      <c r="C764" s="32">
        <v>6</v>
      </c>
      <c r="D764" s="32">
        <f t="shared" si="9"/>
        <v>68</v>
      </c>
    </row>
    <row r="765" spans="1:4" x14ac:dyDescent="0.3">
      <c r="A765" s="31">
        <v>45840</v>
      </c>
      <c r="B765" s="32">
        <v>63</v>
      </c>
      <c r="C765" s="32">
        <v>9</v>
      </c>
      <c r="D765" s="32">
        <f t="shared" si="9"/>
        <v>54</v>
      </c>
    </row>
    <row r="766" spans="1:4" x14ac:dyDescent="0.3">
      <c r="A766" s="31">
        <v>45841</v>
      </c>
      <c r="B766" s="32">
        <v>66</v>
      </c>
      <c r="C766" s="32">
        <v>7</v>
      </c>
      <c r="D766" s="32">
        <f t="shared" si="9"/>
        <v>59</v>
      </c>
    </row>
    <row r="767" spans="1:4" x14ac:dyDescent="0.3">
      <c r="A767" s="31">
        <v>45842</v>
      </c>
      <c r="B767" s="32">
        <v>42</v>
      </c>
      <c r="C767" s="32">
        <v>12</v>
      </c>
      <c r="D767" s="32">
        <f t="shared" si="9"/>
        <v>30</v>
      </c>
    </row>
    <row r="768" spans="1:4" x14ac:dyDescent="0.3">
      <c r="A768" s="31">
        <v>45845</v>
      </c>
      <c r="B768" s="32">
        <v>76</v>
      </c>
      <c r="C768" s="32">
        <v>4</v>
      </c>
      <c r="D768" s="32">
        <f t="shared" si="9"/>
        <v>72</v>
      </c>
    </row>
    <row r="769" spans="1:4" x14ac:dyDescent="0.3">
      <c r="A769" s="31">
        <v>45846</v>
      </c>
      <c r="B769" s="32">
        <v>75</v>
      </c>
      <c r="C769" s="32">
        <v>7</v>
      </c>
      <c r="D769" s="32">
        <f t="shared" si="9"/>
        <v>68</v>
      </c>
    </row>
    <row r="770" spans="1:4" x14ac:dyDescent="0.3">
      <c r="A770" s="31">
        <v>45847</v>
      </c>
      <c r="B770" s="32">
        <v>61</v>
      </c>
      <c r="C770" s="32">
        <v>6</v>
      </c>
      <c r="D770" s="32">
        <f t="shared" si="9"/>
        <v>55</v>
      </c>
    </row>
    <row r="771" spans="1:4" x14ac:dyDescent="0.3">
      <c r="A771" s="31">
        <v>45848</v>
      </c>
      <c r="B771" s="32">
        <v>69</v>
      </c>
      <c r="C771" s="32">
        <v>14</v>
      </c>
      <c r="D771" s="32">
        <f t="shared" si="9"/>
        <v>55</v>
      </c>
    </row>
    <row r="772" spans="1:4" x14ac:dyDescent="0.3">
      <c r="A772" s="31">
        <v>45849</v>
      </c>
      <c r="B772" s="32">
        <v>68</v>
      </c>
      <c r="C772" s="32">
        <v>13</v>
      </c>
      <c r="D772" s="32">
        <f t="shared" si="9"/>
        <v>55</v>
      </c>
    </row>
    <row r="773" spans="1:4" x14ac:dyDescent="0.3">
      <c r="A773" s="31">
        <v>45852</v>
      </c>
      <c r="B773" s="32">
        <v>72</v>
      </c>
      <c r="C773" s="32">
        <v>18</v>
      </c>
      <c r="D773" s="32">
        <f t="shared" si="9"/>
        <v>54</v>
      </c>
    </row>
    <row r="774" spans="1:4" x14ac:dyDescent="0.3">
      <c r="A774" s="31">
        <v>45853</v>
      </c>
      <c r="B774" s="32">
        <v>49</v>
      </c>
      <c r="C774" s="32">
        <v>25</v>
      </c>
      <c r="D774" s="32">
        <f t="shared" si="9"/>
        <v>24</v>
      </c>
    </row>
    <row r="775" spans="1:4" x14ac:dyDescent="0.3">
      <c r="A775" s="31">
        <v>45854</v>
      </c>
      <c r="B775" s="32">
        <v>67</v>
      </c>
      <c r="C775" s="32">
        <v>8</v>
      </c>
      <c r="D775" s="32">
        <f t="shared" si="9"/>
        <v>59</v>
      </c>
    </row>
    <row r="776" spans="1:4" x14ac:dyDescent="0.3">
      <c r="A776" s="31">
        <v>45855</v>
      </c>
      <c r="B776" s="32">
        <v>66</v>
      </c>
      <c r="C776" s="32">
        <v>6</v>
      </c>
      <c r="D776" s="32">
        <f t="shared" si="9"/>
        <v>60</v>
      </c>
    </row>
    <row r="777" spans="1:4" x14ac:dyDescent="0.3">
      <c r="A777" s="31">
        <v>45856</v>
      </c>
      <c r="B777" s="32">
        <v>52</v>
      </c>
      <c r="C777" s="32">
        <v>3</v>
      </c>
      <c r="D777" s="32">
        <f t="shared" si="9"/>
        <v>49</v>
      </c>
    </row>
    <row r="778" spans="1:4" x14ac:dyDescent="0.3">
      <c r="A778" s="31">
        <v>45859</v>
      </c>
      <c r="B778" s="32">
        <v>129</v>
      </c>
      <c r="C778" s="32">
        <v>5</v>
      </c>
      <c r="D778" s="32">
        <f t="shared" si="9"/>
        <v>124</v>
      </c>
    </row>
    <row r="779" spans="1:4" x14ac:dyDescent="0.3">
      <c r="A779" s="31">
        <v>45860</v>
      </c>
      <c r="B779" s="32">
        <v>112</v>
      </c>
      <c r="C779" s="32">
        <v>9</v>
      </c>
      <c r="D779" s="32">
        <f t="shared" si="9"/>
        <v>103</v>
      </c>
    </row>
    <row r="780" spans="1:4" x14ac:dyDescent="0.3">
      <c r="A780" s="31">
        <v>45861</v>
      </c>
      <c r="B780" s="32">
        <v>56</v>
      </c>
      <c r="C780" s="32">
        <v>10</v>
      </c>
      <c r="D780" s="32">
        <f t="shared" si="9"/>
        <v>46</v>
      </c>
    </row>
    <row r="781" spans="1:4" x14ac:dyDescent="0.3">
      <c r="A781" s="31">
        <v>45862</v>
      </c>
      <c r="B781" s="32">
        <v>79</v>
      </c>
      <c r="C781" s="32">
        <v>1</v>
      </c>
      <c r="D781" s="32">
        <f t="shared" si="9"/>
        <v>78</v>
      </c>
    </row>
    <row r="782" spans="1:4" x14ac:dyDescent="0.3">
      <c r="A782" s="31">
        <v>45863</v>
      </c>
      <c r="B782" s="32">
        <v>49</v>
      </c>
      <c r="C782" s="32">
        <v>15</v>
      </c>
      <c r="D782" s="32">
        <f t="shared" si="9"/>
        <v>34</v>
      </c>
    </row>
    <row r="783" spans="1:4" x14ac:dyDescent="0.3">
      <c r="A783" s="31">
        <v>45866</v>
      </c>
      <c r="B783" s="32">
        <v>62</v>
      </c>
      <c r="C783" s="32">
        <v>12</v>
      </c>
      <c r="D783" s="32">
        <f t="shared" si="9"/>
        <v>50</v>
      </c>
    </row>
    <row r="784" spans="1:4" x14ac:dyDescent="0.3">
      <c r="A784" s="31">
        <v>45867</v>
      </c>
      <c r="B784" s="32">
        <v>48</v>
      </c>
      <c r="C784" s="32">
        <v>7</v>
      </c>
      <c r="D784" s="32">
        <f t="shared" si="9"/>
        <v>41</v>
      </c>
    </row>
    <row r="785" spans="1:4" x14ac:dyDescent="0.3">
      <c r="A785" s="31">
        <v>45868</v>
      </c>
      <c r="B785" s="32">
        <v>55</v>
      </c>
      <c r="C785" s="32">
        <v>9</v>
      </c>
      <c r="D785" s="32">
        <f t="shared" si="9"/>
        <v>46</v>
      </c>
    </row>
    <row r="786" spans="1:4" x14ac:dyDescent="0.3">
      <c r="A786" s="31">
        <v>45869</v>
      </c>
      <c r="B786" s="32">
        <v>49</v>
      </c>
      <c r="C786" s="32">
        <v>6</v>
      </c>
      <c r="D786" s="32">
        <f t="shared" si="9"/>
        <v>43</v>
      </c>
    </row>
    <row r="787" spans="1:4" x14ac:dyDescent="0.3">
      <c r="A787" s="31">
        <v>45870</v>
      </c>
      <c r="B787" s="32">
        <v>49</v>
      </c>
      <c r="C787" s="32">
        <v>9</v>
      </c>
      <c r="D787" s="32">
        <f t="shared" si="9"/>
        <v>40</v>
      </c>
    </row>
    <row r="788" spans="1:4" x14ac:dyDescent="0.3">
      <c r="A788" s="31">
        <v>45873</v>
      </c>
      <c r="B788" s="32">
        <v>69</v>
      </c>
      <c r="C788" s="32">
        <v>6</v>
      </c>
      <c r="D788" s="32">
        <f t="shared" si="9"/>
        <v>63</v>
      </c>
    </row>
    <row r="789" spans="1:4" x14ac:dyDescent="0.3">
      <c r="A789" s="31">
        <v>45874</v>
      </c>
      <c r="B789" s="32">
        <v>68</v>
      </c>
      <c r="C789" s="32">
        <v>2</v>
      </c>
      <c r="D789" s="32">
        <f t="shared" si="9"/>
        <v>66</v>
      </c>
    </row>
    <row r="790" spans="1:4" x14ac:dyDescent="0.3">
      <c r="A790" s="39">
        <v>45875</v>
      </c>
      <c r="B790" s="32">
        <v>76</v>
      </c>
      <c r="C790" s="32">
        <v>3</v>
      </c>
      <c r="D790" s="32">
        <f t="shared" si="9"/>
        <v>73</v>
      </c>
    </row>
    <row r="791" spans="1:4" x14ac:dyDescent="0.3">
      <c r="A791" s="39">
        <v>45876</v>
      </c>
      <c r="B791" s="32">
        <v>73</v>
      </c>
      <c r="C791" s="32">
        <v>8</v>
      </c>
      <c r="D791" s="32">
        <f t="shared" si="9"/>
        <v>65</v>
      </c>
    </row>
    <row r="792" spans="1:4" x14ac:dyDescent="0.3">
      <c r="A792" s="39">
        <v>45877</v>
      </c>
      <c r="B792" s="32">
        <v>72</v>
      </c>
      <c r="C792" s="32">
        <v>2</v>
      </c>
      <c r="D792" s="32">
        <f t="shared" si="9"/>
        <v>70</v>
      </c>
    </row>
    <row r="793" spans="1:4" x14ac:dyDescent="0.3">
      <c r="A793" s="39">
        <v>45880</v>
      </c>
      <c r="B793" s="32">
        <v>84</v>
      </c>
      <c r="C793" s="32">
        <v>12</v>
      </c>
      <c r="D793" s="32">
        <f t="shared" si="9"/>
        <v>72</v>
      </c>
    </row>
    <row r="794" spans="1:4" x14ac:dyDescent="0.3">
      <c r="A794" s="39">
        <v>45881</v>
      </c>
      <c r="B794" s="32">
        <v>60</v>
      </c>
      <c r="C794" s="32">
        <v>5</v>
      </c>
      <c r="D794" s="32">
        <f t="shared" si="9"/>
        <v>55</v>
      </c>
    </row>
    <row r="795" spans="1:4" x14ac:dyDescent="0.3">
      <c r="A795" s="39">
        <v>45882</v>
      </c>
      <c r="B795" s="32">
        <v>100</v>
      </c>
      <c r="C795" s="32">
        <v>5</v>
      </c>
      <c r="D795" s="32">
        <f t="shared" si="9"/>
        <v>95</v>
      </c>
    </row>
    <row r="796" spans="1:4" x14ac:dyDescent="0.3">
      <c r="A796" s="39">
        <v>45883</v>
      </c>
      <c r="B796" s="32">
        <v>52</v>
      </c>
      <c r="C796" s="32">
        <v>15</v>
      </c>
      <c r="D796" s="32">
        <f t="shared" si="9"/>
        <v>37</v>
      </c>
    </row>
    <row r="797" spans="1:4" x14ac:dyDescent="0.3">
      <c r="A797" s="39">
        <v>45884</v>
      </c>
      <c r="B797" s="32">
        <v>103</v>
      </c>
      <c r="C797" s="32">
        <v>4</v>
      </c>
      <c r="D797" s="32">
        <f t="shared" si="9"/>
        <v>99</v>
      </c>
    </row>
    <row r="798" spans="1:4" x14ac:dyDescent="0.3">
      <c r="A798" s="39">
        <v>45887</v>
      </c>
      <c r="B798" s="32">
        <v>117</v>
      </c>
      <c r="C798" s="32">
        <v>2</v>
      </c>
      <c r="D798" s="32">
        <f t="shared" si="9"/>
        <v>115</v>
      </c>
    </row>
    <row r="799" spans="1:4" x14ac:dyDescent="0.3">
      <c r="A799" s="39">
        <v>45888</v>
      </c>
      <c r="B799" s="32">
        <v>104</v>
      </c>
      <c r="C799" s="32">
        <v>10</v>
      </c>
      <c r="D799" s="32">
        <f t="shared" si="9"/>
        <v>94</v>
      </c>
    </row>
    <row r="800" spans="1:4" x14ac:dyDescent="0.3">
      <c r="A800" s="39">
        <v>45889</v>
      </c>
      <c r="B800" s="32">
        <v>101</v>
      </c>
      <c r="C800" s="32">
        <v>14</v>
      </c>
      <c r="D800" s="32">
        <f t="shared" si="9"/>
        <v>87</v>
      </c>
    </row>
    <row r="801" spans="1:4" x14ac:dyDescent="0.3">
      <c r="A801" s="39">
        <v>45890</v>
      </c>
      <c r="B801" s="32">
        <v>56</v>
      </c>
      <c r="C801" s="32">
        <v>14</v>
      </c>
      <c r="D801" s="32">
        <f t="shared" si="9"/>
        <v>42</v>
      </c>
    </row>
    <row r="802" spans="1:4" x14ac:dyDescent="0.3">
      <c r="A802" s="39">
        <v>45891</v>
      </c>
      <c r="B802" s="32">
        <v>79</v>
      </c>
      <c r="C802" s="32">
        <v>2</v>
      </c>
      <c r="D802" s="32">
        <f t="shared" si="9"/>
        <v>77</v>
      </c>
    </row>
    <row r="803" spans="1:4" x14ac:dyDescent="0.3">
      <c r="A803" s="39">
        <v>45894</v>
      </c>
      <c r="B803" s="32">
        <v>91</v>
      </c>
      <c r="C803" s="32">
        <v>8</v>
      </c>
      <c r="D803" s="32">
        <f t="shared" si="9"/>
        <v>83</v>
      </c>
    </row>
    <row r="804" spans="1:4" x14ac:dyDescent="0.3">
      <c r="A804" s="39">
        <v>45895</v>
      </c>
      <c r="B804" s="32">
        <v>90</v>
      </c>
      <c r="C804" s="32">
        <v>8</v>
      </c>
      <c r="D804" s="32">
        <f t="shared" si="9"/>
        <v>82</v>
      </c>
    </row>
    <row r="805" spans="1:4" x14ac:dyDescent="0.3">
      <c r="A805" s="39">
        <v>45896</v>
      </c>
      <c r="B805" s="32">
        <v>46</v>
      </c>
      <c r="C805" s="32">
        <v>14</v>
      </c>
      <c r="D805" s="32">
        <f t="shared" si="9"/>
        <v>32</v>
      </c>
    </row>
    <row r="806" spans="1:4" x14ac:dyDescent="0.3">
      <c r="A806" s="39">
        <v>45897</v>
      </c>
      <c r="B806" s="32">
        <v>65</v>
      </c>
      <c r="C806" s="32">
        <v>9</v>
      </c>
      <c r="D806" s="32">
        <f t="shared" si="9"/>
        <v>56</v>
      </c>
    </row>
    <row r="807" spans="1:4" x14ac:dyDescent="0.3">
      <c r="A807" s="39">
        <v>45898</v>
      </c>
      <c r="B807" s="32">
        <v>75</v>
      </c>
      <c r="C807" s="32">
        <v>12</v>
      </c>
      <c r="D807" s="32">
        <f t="shared" si="9"/>
        <v>63</v>
      </c>
    </row>
    <row r="808" spans="1:4" x14ac:dyDescent="0.3">
      <c r="A808" s="39">
        <v>45901</v>
      </c>
      <c r="B808" s="32">
        <v>120</v>
      </c>
      <c r="C808" s="32">
        <v>7</v>
      </c>
      <c r="D808" s="32">
        <f t="shared" si="9"/>
        <v>113</v>
      </c>
    </row>
    <row r="809" spans="1:4" x14ac:dyDescent="0.3">
      <c r="A809" s="39">
        <v>45902</v>
      </c>
      <c r="B809" s="32">
        <v>52</v>
      </c>
      <c r="C809" s="32">
        <v>25</v>
      </c>
      <c r="D809" s="32">
        <f t="shared" si="9"/>
        <v>27</v>
      </c>
    </row>
    <row r="810" spans="1:4" x14ac:dyDescent="0.3">
      <c r="A810" s="39">
        <v>45903</v>
      </c>
      <c r="B810" s="32">
        <v>38</v>
      </c>
      <c r="C810" s="32">
        <v>22</v>
      </c>
      <c r="D810" s="32">
        <f t="shared" si="9"/>
        <v>16</v>
      </c>
    </row>
    <row r="811" spans="1:4" x14ac:dyDescent="0.3">
      <c r="A811" s="39">
        <v>45904</v>
      </c>
      <c r="B811" s="32">
        <v>39</v>
      </c>
      <c r="C811" s="32">
        <v>47</v>
      </c>
      <c r="D811" s="32">
        <f t="shared" si="9"/>
        <v>-8</v>
      </c>
    </row>
    <row r="812" spans="1:4" x14ac:dyDescent="0.3">
      <c r="A812" s="39">
        <v>45905</v>
      </c>
      <c r="B812" s="32">
        <v>102</v>
      </c>
      <c r="C812" s="32">
        <v>7</v>
      </c>
      <c r="D812" s="32">
        <f t="shared" si="9"/>
        <v>95</v>
      </c>
    </row>
    <row r="813" spans="1:4" x14ac:dyDescent="0.3">
      <c r="A813" s="39">
        <v>45908</v>
      </c>
      <c r="B813" s="32">
        <v>85</v>
      </c>
      <c r="C813" s="32">
        <v>7</v>
      </c>
      <c r="D813" s="32">
        <f t="shared" si="9"/>
        <v>78</v>
      </c>
    </row>
    <row r="814" spans="1:4" x14ac:dyDescent="0.3">
      <c r="A814" s="39">
        <v>45909</v>
      </c>
      <c r="B814" s="32">
        <v>63</v>
      </c>
      <c r="C814" s="32">
        <v>7</v>
      </c>
      <c r="D814" s="32">
        <f t="shared" si="9"/>
        <v>56</v>
      </c>
    </row>
    <row r="815" spans="1:4" x14ac:dyDescent="0.3">
      <c r="A815" s="39">
        <v>45910</v>
      </c>
      <c r="B815" s="32">
        <v>63</v>
      </c>
      <c r="C815" s="32">
        <v>5</v>
      </c>
      <c r="D815" s="32">
        <f t="shared" si="9"/>
        <v>58</v>
      </c>
    </row>
    <row r="816" spans="1:4" x14ac:dyDescent="0.3">
      <c r="A816" s="39">
        <v>45911</v>
      </c>
      <c r="B816" s="32">
        <v>94</v>
      </c>
      <c r="C816" s="32">
        <v>6</v>
      </c>
      <c r="D816" s="32">
        <f t="shared" si="9"/>
        <v>88</v>
      </c>
    </row>
    <row r="817" spans="1:4" x14ac:dyDescent="0.3">
      <c r="A817" s="39">
        <v>45912</v>
      </c>
      <c r="B817" s="32">
        <v>73</v>
      </c>
      <c r="C817" s="32">
        <v>7</v>
      </c>
      <c r="D817" s="32">
        <f t="shared" si="9"/>
        <v>66</v>
      </c>
    </row>
    <row r="818" spans="1:4" x14ac:dyDescent="0.3">
      <c r="A818" s="39">
        <v>45915</v>
      </c>
      <c r="B818" s="32">
        <v>81</v>
      </c>
      <c r="C818" s="32">
        <v>11</v>
      </c>
      <c r="D818" s="32">
        <f t="shared" si="9"/>
        <v>70</v>
      </c>
    </row>
    <row r="819" spans="1:4" x14ac:dyDescent="0.3">
      <c r="A819" s="39">
        <v>45916</v>
      </c>
      <c r="B819" s="32">
        <v>88</v>
      </c>
      <c r="C819" s="32">
        <v>7</v>
      </c>
      <c r="D819" s="32">
        <f t="shared" si="9"/>
        <v>81</v>
      </c>
    </row>
    <row r="820" spans="1:4" x14ac:dyDescent="0.3">
      <c r="A820" s="39">
        <v>45917</v>
      </c>
      <c r="B820" s="32">
        <v>80</v>
      </c>
      <c r="C820" s="32">
        <v>4</v>
      </c>
      <c r="D820" s="32">
        <f t="shared" si="9"/>
        <v>76</v>
      </c>
    </row>
    <row r="821" spans="1:4" x14ac:dyDescent="0.3">
      <c r="A821" s="39">
        <v>45918</v>
      </c>
      <c r="B821" s="32">
        <v>64</v>
      </c>
      <c r="C821" s="32">
        <v>8</v>
      </c>
      <c r="D821" s="32">
        <f t="shared" si="9"/>
        <v>56</v>
      </c>
    </row>
    <row r="822" spans="1:4" x14ac:dyDescent="0.3">
      <c r="A822" s="39">
        <v>45919</v>
      </c>
      <c r="B822" s="32">
        <v>59</v>
      </c>
      <c r="C822" s="32">
        <v>26</v>
      </c>
      <c r="D822" s="32">
        <f t="shared" si="9"/>
        <v>33</v>
      </c>
    </row>
    <row r="823" spans="1:4" x14ac:dyDescent="0.3">
      <c r="A823" s="39">
        <v>45922</v>
      </c>
      <c r="B823" s="32">
        <v>73</v>
      </c>
      <c r="C823" s="32">
        <v>12</v>
      </c>
      <c r="D823" s="32">
        <f t="shared" si="9"/>
        <v>61</v>
      </c>
    </row>
    <row r="824" spans="1:4" x14ac:dyDescent="0.3">
      <c r="A824" s="39">
        <v>45923</v>
      </c>
      <c r="B824" s="32">
        <v>53</v>
      </c>
      <c r="C824" s="32">
        <v>24</v>
      </c>
      <c r="D824" s="32">
        <f t="shared" si="9"/>
        <v>29</v>
      </c>
    </row>
    <row r="825" spans="1:4" x14ac:dyDescent="0.3">
      <c r="A825" s="39">
        <v>45924</v>
      </c>
      <c r="B825" s="32">
        <v>88</v>
      </c>
      <c r="C825" s="32">
        <v>13</v>
      </c>
      <c r="D825" s="32">
        <f t="shared" si="9"/>
        <v>75</v>
      </c>
    </row>
    <row r="826" spans="1:4" x14ac:dyDescent="0.3">
      <c r="A826" s="39">
        <v>45925</v>
      </c>
      <c r="B826" s="32">
        <v>52</v>
      </c>
      <c r="C826" s="32">
        <v>9</v>
      </c>
      <c r="D826" s="32">
        <f t="shared" si="9"/>
        <v>43</v>
      </c>
    </row>
    <row r="827" spans="1:4" x14ac:dyDescent="0.3">
      <c r="A827" s="39">
        <v>45926</v>
      </c>
      <c r="B827" s="32">
        <v>58</v>
      </c>
      <c r="C827" s="32">
        <v>24</v>
      </c>
      <c r="D827" s="32">
        <f t="shared" si="9"/>
        <v>34</v>
      </c>
    </row>
    <row r="828" spans="1:4" x14ac:dyDescent="0.3">
      <c r="A828" s="39">
        <v>45929</v>
      </c>
      <c r="B828" s="32">
        <v>66</v>
      </c>
      <c r="C828" s="32">
        <v>7</v>
      </c>
      <c r="D828" s="32">
        <f t="shared" si="9"/>
        <v>59</v>
      </c>
    </row>
    <row r="829" spans="1:4" x14ac:dyDescent="0.3">
      <c r="A829" s="39">
        <v>45930</v>
      </c>
      <c r="B829" s="32">
        <v>63</v>
      </c>
      <c r="C829" s="32">
        <v>10</v>
      </c>
      <c r="D829" s="32">
        <f t="shared" si="9"/>
        <v>53</v>
      </c>
    </row>
    <row r="830" spans="1:4" x14ac:dyDescent="0.3">
      <c r="A830" s="39">
        <v>45939</v>
      </c>
      <c r="B830" s="32">
        <v>99</v>
      </c>
      <c r="C830" s="32">
        <v>24</v>
      </c>
      <c r="D830" s="32">
        <f t="shared" si="9"/>
        <v>75</v>
      </c>
    </row>
    <row r="831" spans="1:4" x14ac:dyDescent="0.3">
      <c r="A831" s="39">
        <v>45940</v>
      </c>
      <c r="B831" s="32">
        <v>69</v>
      </c>
      <c r="C831" s="32">
        <v>15</v>
      </c>
      <c r="D831" s="32">
        <f t="shared" si="9"/>
        <v>54</v>
      </c>
    </row>
    <row r="832" spans="1:4" x14ac:dyDescent="0.3">
      <c r="A832" s="39">
        <v>45943</v>
      </c>
      <c r="B832" s="32">
        <v>73</v>
      </c>
      <c r="C832" s="32">
        <v>10</v>
      </c>
      <c r="D832" s="32">
        <f t="shared" si="9"/>
        <v>63</v>
      </c>
    </row>
    <row r="833" spans="1:4" x14ac:dyDescent="0.3">
      <c r="A833" s="39">
        <v>45944</v>
      </c>
      <c r="B833" s="32">
        <v>45</v>
      </c>
      <c r="C833" s="32">
        <v>8</v>
      </c>
      <c r="D833" s="32">
        <f t="shared" si="9"/>
        <v>37</v>
      </c>
    </row>
    <row r="834" spans="1:4" x14ac:dyDescent="0.3">
      <c r="A834" s="39">
        <v>45945</v>
      </c>
      <c r="B834" s="32">
        <v>82</v>
      </c>
      <c r="C834" s="32">
        <v>7</v>
      </c>
      <c r="D834" s="32">
        <f t="shared" si="9"/>
        <v>75</v>
      </c>
    </row>
    <row r="835" spans="1:4" x14ac:dyDescent="0.3">
      <c r="A835" s="39">
        <v>45946</v>
      </c>
      <c r="B835" s="32">
        <v>55</v>
      </c>
      <c r="C835" s="32">
        <v>7</v>
      </c>
      <c r="D835" s="32">
        <f t="shared" ref="D835:D849" si="10">B835-C835</f>
        <v>48</v>
      </c>
    </row>
    <row r="836" spans="1:4" x14ac:dyDescent="0.3">
      <c r="A836" s="39">
        <v>45947</v>
      </c>
      <c r="B836" s="32">
        <v>44</v>
      </c>
      <c r="C836" s="32">
        <v>28</v>
      </c>
      <c r="D836" s="32">
        <f t="shared" si="10"/>
        <v>16</v>
      </c>
    </row>
    <row r="837" spans="1:4" x14ac:dyDescent="0.3">
      <c r="A837" s="39">
        <v>45950</v>
      </c>
      <c r="B837" s="32">
        <v>95</v>
      </c>
      <c r="C837" s="32">
        <v>6</v>
      </c>
      <c r="D837" s="32">
        <f t="shared" si="10"/>
        <v>89</v>
      </c>
    </row>
    <row r="838" spans="1:4" x14ac:dyDescent="0.3">
      <c r="A838" s="39">
        <v>45951</v>
      </c>
      <c r="B838" s="32">
        <v>92</v>
      </c>
      <c r="C838" s="32">
        <v>5</v>
      </c>
      <c r="D838" s="32">
        <f t="shared" si="10"/>
        <v>87</v>
      </c>
    </row>
    <row r="839" spans="1:4" x14ac:dyDescent="0.3">
      <c r="A839" s="39">
        <v>45952</v>
      </c>
      <c r="B839" s="32">
        <v>72</v>
      </c>
      <c r="C839" s="32">
        <v>8</v>
      </c>
      <c r="D839" s="32">
        <f t="shared" si="10"/>
        <v>64</v>
      </c>
    </row>
    <row r="840" spans="1:4" x14ac:dyDescent="0.3">
      <c r="A840" s="39">
        <v>45953</v>
      </c>
      <c r="B840" s="32">
        <v>72</v>
      </c>
      <c r="C840" s="32">
        <v>9</v>
      </c>
      <c r="D840" s="32">
        <f t="shared" si="10"/>
        <v>63</v>
      </c>
    </row>
    <row r="841" spans="1:4" x14ac:dyDescent="0.3">
      <c r="A841" s="39">
        <v>45954</v>
      </c>
      <c r="B841" s="32">
        <v>71</v>
      </c>
      <c r="C841" s="32">
        <v>10</v>
      </c>
      <c r="D841" s="32">
        <f t="shared" si="10"/>
        <v>61</v>
      </c>
    </row>
    <row r="842" spans="1:4" x14ac:dyDescent="0.3">
      <c r="A842" s="39">
        <v>45957</v>
      </c>
      <c r="B842" s="32">
        <v>63</v>
      </c>
      <c r="C842" s="32">
        <v>15</v>
      </c>
      <c r="D842" s="32">
        <f t="shared" si="10"/>
        <v>48</v>
      </c>
    </row>
    <row r="843" spans="1:4" x14ac:dyDescent="0.3">
      <c r="A843" s="39">
        <v>45958</v>
      </c>
      <c r="B843" s="32">
        <v>71</v>
      </c>
      <c r="C843" s="32">
        <v>10</v>
      </c>
      <c r="D843" s="32">
        <f t="shared" si="10"/>
        <v>61</v>
      </c>
    </row>
    <row r="844" spans="1:4" x14ac:dyDescent="0.3">
      <c r="A844" s="39">
        <v>45959</v>
      </c>
      <c r="B844" s="32">
        <v>66</v>
      </c>
      <c r="C844" s="32">
        <v>10</v>
      </c>
      <c r="D844" s="32">
        <f t="shared" si="10"/>
        <v>56</v>
      </c>
    </row>
    <row r="845" spans="1:4" x14ac:dyDescent="0.3">
      <c r="A845" s="39">
        <v>45960</v>
      </c>
      <c r="B845" s="32">
        <v>61</v>
      </c>
      <c r="C845" s="32">
        <v>10</v>
      </c>
      <c r="D845" s="32">
        <f t="shared" si="10"/>
        <v>51</v>
      </c>
    </row>
    <row r="846" spans="1:4" x14ac:dyDescent="0.3">
      <c r="A846" s="39">
        <v>45961</v>
      </c>
      <c r="B846" s="32">
        <v>76</v>
      </c>
      <c r="C846" s="32">
        <v>17</v>
      </c>
      <c r="D846" s="32">
        <f t="shared" si="10"/>
        <v>59</v>
      </c>
    </row>
    <row r="847" spans="1:4" x14ac:dyDescent="0.3">
      <c r="A847" s="39">
        <v>45964</v>
      </c>
      <c r="B847" s="32">
        <v>90</v>
      </c>
      <c r="C847" s="32">
        <v>11</v>
      </c>
      <c r="D847" s="32">
        <f t="shared" si="10"/>
        <v>79</v>
      </c>
    </row>
    <row r="848" spans="1:4" x14ac:dyDescent="0.3">
      <c r="A848" s="39">
        <v>45965</v>
      </c>
      <c r="B848" s="32">
        <v>67</v>
      </c>
      <c r="C848" s="32">
        <v>8</v>
      </c>
      <c r="D848" s="32">
        <f t="shared" si="10"/>
        <v>59</v>
      </c>
    </row>
    <row r="849" spans="1:4" x14ac:dyDescent="0.3">
      <c r="A849" s="39">
        <v>45966</v>
      </c>
      <c r="B849" s="32">
        <v>82</v>
      </c>
      <c r="C849" s="32">
        <v>7</v>
      </c>
      <c r="D849" s="32">
        <f t="shared" si="10"/>
        <v>75</v>
      </c>
    </row>
    <row r="850" spans="1:4" x14ac:dyDescent="0.3">
      <c r="A850" s="39">
        <v>45967</v>
      </c>
      <c r="B850" s="32">
        <v>72</v>
      </c>
      <c r="C850" s="32">
        <v>17</v>
      </c>
      <c r="D850" s="32">
        <f t="shared" ref="D850:D855" si="11">B850-C850</f>
        <v>55</v>
      </c>
    </row>
    <row r="851" spans="1:4" x14ac:dyDescent="0.3">
      <c r="A851" s="39">
        <v>45968</v>
      </c>
      <c r="B851" s="32">
        <v>63</v>
      </c>
      <c r="C851" s="32">
        <v>8</v>
      </c>
      <c r="D851" s="32">
        <f t="shared" si="11"/>
        <v>55</v>
      </c>
    </row>
    <row r="852" spans="1:4" x14ac:dyDescent="0.3">
      <c r="A852" s="39">
        <v>45971</v>
      </c>
      <c r="B852" s="32">
        <v>92</v>
      </c>
      <c r="C852" s="32">
        <v>10</v>
      </c>
      <c r="D852" s="32">
        <f t="shared" si="11"/>
        <v>82</v>
      </c>
    </row>
    <row r="853" spans="1:4" x14ac:dyDescent="0.3">
      <c r="A853" s="39">
        <v>45972</v>
      </c>
      <c r="B853" s="32">
        <v>82</v>
      </c>
      <c r="C853" s="32">
        <v>6</v>
      </c>
      <c r="D853" s="32">
        <f t="shared" si="11"/>
        <v>76</v>
      </c>
    </row>
    <row r="854" spans="1:4" x14ac:dyDescent="0.3">
      <c r="A854" s="39">
        <v>45973</v>
      </c>
      <c r="B854" s="32">
        <v>77</v>
      </c>
      <c r="C854" s="32">
        <v>10</v>
      </c>
      <c r="D854" s="32">
        <f t="shared" si="11"/>
        <v>67</v>
      </c>
    </row>
    <row r="855" spans="1:4" x14ac:dyDescent="0.3">
      <c r="A855" s="39">
        <v>45974</v>
      </c>
      <c r="B855" s="32">
        <v>104</v>
      </c>
      <c r="C855" s="32">
        <v>0</v>
      </c>
      <c r="D855" s="32">
        <f t="shared" si="11"/>
        <v>104</v>
      </c>
    </row>
    <row r="856" spans="1:4" x14ac:dyDescent="0.3">
      <c r="A856" s="39">
        <v>45975</v>
      </c>
      <c r="B856" s="32">
        <v>89</v>
      </c>
      <c r="C856" s="32">
        <v>9</v>
      </c>
      <c r="D856" s="32">
        <f t="shared" ref="D856:D865" si="12">B856-C856</f>
        <v>80</v>
      </c>
    </row>
    <row r="857" spans="1:4" x14ac:dyDescent="0.3">
      <c r="A857" s="39">
        <v>45978</v>
      </c>
      <c r="B857" s="32">
        <v>100</v>
      </c>
      <c r="C857" s="32">
        <v>10</v>
      </c>
      <c r="D857" s="32">
        <f t="shared" si="12"/>
        <v>90</v>
      </c>
    </row>
    <row r="858" spans="1:4" x14ac:dyDescent="0.3">
      <c r="A858" s="39">
        <v>45979</v>
      </c>
      <c r="B858" s="32">
        <v>62</v>
      </c>
      <c r="C858" s="32">
        <v>36</v>
      </c>
      <c r="D858" s="32">
        <f t="shared" si="12"/>
        <v>26</v>
      </c>
    </row>
    <row r="859" spans="1:4" x14ac:dyDescent="0.3">
      <c r="A859" s="39">
        <v>45980</v>
      </c>
      <c r="B859" s="32">
        <v>64</v>
      </c>
      <c r="C859" s="32">
        <v>33</v>
      </c>
      <c r="D859" s="32">
        <f t="shared" si="12"/>
        <v>31</v>
      </c>
    </row>
    <row r="860" spans="1:4" x14ac:dyDescent="0.3">
      <c r="A860" s="39">
        <v>45981</v>
      </c>
      <c r="B860" s="32">
        <v>49</v>
      </c>
      <c r="C860" s="32">
        <v>20</v>
      </c>
      <c r="D860" s="32">
        <f t="shared" si="12"/>
        <v>29</v>
      </c>
    </row>
    <row r="861" spans="1:4" x14ac:dyDescent="0.3">
      <c r="A861" s="39">
        <v>45982</v>
      </c>
      <c r="B861" s="32">
        <v>33</v>
      </c>
      <c r="C861" s="32">
        <v>99</v>
      </c>
      <c r="D861" s="32">
        <f t="shared" si="12"/>
        <v>-66</v>
      </c>
    </row>
    <row r="862" spans="1:4" x14ac:dyDescent="0.3">
      <c r="A862" s="39">
        <v>45985</v>
      </c>
      <c r="B862" s="32">
        <v>79</v>
      </c>
      <c r="C862" s="32">
        <v>34</v>
      </c>
      <c r="D862" s="32">
        <f t="shared" si="12"/>
        <v>45</v>
      </c>
    </row>
    <row r="863" spans="1:4" x14ac:dyDescent="0.3">
      <c r="A863" s="39">
        <v>45986</v>
      </c>
      <c r="B863" s="32">
        <v>95</v>
      </c>
      <c r="C863" s="32">
        <v>5</v>
      </c>
      <c r="D863" s="32">
        <f t="shared" si="12"/>
        <v>90</v>
      </c>
    </row>
    <row r="864" spans="1:4" x14ac:dyDescent="0.3">
      <c r="A864" s="39">
        <v>45987</v>
      </c>
      <c r="B864" s="32">
        <v>76</v>
      </c>
      <c r="C864" s="32">
        <v>6</v>
      </c>
      <c r="D864" s="32">
        <f t="shared" si="12"/>
        <v>70</v>
      </c>
    </row>
    <row r="865" spans="1:4" x14ac:dyDescent="0.3">
      <c r="A865" s="39">
        <v>45988</v>
      </c>
      <c r="B865" s="32">
        <v>63</v>
      </c>
      <c r="C865" s="32">
        <v>14</v>
      </c>
      <c r="D865" s="32">
        <f t="shared" si="12"/>
        <v>49</v>
      </c>
    </row>
    <row r="866" spans="1:4" x14ac:dyDescent="0.3">
      <c r="A866" s="39">
        <v>45989</v>
      </c>
      <c r="B866" s="32">
        <v>81</v>
      </c>
      <c r="C866" s="32">
        <v>6</v>
      </c>
      <c r="D866" s="32">
        <f t="shared" ref="D866:D952" si="13">B866-C866</f>
        <v>75</v>
      </c>
    </row>
    <row r="867" spans="1:4" x14ac:dyDescent="0.3">
      <c r="A867" s="39">
        <v>45992</v>
      </c>
      <c r="B867" s="32">
        <v>76</v>
      </c>
      <c r="C867" s="32">
        <v>7</v>
      </c>
      <c r="D867" s="32">
        <f t="shared" si="13"/>
        <v>69</v>
      </c>
    </row>
    <row r="868" spans="1:4" x14ac:dyDescent="0.3">
      <c r="A868" s="39">
        <v>45993</v>
      </c>
      <c r="B868" s="32">
        <v>54</v>
      </c>
      <c r="C868" s="32">
        <v>7</v>
      </c>
      <c r="D868" s="32">
        <f t="shared" si="13"/>
        <v>47</v>
      </c>
    </row>
    <row r="869" spans="1:4" x14ac:dyDescent="0.3">
      <c r="A869" s="39">
        <v>45994</v>
      </c>
      <c r="B869" s="32">
        <v>54</v>
      </c>
      <c r="C869" s="32">
        <v>14</v>
      </c>
      <c r="D869" s="32">
        <f t="shared" si="13"/>
        <v>40</v>
      </c>
    </row>
    <row r="870" spans="1:4" x14ac:dyDescent="0.3">
      <c r="A870" s="39">
        <v>45995</v>
      </c>
      <c r="B870" s="32">
        <v>39</v>
      </c>
      <c r="C870" s="32">
        <v>26</v>
      </c>
      <c r="D870" s="32">
        <f t="shared" si="13"/>
        <v>13</v>
      </c>
    </row>
    <row r="871" spans="1:4" x14ac:dyDescent="0.3">
      <c r="A871" s="39">
        <v>45996</v>
      </c>
      <c r="B871" s="32">
        <v>80</v>
      </c>
      <c r="C871" s="32">
        <v>12</v>
      </c>
      <c r="D871" s="32">
        <f t="shared" si="13"/>
        <v>68</v>
      </c>
    </row>
    <row r="872" spans="1:4" x14ac:dyDescent="0.3">
      <c r="A872" s="39">
        <v>45999</v>
      </c>
      <c r="B872" s="32">
        <v>78</v>
      </c>
      <c r="C872" s="32">
        <v>8</v>
      </c>
      <c r="D872" s="32">
        <f t="shared" si="13"/>
        <v>70</v>
      </c>
    </row>
    <row r="873" spans="1:4" x14ac:dyDescent="0.3">
      <c r="A873" s="39">
        <v>46000</v>
      </c>
      <c r="B873" s="32">
        <v>54</v>
      </c>
      <c r="C873" s="32">
        <v>12</v>
      </c>
      <c r="D873" s="32">
        <f t="shared" si="13"/>
        <v>42</v>
      </c>
    </row>
    <row r="874" spans="1:4" x14ac:dyDescent="0.3">
      <c r="A874" s="39">
        <v>46001</v>
      </c>
      <c r="B874" s="32">
        <v>60</v>
      </c>
      <c r="C874" s="32">
        <v>11</v>
      </c>
      <c r="D874" s="32">
        <f t="shared" si="13"/>
        <v>49</v>
      </c>
    </row>
    <row r="875" spans="1:4" x14ac:dyDescent="0.3">
      <c r="A875" s="39">
        <v>46002</v>
      </c>
      <c r="B875" s="32">
        <v>38</v>
      </c>
      <c r="C875" s="32">
        <v>29</v>
      </c>
      <c r="D875" s="32">
        <f t="shared" si="13"/>
        <v>9</v>
      </c>
    </row>
    <row r="876" spans="1:4" x14ac:dyDescent="0.3">
      <c r="A876" s="39">
        <v>46003</v>
      </c>
      <c r="B876" s="32">
        <v>83</v>
      </c>
      <c r="C876" s="32">
        <v>26</v>
      </c>
      <c r="D876" s="32">
        <f t="shared" si="13"/>
        <v>57</v>
      </c>
    </row>
    <row r="877" spans="1:4" x14ac:dyDescent="0.3">
      <c r="A877" s="39">
        <v>46006</v>
      </c>
      <c r="B877" s="32">
        <v>65</v>
      </c>
      <c r="C877" s="32">
        <v>24</v>
      </c>
      <c r="D877" s="32">
        <f t="shared" si="13"/>
        <v>41</v>
      </c>
    </row>
    <row r="878" spans="1:4" x14ac:dyDescent="0.3">
      <c r="A878" s="39">
        <v>46007</v>
      </c>
      <c r="B878" s="32">
        <v>46</v>
      </c>
      <c r="C878" s="32">
        <v>36</v>
      </c>
      <c r="D878" s="32">
        <f t="shared" si="13"/>
        <v>10</v>
      </c>
    </row>
    <row r="879" spans="1:4" x14ac:dyDescent="0.3">
      <c r="A879" s="39">
        <v>46008</v>
      </c>
      <c r="B879" s="32">
        <v>57</v>
      </c>
      <c r="C879" s="32">
        <v>25</v>
      </c>
      <c r="D879" s="32">
        <f t="shared" si="13"/>
        <v>32</v>
      </c>
    </row>
    <row r="880" spans="1:4" x14ac:dyDescent="0.3">
      <c r="A880" s="39">
        <v>46009</v>
      </c>
      <c r="B880" s="32">
        <v>73</v>
      </c>
      <c r="C880" s="32">
        <v>8</v>
      </c>
      <c r="D880" s="32">
        <f t="shared" si="13"/>
        <v>65</v>
      </c>
    </row>
    <row r="881" spans="1:4" x14ac:dyDescent="0.3">
      <c r="A881" s="39">
        <v>46010</v>
      </c>
      <c r="B881" s="32">
        <v>82</v>
      </c>
      <c r="C881" s="32">
        <v>6</v>
      </c>
      <c r="D881" s="32">
        <f t="shared" si="13"/>
        <v>76</v>
      </c>
    </row>
    <row r="882" spans="1:4" x14ac:dyDescent="0.3">
      <c r="A882" s="39">
        <v>46013</v>
      </c>
      <c r="B882" s="32">
        <v>105</v>
      </c>
      <c r="C882" s="32">
        <v>8</v>
      </c>
      <c r="D882" s="32">
        <f t="shared" si="13"/>
        <v>97</v>
      </c>
    </row>
    <row r="883" spans="1:4" x14ac:dyDescent="0.3">
      <c r="A883" s="39">
        <v>46014</v>
      </c>
      <c r="B883" s="32">
        <v>68</v>
      </c>
      <c r="C883" s="32">
        <v>15</v>
      </c>
      <c r="D883" s="32">
        <f t="shared" si="13"/>
        <v>53</v>
      </c>
    </row>
    <row r="884" spans="1:4" x14ac:dyDescent="0.3">
      <c r="A884" s="39">
        <v>46015</v>
      </c>
      <c r="B884" s="32">
        <v>86</v>
      </c>
      <c r="C884" s="32">
        <v>6</v>
      </c>
      <c r="D884" s="32">
        <f t="shared" si="13"/>
        <v>80</v>
      </c>
    </row>
    <row r="885" spans="1:4" x14ac:dyDescent="0.3">
      <c r="A885" s="39">
        <v>46016</v>
      </c>
      <c r="B885" s="32">
        <v>93</v>
      </c>
      <c r="C885" s="32">
        <v>2</v>
      </c>
      <c r="D885" s="32">
        <f t="shared" si="13"/>
        <v>91</v>
      </c>
    </row>
    <row r="886" spans="1:4" x14ac:dyDescent="0.3">
      <c r="A886" s="39">
        <v>46017</v>
      </c>
      <c r="B886" s="32">
        <v>92</v>
      </c>
      <c r="C886" s="32">
        <v>3</v>
      </c>
      <c r="D886" s="32">
        <f t="shared" si="13"/>
        <v>89</v>
      </c>
    </row>
    <row r="887" spans="1:4" x14ac:dyDescent="0.3">
      <c r="A887" s="39">
        <v>46020</v>
      </c>
      <c r="B887" s="32">
        <v>87</v>
      </c>
      <c r="C887" s="32">
        <v>25</v>
      </c>
      <c r="D887" s="32">
        <f t="shared" si="13"/>
        <v>62</v>
      </c>
    </row>
    <row r="888" spans="1:4" x14ac:dyDescent="0.3">
      <c r="A888" s="39">
        <v>46021</v>
      </c>
      <c r="B888" s="32">
        <v>66</v>
      </c>
      <c r="C888" s="32">
        <v>19</v>
      </c>
      <c r="D888" s="32">
        <f t="shared" si="13"/>
        <v>47</v>
      </c>
    </row>
    <row r="889" spans="1:4" x14ac:dyDescent="0.3">
      <c r="A889" s="39">
        <v>46022</v>
      </c>
      <c r="B889" s="32">
        <v>63</v>
      </c>
      <c r="C889" s="32">
        <v>12</v>
      </c>
      <c r="D889" s="32">
        <f t="shared" si="13"/>
        <v>51</v>
      </c>
    </row>
    <row r="890" spans="1:4" x14ac:dyDescent="0.3">
      <c r="A890" s="39">
        <v>46027</v>
      </c>
      <c r="B890" s="32">
        <v>127</v>
      </c>
      <c r="C890" s="32">
        <v>12</v>
      </c>
      <c r="D890" s="32">
        <f t="shared" si="13"/>
        <v>115</v>
      </c>
    </row>
    <row r="891" spans="1:4" x14ac:dyDescent="0.3">
      <c r="A891" s="39">
        <v>46028</v>
      </c>
      <c r="B891" s="32">
        <v>143</v>
      </c>
      <c r="C891" s="32">
        <v>2</v>
      </c>
      <c r="D891" s="32">
        <f t="shared" si="13"/>
        <v>141</v>
      </c>
    </row>
    <row r="892" spans="1:4" x14ac:dyDescent="0.3">
      <c r="A892" s="39">
        <v>46029</v>
      </c>
      <c r="B892" s="32">
        <v>97</v>
      </c>
      <c r="C892" s="32">
        <v>7</v>
      </c>
      <c r="D892" s="32">
        <f t="shared" si="13"/>
        <v>90</v>
      </c>
    </row>
    <row r="893" spans="1:4" x14ac:dyDescent="0.3">
      <c r="A893" s="39">
        <v>46030</v>
      </c>
      <c r="B893" s="32">
        <v>111</v>
      </c>
      <c r="C893" s="32">
        <v>6</v>
      </c>
      <c r="D893" s="32">
        <f t="shared" si="13"/>
        <v>105</v>
      </c>
    </row>
    <row r="894" spans="1:4" x14ac:dyDescent="0.3">
      <c r="A894" s="39">
        <v>46031</v>
      </c>
      <c r="B894" s="32">
        <v>109</v>
      </c>
      <c r="C894" s="32">
        <v>1</v>
      </c>
      <c r="D894" s="32">
        <f t="shared" si="13"/>
        <v>108</v>
      </c>
    </row>
    <row r="895" spans="1:4" x14ac:dyDescent="0.3">
      <c r="A895" s="39">
        <v>46034</v>
      </c>
      <c r="B895" s="32">
        <v>201</v>
      </c>
      <c r="C895" s="32">
        <v>9</v>
      </c>
      <c r="D895" s="32">
        <f t="shared" si="13"/>
        <v>192</v>
      </c>
    </row>
    <row r="896" spans="1:4" x14ac:dyDescent="0.3">
      <c r="A896" s="39">
        <v>46035</v>
      </c>
      <c r="B896" s="32">
        <v>75</v>
      </c>
      <c r="C896" s="32">
        <v>56</v>
      </c>
      <c r="D896" s="32">
        <f t="shared" si="13"/>
        <v>19</v>
      </c>
    </row>
    <row r="897" spans="1:4" x14ac:dyDescent="0.3">
      <c r="A897" s="39">
        <v>46036</v>
      </c>
      <c r="B897" s="32">
        <v>110</v>
      </c>
      <c r="C897" s="32">
        <v>19</v>
      </c>
      <c r="D897" s="32">
        <f t="shared" si="13"/>
        <v>91</v>
      </c>
    </row>
    <row r="898" spans="1:4" x14ac:dyDescent="0.3">
      <c r="A898" s="39">
        <v>46037</v>
      </c>
      <c r="B898" s="32">
        <v>63</v>
      </c>
      <c r="C898" s="32">
        <v>71</v>
      </c>
      <c r="D898" s="32">
        <f t="shared" si="13"/>
        <v>-8</v>
      </c>
    </row>
    <row r="899" spans="1:4" x14ac:dyDescent="0.3">
      <c r="A899" s="39">
        <v>46038</v>
      </c>
      <c r="B899" s="32">
        <v>67</v>
      </c>
      <c r="C899" s="32">
        <v>57</v>
      </c>
      <c r="D899" s="32">
        <f t="shared" si="13"/>
        <v>10</v>
      </c>
    </row>
    <row r="900" spans="1:4" x14ac:dyDescent="0.3">
      <c r="A900" s="39">
        <v>46041</v>
      </c>
      <c r="B900" s="32">
        <v>103</v>
      </c>
      <c r="C900" s="32">
        <v>30</v>
      </c>
      <c r="D900" s="32">
        <f t="shared" si="13"/>
        <v>73</v>
      </c>
    </row>
    <row r="901" spans="1:4" x14ac:dyDescent="0.3">
      <c r="A901" s="39">
        <v>46042</v>
      </c>
      <c r="B901" s="32">
        <v>62</v>
      </c>
      <c r="C901" s="32">
        <v>23</v>
      </c>
      <c r="D901" s="32">
        <f t="shared" si="13"/>
        <v>39</v>
      </c>
    </row>
    <row r="902" spans="1:4" x14ac:dyDescent="0.3">
      <c r="A902" s="39">
        <v>46043</v>
      </c>
      <c r="B902" s="32">
        <v>88</v>
      </c>
      <c r="C902" s="32">
        <v>11</v>
      </c>
      <c r="D902" s="32">
        <f t="shared" si="13"/>
        <v>77</v>
      </c>
    </row>
    <row r="903" spans="1:4" x14ac:dyDescent="0.3">
      <c r="A903" s="39">
        <v>46044</v>
      </c>
      <c r="B903" s="32">
        <v>92</v>
      </c>
      <c r="C903" s="32">
        <v>5</v>
      </c>
      <c r="D903" s="32">
        <f t="shared" si="13"/>
        <v>87</v>
      </c>
    </row>
    <row r="904" spans="1:4" x14ac:dyDescent="0.3">
      <c r="A904" s="39">
        <v>46045</v>
      </c>
      <c r="B904" s="32">
        <v>121</v>
      </c>
      <c r="C904" s="32">
        <v>2</v>
      </c>
      <c r="D904" s="32">
        <f t="shared" si="13"/>
        <v>119</v>
      </c>
    </row>
    <row r="905" spans="1:4" x14ac:dyDescent="0.3">
      <c r="A905" s="39">
        <v>46048</v>
      </c>
      <c r="B905" s="32">
        <v>77</v>
      </c>
      <c r="C905" s="32">
        <v>40</v>
      </c>
      <c r="D905" s="32">
        <f t="shared" si="13"/>
        <v>37</v>
      </c>
    </row>
    <row r="906" spans="1:4" x14ac:dyDescent="0.3">
      <c r="A906" s="39">
        <v>46049</v>
      </c>
      <c r="B906" s="32">
        <v>59</v>
      </c>
      <c r="C906" s="32">
        <v>12</v>
      </c>
      <c r="D906" s="32">
        <f t="shared" si="13"/>
        <v>47</v>
      </c>
    </row>
    <row r="907" spans="1:4" x14ac:dyDescent="0.3">
      <c r="A907" s="39">
        <v>46050</v>
      </c>
      <c r="B907" s="32">
        <v>84</v>
      </c>
      <c r="C907" s="32">
        <v>28</v>
      </c>
      <c r="D907" s="32">
        <f t="shared" si="13"/>
        <v>56</v>
      </c>
    </row>
    <row r="908" spans="1:4" x14ac:dyDescent="0.3">
      <c r="A908" s="39">
        <v>46051</v>
      </c>
      <c r="B908" s="32">
        <v>86</v>
      </c>
      <c r="C908" s="32">
        <v>35</v>
      </c>
      <c r="D908" s="32">
        <f t="shared" si="13"/>
        <v>51</v>
      </c>
    </row>
    <row r="909" spans="1:4" x14ac:dyDescent="0.3">
      <c r="A909" s="39">
        <v>46052</v>
      </c>
      <c r="B909" s="32">
        <v>57</v>
      </c>
      <c r="C909" s="32">
        <v>60</v>
      </c>
      <c r="D909" s="32">
        <f t="shared" si="13"/>
        <v>-3</v>
      </c>
    </row>
    <row r="910" spans="1:4" x14ac:dyDescent="0.3">
      <c r="A910" s="39">
        <v>46055</v>
      </c>
      <c r="B910" s="32">
        <v>44</v>
      </c>
      <c r="C910" s="32">
        <v>123</v>
      </c>
      <c r="D910" s="32">
        <f t="shared" si="13"/>
        <v>-79</v>
      </c>
    </row>
    <row r="911" spans="1:4" x14ac:dyDescent="0.3">
      <c r="A911" s="39">
        <v>46056</v>
      </c>
      <c r="B911" s="32">
        <v>83</v>
      </c>
      <c r="C911" s="32">
        <v>22</v>
      </c>
      <c r="D911" s="32">
        <f t="shared" si="13"/>
        <v>61</v>
      </c>
    </row>
    <row r="912" spans="1:4" x14ac:dyDescent="0.3">
      <c r="A912" s="39">
        <v>46057</v>
      </c>
      <c r="B912" s="32">
        <v>77</v>
      </c>
      <c r="C912" s="32">
        <v>14</v>
      </c>
      <c r="D912" s="32">
        <f t="shared" si="13"/>
        <v>63</v>
      </c>
    </row>
    <row r="913" spans="1:5" x14ac:dyDescent="0.3">
      <c r="A913" s="39">
        <v>46058</v>
      </c>
      <c r="B913" s="32">
        <v>56</v>
      </c>
      <c r="C913" s="32">
        <v>23</v>
      </c>
      <c r="D913" s="32">
        <f t="shared" si="13"/>
        <v>33</v>
      </c>
    </row>
    <row r="914" spans="1:5" x14ac:dyDescent="0.3">
      <c r="A914" s="39">
        <v>46059</v>
      </c>
      <c r="B914" s="32">
        <v>61</v>
      </c>
      <c r="C914" s="32">
        <v>10</v>
      </c>
      <c r="D914" s="32">
        <f t="shared" si="13"/>
        <v>51</v>
      </c>
    </row>
    <row r="915" spans="1:5" x14ac:dyDescent="0.3">
      <c r="A915" s="39">
        <v>46062</v>
      </c>
      <c r="B915" s="32">
        <v>96</v>
      </c>
      <c r="C915" s="32">
        <v>8</v>
      </c>
      <c r="D915" s="32">
        <f t="shared" si="13"/>
        <v>88</v>
      </c>
    </row>
    <row r="916" spans="1:5" x14ac:dyDescent="0.3">
      <c r="A916" s="39">
        <v>46063</v>
      </c>
      <c r="B916" s="32">
        <v>71</v>
      </c>
      <c r="C916" s="32">
        <v>10</v>
      </c>
      <c r="D916" s="32">
        <f t="shared" si="13"/>
        <v>61</v>
      </c>
    </row>
    <row r="917" spans="1:5" x14ac:dyDescent="0.3">
      <c r="A917" s="39">
        <v>46064</v>
      </c>
      <c r="B917" s="32">
        <v>60</v>
      </c>
      <c r="C917" s="32">
        <v>10</v>
      </c>
      <c r="D917" s="32">
        <f t="shared" si="13"/>
        <v>50</v>
      </c>
    </row>
    <row r="918" spans="1:5" x14ac:dyDescent="0.3">
      <c r="A918" s="39">
        <v>46065</v>
      </c>
      <c r="B918" s="32">
        <v>69</v>
      </c>
      <c r="C918" s="32">
        <v>22</v>
      </c>
      <c r="D918" s="32">
        <f t="shared" si="13"/>
        <v>47</v>
      </c>
    </row>
    <row r="919" spans="1:5" x14ac:dyDescent="0.3">
      <c r="A919" s="39">
        <v>46066</v>
      </c>
      <c r="B919" s="32">
        <v>46</v>
      </c>
      <c r="C919" s="32">
        <v>16</v>
      </c>
      <c r="D919" s="32">
        <f t="shared" si="13"/>
        <v>30</v>
      </c>
    </row>
    <row r="920" spans="1:5" x14ac:dyDescent="0.3">
      <c r="A920" s="39">
        <v>46077</v>
      </c>
      <c r="B920" s="32">
        <v>109</v>
      </c>
      <c r="C920" s="32">
        <v>21</v>
      </c>
      <c r="D920" s="32">
        <f t="shared" si="13"/>
        <v>88</v>
      </c>
    </row>
    <row r="921" spans="1:5" x14ac:dyDescent="0.3">
      <c r="A921" s="39">
        <v>46078</v>
      </c>
      <c r="B921" s="32">
        <v>101</v>
      </c>
      <c r="C921" s="32">
        <v>4</v>
      </c>
      <c r="D921" s="32">
        <f t="shared" si="13"/>
        <v>97</v>
      </c>
    </row>
    <row r="922" spans="1:5" x14ac:dyDescent="0.3">
      <c r="A922" s="39">
        <v>46079</v>
      </c>
      <c r="B922" s="32">
        <v>78</v>
      </c>
      <c r="C922" s="32">
        <v>5</v>
      </c>
      <c r="D922" s="32">
        <f t="shared" si="13"/>
        <v>73</v>
      </c>
    </row>
    <row r="923" spans="1:5" x14ac:dyDescent="0.3">
      <c r="A923" s="39">
        <v>46080</v>
      </c>
      <c r="B923" s="32">
        <v>91</v>
      </c>
      <c r="C923" s="32">
        <v>1</v>
      </c>
      <c r="D923" s="32">
        <f t="shared" si="13"/>
        <v>90</v>
      </c>
    </row>
    <row r="924" spans="1:5" x14ac:dyDescent="0.3">
      <c r="A924" s="39">
        <v>46083</v>
      </c>
      <c r="B924" s="32">
        <v>94</v>
      </c>
      <c r="C924" s="32">
        <v>21</v>
      </c>
      <c r="D924" s="32">
        <f t="shared" si="13"/>
        <v>73</v>
      </c>
    </row>
    <row r="925" spans="1:5" x14ac:dyDescent="0.3">
      <c r="A925" s="39">
        <v>46084</v>
      </c>
      <c r="B925" s="32">
        <v>85</v>
      </c>
      <c r="C925" s="32">
        <v>82</v>
      </c>
      <c r="D925" s="32">
        <f t="shared" si="13"/>
        <v>3</v>
      </c>
    </row>
    <row r="926" spans="1:5" x14ac:dyDescent="0.3">
      <c r="A926" s="39">
        <v>46085</v>
      </c>
      <c r="B926" s="32">
        <v>46</v>
      </c>
      <c r="C926" s="32">
        <v>21</v>
      </c>
      <c r="D926" s="32">
        <f t="shared" si="13"/>
        <v>25</v>
      </c>
    </row>
    <row r="927" spans="1:5" x14ac:dyDescent="0.3">
      <c r="A927" s="39">
        <v>46086</v>
      </c>
      <c r="B927" s="32">
        <v>79</v>
      </c>
      <c r="C927" s="32">
        <v>7</v>
      </c>
      <c r="D927" s="32">
        <f t="shared" si="13"/>
        <v>72</v>
      </c>
    </row>
    <row r="928" spans="1:5" x14ac:dyDescent="0.3">
      <c r="A928" s="39">
        <v>46087</v>
      </c>
      <c r="B928" s="32">
        <v>88</v>
      </c>
      <c r="C928" s="32">
        <v>5</v>
      </c>
      <c r="D928" s="32">
        <f t="shared" si="13"/>
        <v>83</v>
      </c>
      <c r="E928" s="40"/>
    </row>
    <row r="929" spans="1:4" x14ac:dyDescent="0.3">
      <c r="A929" s="39">
        <v>46090</v>
      </c>
      <c r="B929" s="32">
        <v>50</v>
      </c>
      <c r="C929" s="32">
        <v>9</v>
      </c>
      <c r="D929" s="32">
        <f t="shared" si="13"/>
        <v>41</v>
      </c>
    </row>
    <row r="930" spans="1:4" x14ac:dyDescent="0.3">
      <c r="A930" s="39">
        <v>46091</v>
      </c>
      <c r="B930" s="32">
        <v>71</v>
      </c>
      <c r="C930" s="32">
        <v>7</v>
      </c>
      <c r="D930" s="32">
        <f t="shared" si="13"/>
        <v>64</v>
      </c>
    </row>
    <row r="931" spans="1:4" x14ac:dyDescent="0.3">
      <c r="A931" s="39">
        <v>46092</v>
      </c>
      <c r="B931" s="32">
        <v>67</v>
      </c>
      <c r="C931" s="32">
        <v>2</v>
      </c>
      <c r="D931" s="32">
        <f t="shared" si="13"/>
        <v>65</v>
      </c>
    </row>
    <row r="932" spans="1:4" x14ac:dyDescent="0.3">
      <c r="A932" s="39">
        <v>46093</v>
      </c>
      <c r="B932" s="32">
        <v>64</v>
      </c>
      <c r="C932" s="32">
        <v>6</v>
      </c>
      <c r="D932" s="32">
        <f t="shared" si="13"/>
        <v>58</v>
      </c>
    </row>
    <row r="933" spans="1:4" x14ac:dyDescent="0.3">
      <c r="A933" s="39">
        <v>46094</v>
      </c>
      <c r="B933" s="32">
        <v>68</v>
      </c>
      <c r="C933" s="32">
        <v>22</v>
      </c>
      <c r="D933" s="32">
        <f t="shared" si="13"/>
        <v>46</v>
      </c>
    </row>
    <row r="934" spans="1:4" x14ac:dyDescent="0.3">
      <c r="A934" s="39">
        <v>46097</v>
      </c>
      <c r="B934" s="32">
        <v>60</v>
      </c>
      <c r="C934" s="32">
        <v>10</v>
      </c>
      <c r="D934" s="32">
        <f t="shared" si="13"/>
        <v>50</v>
      </c>
    </row>
    <row r="935" spans="1:4" x14ac:dyDescent="0.3">
      <c r="A935" s="39">
        <v>46098</v>
      </c>
      <c r="B935" s="32">
        <v>52</v>
      </c>
      <c r="C935" s="32">
        <v>15</v>
      </c>
      <c r="D935" s="32">
        <f t="shared" si="13"/>
        <v>37</v>
      </c>
    </row>
    <row r="936" spans="1:4" x14ac:dyDescent="0.3">
      <c r="A936" s="39">
        <v>46099</v>
      </c>
      <c r="B936" s="32">
        <v>70</v>
      </c>
      <c r="C936" s="32">
        <v>14</v>
      </c>
      <c r="D936" s="32">
        <f t="shared" si="13"/>
        <v>56</v>
      </c>
    </row>
    <row r="937" spans="1:4" x14ac:dyDescent="0.3">
      <c r="A937" s="39">
        <v>46100</v>
      </c>
      <c r="B937" s="32">
        <v>36</v>
      </c>
      <c r="C937" s="32">
        <v>14</v>
      </c>
      <c r="D937" s="32">
        <f t="shared" si="13"/>
        <v>22</v>
      </c>
    </row>
    <row r="938" spans="1:4" x14ac:dyDescent="0.3">
      <c r="A938" s="39">
        <v>46101</v>
      </c>
      <c r="B938" s="32">
        <v>39</v>
      </c>
      <c r="C938" s="32">
        <v>23</v>
      </c>
      <c r="D938" s="32">
        <f t="shared" si="13"/>
        <v>16</v>
      </c>
    </row>
    <row r="939" spans="1:4" x14ac:dyDescent="0.3">
      <c r="A939" s="39">
        <v>46104</v>
      </c>
      <c r="B939" s="32">
        <v>38</v>
      </c>
      <c r="C939" s="32">
        <v>133</v>
      </c>
      <c r="D939" s="32">
        <f t="shared" si="13"/>
        <v>-95</v>
      </c>
    </row>
    <row r="940" spans="1:4" x14ac:dyDescent="0.3">
      <c r="A940" s="39">
        <v>46105</v>
      </c>
      <c r="B940" s="32">
        <v>100</v>
      </c>
      <c r="C940" s="32">
        <v>8</v>
      </c>
      <c r="D940" s="32">
        <f t="shared" si="13"/>
        <v>92</v>
      </c>
    </row>
    <row r="941" spans="1:4" x14ac:dyDescent="0.3">
      <c r="A941" s="39">
        <v>46106</v>
      </c>
      <c r="B941" s="32">
        <v>105</v>
      </c>
      <c r="C941" s="32">
        <v>4</v>
      </c>
      <c r="D941" s="32">
        <f t="shared" si="13"/>
        <v>101</v>
      </c>
    </row>
    <row r="942" spans="1:4" x14ac:dyDescent="0.3">
      <c r="A942" s="39">
        <v>46107</v>
      </c>
      <c r="B942" s="32">
        <v>51</v>
      </c>
      <c r="C942" s="32">
        <v>13</v>
      </c>
      <c r="D942" s="32">
        <f t="shared" si="13"/>
        <v>38</v>
      </c>
    </row>
    <row r="943" spans="1:4" x14ac:dyDescent="0.3">
      <c r="A943" s="39">
        <v>46108</v>
      </c>
      <c r="B943" s="32">
        <v>93</v>
      </c>
      <c r="C943" s="32">
        <v>5</v>
      </c>
      <c r="D943" s="32">
        <f t="shared" si="13"/>
        <v>88</v>
      </c>
    </row>
    <row r="944" spans="1:4" x14ac:dyDescent="0.3">
      <c r="A944" s="39">
        <v>46111</v>
      </c>
      <c r="B944" s="32">
        <v>76</v>
      </c>
      <c r="C944" s="32">
        <v>16</v>
      </c>
      <c r="D944" s="32">
        <f t="shared" si="13"/>
        <v>60</v>
      </c>
    </row>
    <row r="945" spans="1:4" x14ac:dyDescent="0.3">
      <c r="A945" s="39">
        <v>46112</v>
      </c>
      <c r="B945" s="32">
        <v>59</v>
      </c>
      <c r="C945" s="32">
        <v>17</v>
      </c>
      <c r="D945" s="32">
        <f t="shared" si="13"/>
        <v>42</v>
      </c>
    </row>
    <row r="946" spans="1:4" x14ac:dyDescent="0.3">
      <c r="A946" s="39">
        <v>46113</v>
      </c>
      <c r="B946" s="32">
        <v>65</v>
      </c>
      <c r="C946" s="32">
        <v>14</v>
      </c>
      <c r="D946" s="32">
        <f t="shared" si="13"/>
        <v>51</v>
      </c>
    </row>
    <row r="947" spans="1:4" x14ac:dyDescent="0.3">
      <c r="A947" s="39">
        <v>46114</v>
      </c>
      <c r="B947" s="32">
        <v>32</v>
      </c>
      <c r="C947" s="32">
        <v>16</v>
      </c>
      <c r="D947" s="32">
        <f t="shared" si="13"/>
        <v>16</v>
      </c>
    </row>
    <row r="948" spans="1:4" x14ac:dyDescent="0.3">
      <c r="A948" s="39">
        <v>46115</v>
      </c>
      <c r="B948" s="32">
        <v>38</v>
      </c>
      <c r="C948" s="32">
        <v>41</v>
      </c>
      <c r="D948" s="32">
        <f t="shared" si="13"/>
        <v>-3</v>
      </c>
    </row>
    <row r="949" spans="1:4" x14ac:dyDescent="0.3">
      <c r="A949" s="39">
        <v>46119</v>
      </c>
      <c r="B949" s="32">
        <v>101</v>
      </c>
      <c r="C949" s="32">
        <v>18</v>
      </c>
      <c r="D949" s="32">
        <f t="shared" si="13"/>
        <v>83</v>
      </c>
    </row>
    <row r="950" spans="1:4" x14ac:dyDescent="0.3">
      <c r="A950" s="39">
        <v>46120</v>
      </c>
      <c r="B950" s="32">
        <v>135</v>
      </c>
      <c r="C950" s="32">
        <v>12</v>
      </c>
      <c r="D950" s="32">
        <f t="shared" si="13"/>
        <v>123</v>
      </c>
    </row>
    <row r="951" spans="1:4" x14ac:dyDescent="0.3">
      <c r="A951" s="39">
        <v>46121</v>
      </c>
      <c r="B951" s="32">
        <v>61</v>
      </c>
      <c r="C951" s="32">
        <v>13</v>
      </c>
      <c r="D951" s="32">
        <f t="shared" si="13"/>
        <v>48</v>
      </c>
    </row>
    <row r="952" spans="1:4" x14ac:dyDescent="0.3">
      <c r="A952" s="39">
        <v>46122</v>
      </c>
      <c r="B952" s="32">
        <v>77</v>
      </c>
      <c r="C952" s="32">
        <v>12</v>
      </c>
      <c r="D952" s="32">
        <f t="shared" si="13"/>
        <v>65</v>
      </c>
    </row>
    <row r="953" spans="1:4" x14ac:dyDescent="0.3">
      <c r="A953" s="39">
        <v>46125</v>
      </c>
      <c r="B953" s="32">
        <v>86</v>
      </c>
      <c r="C953" s="32">
        <v>10</v>
      </c>
      <c r="D953" s="32">
        <f t="shared" ref="D953:D969" si="14">B953-C953</f>
        <v>76</v>
      </c>
    </row>
    <row r="954" spans="1:4" x14ac:dyDescent="0.3">
      <c r="A954" s="39">
        <v>46126</v>
      </c>
      <c r="B954" s="32">
        <v>71</v>
      </c>
      <c r="C954" s="32">
        <v>10</v>
      </c>
      <c r="D954" s="32">
        <f t="shared" si="14"/>
        <v>61</v>
      </c>
    </row>
    <row r="955" spans="1:4" x14ac:dyDescent="0.3">
      <c r="A955" s="39">
        <v>46127</v>
      </c>
      <c r="B955" s="32">
        <v>68</v>
      </c>
      <c r="C955" s="32">
        <v>14</v>
      </c>
      <c r="D955" s="32">
        <f t="shared" si="14"/>
        <v>54</v>
      </c>
    </row>
    <row r="956" spans="1:4" x14ac:dyDescent="0.3">
      <c r="A956" s="39">
        <v>46128</v>
      </c>
      <c r="B956" s="32">
        <v>88</v>
      </c>
      <c r="C956" s="32">
        <v>9</v>
      </c>
      <c r="D956" s="32">
        <f t="shared" si="14"/>
        <v>79</v>
      </c>
    </row>
    <row r="957" spans="1:4" x14ac:dyDescent="0.3">
      <c r="A957" s="39">
        <v>46129</v>
      </c>
      <c r="B957" s="32">
        <v>76</v>
      </c>
      <c r="C957" s="32">
        <v>7</v>
      </c>
      <c r="D957" s="32">
        <f t="shared" si="14"/>
        <v>69</v>
      </c>
    </row>
    <row r="958" spans="1:4" x14ac:dyDescent="0.3">
      <c r="A958" s="39">
        <v>46132</v>
      </c>
      <c r="B958" s="32">
        <v>90</v>
      </c>
      <c r="C958" s="32">
        <v>17</v>
      </c>
      <c r="D958" s="32">
        <f t="shared" si="14"/>
        <v>73</v>
      </c>
    </row>
    <row r="959" spans="1:4" x14ac:dyDescent="0.3">
      <c r="A959" s="39">
        <v>46133</v>
      </c>
      <c r="B959" s="32">
        <v>65</v>
      </c>
      <c r="C959" s="32">
        <v>19</v>
      </c>
      <c r="D959" s="32">
        <f t="shared" si="14"/>
        <v>46</v>
      </c>
    </row>
    <row r="960" spans="1:4" x14ac:dyDescent="0.3">
      <c r="A960" s="39">
        <v>46134</v>
      </c>
      <c r="B960" s="32">
        <v>63</v>
      </c>
      <c r="C960" s="32">
        <v>15</v>
      </c>
      <c r="D960" s="32">
        <f t="shared" si="14"/>
        <v>48</v>
      </c>
    </row>
    <row r="961" spans="1:4" x14ac:dyDescent="0.3">
      <c r="A961" s="39">
        <v>46135</v>
      </c>
      <c r="B961" s="32">
        <v>58</v>
      </c>
      <c r="C961" s="32">
        <v>30</v>
      </c>
      <c r="D961" s="32">
        <f t="shared" si="14"/>
        <v>28</v>
      </c>
    </row>
    <row r="962" spans="1:4" x14ac:dyDescent="0.3">
      <c r="A962" s="39">
        <v>46136</v>
      </c>
      <c r="B962" s="32">
        <v>68</v>
      </c>
      <c r="C962" s="32">
        <v>37</v>
      </c>
      <c r="D962" s="32">
        <f t="shared" si="14"/>
        <v>31</v>
      </c>
    </row>
    <row r="963" spans="1:4" x14ac:dyDescent="0.3">
      <c r="A963" s="39">
        <v>46139</v>
      </c>
      <c r="B963" s="32">
        <v>84</v>
      </c>
      <c r="C963" s="32">
        <v>52</v>
      </c>
      <c r="D963" s="32">
        <f t="shared" si="14"/>
        <v>32</v>
      </c>
    </row>
    <row r="964" spans="1:4" x14ac:dyDescent="0.3">
      <c r="A964" s="39">
        <v>46140</v>
      </c>
      <c r="B964" s="32">
        <v>76</v>
      </c>
      <c r="C964" s="32">
        <v>54</v>
      </c>
      <c r="D964" s="32">
        <f t="shared" si="14"/>
        <v>22</v>
      </c>
    </row>
    <row r="965" spans="1:4" x14ac:dyDescent="0.3">
      <c r="A965" s="39">
        <v>46141</v>
      </c>
      <c r="B965" s="32">
        <v>119</v>
      </c>
      <c r="C965" s="32">
        <v>39</v>
      </c>
      <c r="D965" s="32">
        <f t="shared" si="14"/>
        <v>80</v>
      </c>
    </row>
    <row r="966" spans="1:4" x14ac:dyDescent="0.3">
      <c r="A966" s="39">
        <v>46142</v>
      </c>
      <c r="B966" s="32">
        <v>98</v>
      </c>
      <c r="C966" s="32">
        <v>52</v>
      </c>
      <c r="D966" s="32">
        <f t="shared" si="14"/>
        <v>46</v>
      </c>
    </row>
    <row r="967" spans="1:4" x14ac:dyDescent="0.3">
      <c r="A967" s="39">
        <v>46148</v>
      </c>
      <c r="B967" s="32">
        <v>125</v>
      </c>
      <c r="C967" s="32">
        <v>63</v>
      </c>
      <c r="D967" s="32">
        <f t="shared" si="14"/>
        <v>62</v>
      </c>
    </row>
    <row r="968" spans="1:4" x14ac:dyDescent="0.3">
      <c r="A968" s="39">
        <v>46149</v>
      </c>
      <c r="B968" s="32">
        <v>127</v>
      </c>
      <c r="C968" s="32">
        <v>54</v>
      </c>
      <c r="D968" s="32">
        <f t="shared" si="14"/>
        <v>73</v>
      </c>
    </row>
    <row r="969" spans="1:4" x14ac:dyDescent="0.3">
      <c r="A969" s="39">
        <v>46150</v>
      </c>
      <c r="B969" s="32">
        <v>126</v>
      </c>
      <c r="C969" s="32">
        <v>33</v>
      </c>
      <c r="D969" s="32">
        <f t="shared" si="14"/>
        <v>93</v>
      </c>
    </row>
  </sheetData>
  <phoneticPr fontId="9" type="noConversion"/>
  <conditionalFormatting sqref="D1:D1048576">
    <cfRule type="cellIs" dxfId="0" priority="1" operator="lessThan">
      <formula>0</formula>
    </cfRule>
  </conditionalFormatting>
  <pageMargins left="0.75" right="0.75" top="1" bottom="1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75"/>
  <sheetViews>
    <sheetView zoomScale="155" workbookViewId="0">
      <selection activeCell="D11" sqref="D11"/>
    </sheetView>
  </sheetViews>
  <sheetFormatPr defaultColWidth="9" defaultRowHeight="14" x14ac:dyDescent="0.3"/>
  <cols>
    <col min="1" max="1" width="8.9140625" customWidth="1"/>
    <col min="2" max="2" width="32.33203125" customWidth="1"/>
    <col min="3" max="3" width="9.25"/>
    <col min="5" max="5" width="9.33203125" customWidth="1"/>
    <col min="6" max="6" width="26.08203125" customWidth="1"/>
  </cols>
  <sheetData>
    <row r="1" spans="1:6" x14ac:dyDescent="0.3">
      <c r="A1" s="28" t="s">
        <v>51</v>
      </c>
      <c r="B1" s="28" t="s">
        <v>52</v>
      </c>
      <c r="C1" s="29" t="s">
        <v>53</v>
      </c>
    </row>
    <row r="2" spans="1:6" x14ac:dyDescent="0.3">
      <c r="A2" s="28" t="s">
        <v>72</v>
      </c>
      <c r="B2" s="28" t="s">
        <v>39</v>
      </c>
      <c r="C2" s="29">
        <f>[1]!thsiFinD("ths_constituent_ up_number_index",A2,"2026-5-8")</f>
        <v>12</v>
      </c>
      <c r="E2" s="28" t="s">
        <v>55</v>
      </c>
      <c r="F2" s="28" t="s">
        <v>56</v>
      </c>
    </row>
    <row r="3" spans="1:6" x14ac:dyDescent="0.3">
      <c r="A3" s="28" t="s">
        <v>66</v>
      </c>
      <c r="B3" s="28" t="s">
        <v>37</v>
      </c>
      <c r="C3" s="29">
        <f>[1]!thsiFinD("ths_constituent_ up_number_index",A3,"2026-5-8")</f>
        <v>7</v>
      </c>
      <c r="E3" s="28" t="s">
        <v>58</v>
      </c>
      <c r="F3" s="28" t="s">
        <v>59</v>
      </c>
    </row>
    <row r="4" spans="1:6" x14ac:dyDescent="0.3">
      <c r="A4" s="28" t="s">
        <v>82</v>
      </c>
      <c r="B4" s="28" t="s">
        <v>43</v>
      </c>
      <c r="C4" s="29">
        <f>[1]!thsiFinD("ths_constituent_ up_number_index",A4,"2026-5-8")</f>
        <v>6</v>
      </c>
      <c r="E4" s="28" t="s">
        <v>61</v>
      </c>
      <c r="F4" s="28" t="s">
        <v>62</v>
      </c>
    </row>
    <row r="5" spans="1:6" x14ac:dyDescent="0.3">
      <c r="A5" s="28" t="s">
        <v>78</v>
      </c>
      <c r="B5" s="28" t="s">
        <v>41</v>
      </c>
      <c r="C5" s="29">
        <f>[1]!thsiFinD("ths_constituent_ up_number_index",A5,"2026-5-8")</f>
        <v>6</v>
      </c>
      <c r="E5" s="28" t="s">
        <v>64</v>
      </c>
      <c r="F5" s="28" t="s">
        <v>65</v>
      </c>
    </row>
    <row r="6" spans="1:6" x14ac:dyDescent="0.3">
      <c r="A6" s="28" t="s">
        <v>69</v>
      </c>
      <c r="B6" s="28" t="s">
        <v>38</v>
      </c>
      <c r="C6" s="29">
        <f>[1]!thsiFinD("ths_constituent_ up_number_index",A6,"2026-5-8")</f>
        <v>4</v>
      </c>
      <c r="E6" s="28" t="s">
        <v>67</v>
      </c>
      <c r="F6" s="28" t="s">
        <v>68</v>
      </c>
    </row>
    <row r="7" spans="1:6" x14ac:dyDescent="0.3">
      <c r="A7" s="28" t="s">
        <v>100</v>
      </c>
      <c r="B7" s="28" t="s">
        <v>49</v>
      </c>
      <c r="C7" s="29">
        <f>[1]!thsiFinD("ths_constituent_ up_number_index",A7,"2026-5-8")</f>
        <v>3</v>
      </c>
      <c r="E7" s="28" t="s">
        <v>70</v>
      </c>
      <c r="F7" s="28" t="s">
        <v>71</v>
      </c>
    </row>
    <row r="8" spans="1:6" x14ac:dyDescent="0.3">
      <c r="A8" s="28" t="s">
        <v>122</v>
      </c>
      <c r="B8" s="28" t="s">
        <v>123</v>
      </c>
      <c r="C8" s="29">
        <f>[1]!thsiFinD("ths_constituent_ up_number_index",A8,"2026-5-8")</f>
        <v>3</v>
      </c>
      <c r="E8" s="28" t="s">
        <v>73</v>
      </c>
      <c r="F8" s="28" t="s">
        <v>74</v>
      </c>
    </row>
    <row r="9" spans="1:6" x14ac:dyDescent="0.3">
      <c r="A9" s="28" t="s">
        <v>57</v>
      </c>
      <c r="B9" s="28" t="s">
        <v>34</v>
      </c>
      <c r="C9" s="29">
        <f>[1]!thsiFinD("ths_constituent_ up_number_index",A9,"2026-5-8")</f>
        <v>3</v>
      </c>
      <c r="E9" s="28" t="s">
        <v>76</v>
      </c>
      <c r="F9" s="28" t="s">
        <v>77</v>
      </c>
    </row>
    <row r="10" spans="1:6" x14ac:dyDescent="0.3">
      <c r="A10" s="28" t="s">
        <v>230</v>
      </c>
      <c r="B10" s="28" t="s">
        <v>231</v>
      </c>
      <c r="C10" s="29">
        <f>[1]!thsiFinD("ths_constituent_ up_number_index",A10,"2026-5-8")</f>
        <v>2</v>
      </c>
      <c r="E10" s="28" t="s">
        <v>79</v>
      </c>
      <c r="F10" s="28" t="s">
        <v>80</v>
      </c>
    </row>
    <row r="11" spans="1:6" x14ac:dyDescent="0.3">
      <c r="A11" s="28" t="s">
        <v>118</v>
      </c>
      <c r="B11" s="28" t="s">
        <v>119</v>
      </c>
      <c r="C11" s="29">
        <f>[1]!thsiFinD("ths_constituent_ up_number_index",A11,"2026-5-8")</f>
        <v>2</v>
      </c>
      <c r="E11" s="28" t="s">
        <v>75</v>
      </c>
      <c r="F11" s="28" t="s">
        <v>40</v>
      </c>
    </row>
    <row r="12" spans="1:6" x14ac:dyDescent="0.3">
      <c r="A12" s="28" t="s">
        <v>60</v>
      </c>
      <c r="B12" s="28" t="s">
        <v>35</v>
      </c>
      <c r="C12" s="29">
        <f>[1]!thsiFinD("ths_constituent_ up_number_index",A12,"2026-5-8")</f>
        <v>2</v>
      </c>
      <c r="E12" s="28" t="s">
        <v>83</v>
      </c>
      <c r="F12" s="28" t="s">
        <v>84</v>
      </c>
    </row>
    <row r="13" spans="1:6" x14ac:dyDescent="0.3">
      <c r="A13" s="28" t="s">
        <v>202</v>
      </c>
      <c r="B13" s="28" t="s">
        <v>203</v>
      </c>
      <c r="C13" s="29">
        <f>[1]!thsiFinD("ths_constituent_ up_number_index",A13,"2026-5-8")</f>
        <v>2</v>
      </c>
      <c r="E13" s="28" t="s">
        <v>86</v>
      </c>
      <c r="F13" s="28" t="s">
        <v>87</v>
      </c>
    </row>
    <row r="14" spans="1:6" x14ac:dyDescent="0.3">
      <c r="A14" s="28" t="s">
        <v>75</v>
      </c>
      <c r="B14" s="28" t="s">
        <v>40</v>
      </c>
      <c r="C14" s="29">
        <f>[1]!thsiFinD("ths_constituent_ up_number_index",A14,"2026-5-8")</f>
        <v>2</v>
      </c>
      <c r="E14" s="28" t="s">
        <v>89</v>
      </c>
      <c r="F14" s="28" t="s">
        <v>90</v>
      </c>
    </row>
    <row r="15" spans="1:6" x14ac:dyDescent="0.3">
      <c r="A15" s="28" t="s">
        <v>164</v>
      </c>
      <c r="B15" s="28" t="s">
        <v>165</v>
      </c>
      <c r="C15" s="29">
        <f>[1]!thsiFinD("ths_constituent_ up_number_index",A15,"2026-5-8")</f>
        <v>2</v>
      </c>
      <c r="E15" s="28" t="s">
        <v>92</v>
      </c>
      <c r="F15" s="28" t="s">
        <v>93</v>
      </c>
    </row>
    <row r="16" spans="1:6" x14ac:dyDescent="0.3">
      <c r="A16" s="28" t="s">
        <v>158</v>
      </c>
      <c r="B16" s="28" t="s">
        <v>159</v>
      </c>
      <c r="C16" s="29">
        <f>[1]!thsiFinD("ths_constituent_ up_number_index",A16,"2026-5-8")</f>
        <v>2</v>
      </c>
      <c r="E16" s="28" t="s">
        <v>95</v>
      </c>
      <c r="F16" s="28" t="s">
        <v>96</v>
      </c>
    </row>
    <row r="17" spans="1:6" x14ac:dyDescent="0.3">
      <c r="A17" s="28" t="s">
        <v>142</v>
      </c>
      <c r="B17" s="28" t="s">
        <v>143</v>
      </c>
      <c r="C17" s="29">
        <f>[1]!thsiFinD("ths_constituent_ up_number_index",A17,"2026-5-8")</f>
        <v>2</v>
      </c>
      <c r="E17" s="28" t="s">
        <v>98</v>
      </c>
      <c r="F17" s="28" t="s">
        <v>99</v>
      </c>
    </row>
    <row r="18" spans="1:6" x14ac:dyDescent="0.3">
      <c r="A18" s="28" t="s">
        <v>114</v>
      </c>
      <c r="B18" s="28" t="s">
        <v>115</v>
      </c>
      <c r="C18" s="29">
        <f>[1]!thsiFinD("ths_constituent_ up_number_index",A18,"2026-5-8")</f>
        <v>2</v>
      </c>
      <c r="E18" s="28" t="s">
        <v>101</v>
      </c>
      <c r="F18" s="28" t="s">
        <v>102</v>
      </c>
    </row>
    <row r="19" spans="1:6" x14ac:dyDescent="0.3">
      <c r="A19" s="28" t="s">
        <v>154</v>
      </c>
      <c r="B19" s="28" t="s">
        <v>155</v>
      </c>
      <c r="C19" s="29">
        <f>[1]!thsiFinD("ths_constituent_ up_number_index",A19,"2026-5-8")</f>
        <v>2</v>
      </c>
      <c r="E19" s="28" t="s">
        <v>104</v>
      </c>
      <c r="F19" s="28" t="s">
        <v>105</v>
      </c>
    </row>
    <row r="20" spans="1:6" x14ac:dyDescent="0.3">
      <c r="A20" s="28" t="s">
        <v>85</v>
      </c>
      <c r="B20" s="28" t="s">
        <v>44</v>
      </c>
      <c r="C20" s="29">
        <f>[1]!thsiFinD("ths_constituent_ up_number_index",A20,"2026-5-8")</f>
        <v>1</v>
      </c>
      <c r="E20" s="28" t="s">
        <v>106</v>
      </c>
      <c r="F20" s="28" t="s">
        <v>107</v>
      </c>
    </row>
    <row r="21" spans="1:6" x14ac:dyDescent="0.3">
      <c r="A21" s="28" t="s">
        <v>162</v>
      </c>
      <c r="B21" s="28" t="s">
        <v>163</v>
      </c>
      <c r="C21" s="29">
        <f>[1]!thsiFinD("ths_constituent_ up_number_index",A21,"2026-5-8")</f>
        <v>1</v>
      </c>
      <c r="E21" s="28" t="s">
        <v>110</v>
      </c>
      <c r="F21" s="28" t="s">
        <v>111</v>
      </c>
    </row>
    <row r="22" spans="1:6" hidden="1" x14ac:dyDescent="0.3">
      <c r="A22" s="28" t="s">
        <v>228</v>
      </c>
      <c r="B22" s="28" t="s">
        <v>229</v>
      </c>
      <c r="C22" s="29">
        <f>[1]!thsiFinD("ths_constituent_ up_number_index",A22,"2025-7-28")</f>
        <v>1</v>
      </c>
      <c r="E22" s="28" t="s">
        <v>112</v>
      </c>
      <c r="F22" s="28" t="s">
        <v>113</v>
      </c>
    </row>
    <row r="23" spans="1:6" x14ac:dyDescent="0.3">
      <c r="A23" s="28" t="s">
        <v>222</v>
      </c>
      <c r="B23" s="28" t="s">
        <v>223</v>
      </c>
      <c r="C23" s="29">
        <f>[1]!thsiFinD("ths_constituent_ up_number_index",A23,"2026-5-8")</f>
        <v>1</v>
      </c>
      <c r="E23" s="28" t="s">
        <v>116</v>
      </c>
      <c r="F23" s="28" t="s">
        <v>117</v>
      </c>
    </row>
    <row r="24" spans="1:6" hidden="1" x14ac:dyDescent="0.3">
      <c r="A24" s="28" t="s">
        <v>276</v>
      </c>
      <c r="B24" s="28" t="s">
        <v>277</v>
      </c>
      <c r="C24" s="29">
        <f>[1]!thsiFinD("ths_constituent_ up_number_index",A24,"2025-7-28")</f>
        <v>0</v>
      </c>
      <c r="E24" s="28" t="s">
        <v>72</v>
      </c>
      <c r="F24" s="28" t="s">
        <v>39</v>
      </c>
    </row>
    <row r="25" spans="1:6" x14ac:dyDescent="0.3">
      <c r="A25" s="28" t="s">
        <v>104</v>
      </c>
      <c r="B25" s="28" t="s">
        <v>105</v>
      </c>
      <c r="C25" s="29">
        <f>[1]!thsiFinD("ths_constituent_ up_number_index",A25,"2026-5-8")</f>
        <v>1</v>
      </c>
      <c r="E25" s="28" t="s">
        <v>82</v>
      </c>
      <c r="F25" s="28" t="s">
        <v>43</v>
      </c>
    </row>
    <row r="26" spans="1:6" x14ac:dyDescent="0.3">
      <c r="A26" s="28" t="s">
        <v>166</v>
      </c>
      <c r="B26" s="28" t="s">
        <v>167</v>
      </c>
      <c r="C26" s="29">
        <f>[1]!thsiFinD("ths_constituent_ up_number_index",A26,"2026-5-8")</f>
        <v>1</v>
      </c>
      <c r="E26" s="28" t="s">
        <v>124</v>
      </c>
      <c r="F26" s="28" t="s">
        <v>125</v>
      </c>
    </row>
    <row r="27" spans="1:6" hidden="1" x14ac:dyDescent="0.3">
      <c r="A27" s="28" t="s">
        <v>200</v>
      </c>
      <c r="B27" s="28" t="s">
        <v>201</v>
      </c>
      <c r="C27" s="29">
        <f>[1]!thsiFinD("ths_constituent_ up_number_index",A27,"2025-7-28")</f>
        <v>0</v>
      </c>
      <c r="E27" s="28" t="s">
        <v>126</v>
      </c>
      <c r="F27" s="28" t="s">
        <v>127</v>
      </c>
    </row>
    <row r="28" spans="1:6" hidden="1" x14ac:dyDescent="0.3">
      <c r="A28" s="28" t="s">
        <v>132</v>
      </c>
      <c r="B28" s="28" t="s">
        <v>133</v>
      </c>
      <c r="C28" s="29">
        <f>[1]!thsiFinD("ths_constituent_ up_number_index",A28,"2025-7-28")</f>
        <v>0</v>
      </c>
      <c r="E28" s="28" t="s">
        <v>97</v>
      </c>
      <c r="F28" s="28" t="s">
        <v>48</v>
      </c>
    </row>
    <row r="29" spans="1:6" hidden="1" x14ac:dyDescent="0.3">
      <c r="A29" s="28" t="s">
        <v>97</v>
      </c>
      <c r="B29" s="28" t="s">
        <v>48</v>
      </c>
      <c r="C29" s="29">
        <f>[1]!thsiFinD("ths_constituent_ up_number_index",A29,"2025-7-28")</f>
        <v>0</v>
      </c>
      <c r="E29" s="28" t="s">
        <v>130</v>
      </c>
      <c r="F29" s="28" t="s">
        <v>131</v>
      </c>
    </row>
    <row r="30" spans="1:6" x14ac:dyDescent="0.3">
      <c r="A30" s="28" t="s">
        <v>112</v>
      </c>
      <c r="B30" s="28" t="s">
        <v>113</v>
      </c>
      <c r="C30" s="29">
        <f>[1]!thsiFinD("ths_constituent_ up_number_index",A30,"2026-5-8")</f>
        <v>1</v>
      </c>
      <c r="E30" s="28" t="s">
        <v>134</v>
      </c>
      <c r="F30" s="28" t="s">
        <v>135</v>
      </c>
    </row>
    <row r="31" spans="1:6" hidden="1" x14ac:dyDescent="0.3">
      <c r="A31" s="28" t="s">
        <v>272</v>
      </c>
      <c r="B31" s="28" t="s">
        <v>273</v>
      </c>
      <c r="C31" s="29">
        <f>[1]!thsiFinD("ths_constituent_ up_number_index",A31,"2025-7-28")</f>
        <v>0</v>
      </c>
      <c r="E31" s="28" t="s">
        <v>136</v>
      </c>
      <c r="F31" s="28" t="s">
        <v>137</v>
      </c>
    </row>
    <row r="32" spans="1:6" x14ac:dyDescent="0.3">
      <c r="A32" s="28" t="s">
        <v>274</v>
      </c>
      <c r="B32" s="28" t="s">
        <v>275</v>
      </c>
      <c r="C32" s="29">
        <f>[1]!thsiFinD("ths_constituent_ up_number_index",A32,"2026-5-8")</f>
        <v>1</v>
      </c>
      <c r="E32" s="28" t="s">
        <v>100</v>
      </c>
      <c r="F32" s="28" t="s">
        <v>49</v>
      </c>
    </row>
    <row r="33" spans="1:6" hidden="1" x14ac:dyDescent="0.3">
      <c r="A33" s="28" t="s">
        <v>190</v>
      </c>
      <c r="B33" s="28" t="s">
        <v>191</v>
      </c>
      <c r="C33" s="29">
        <f>[1]!thsiFinD("ths_constituent_ up_number_index",A33,"2025-7-28")</f>
        <v>0</v>
      </c>
      <c r="E33" s="28" t="s">
        <v>69</v>
      </c>
      <c r="F33" s="28" t="s">
        <v>38</v>
      </c>
    </row>
    <row r="34" spans="1:6" x14ac:dyDescent="0.3">
      <c r="A34" s="28" t="s">
        <v>146</v>
      </c>
      <c r="B34" s="28" t="s">
        <v>147</v>
      </c>
      <c r="C34" s="29">
        <f>[1]!thsiFinD("ths_constituent_ up_number_index",A34,"2026-5-8")</f>
        <v>1</v>
      </c>
      <c r="E34" s="28" t="s">
        <v>144</v>
      </c>
      <c r="F34" s="28" t="s">
        <v>145</v>
      </c>
    </row>
    <row r="35" spans="1:6" x14ac:dyDescent="0.3">
      <c r="A35" s="28" t="s">
        <v>138</v>
      </c>
      <c r="B35" s="28" t="s">
        <v>139</v>
      </c>
      <c r="C35" s="29">
        <f>[1]!thsiFinD("ths_constituent_ up_number_index",A35,"2026-5-8")</f>
        <v>1</v>
      </c>
      <c r="E35" s="28" t="s">
        <v>148</v>
      </c>
      <c r="F35" s="28" t="s">
        <v>149</v>
      </c>
    </row>
    <row r="36" spans="1:6" x14ac:dyDescent="0.3">
      <c r="A36" s="28" t="s">
        <v>226</v>
      </c>
      <c r="B36" s="28" t="s">
        <v>227</v>
      </c>
      <c r="C36" s="29">
        <f>[1]!thsiFinD("ths_constituent_ up_number_index",A36,"2026-5-8")</f>
        <v>1</v>
      </c>
      <c r="E36" s="28" t="s">
        <v>66</v>
      </c>
      <c r="F36" s="28" t="s">
        <v>37</v>
      </c>
    </row>
    <row r="37" spans="1:6" hidden="1" x14ac:dyDescent="0.3">
      <c r="A37" s="28" t="s">
        <v>216</v>
      </c>
      <c r="B37" s="28" t="s">
        <v>217</v>
      </c>
      <c r="C37" s="29">
        <f>[1]!thsiFinD("ths_constituent_ up_number_index",A37,"2025-7-28")</f>
        <v>1</v>
      </c>
      <c r="E37" s="28" t="s">
        <v>152</v>
      </c>
      <c r="F37" s="28" t="s">
        <v>153</v>
      </c>
    </row>
    <row r="38" spans="1:6" x14ac:dyDescent="0.3">
      <c r="A38" s="28" t="s">
        <v>91</v>
      </c>
      <c r="B38" s="28" t="s">
        <v>46</v>
      </c>
      <c r="C38" s="29">
        <f>[1]!thsiFinD("ths_constituent_ up_number_index",A38,"2026-5-8")</f>
        <v>1</v>
      </c>
      <c r="E38" s="28" t="s">
        <v>156</v>
      </c>
      <c r="F38" s="28" t="s">
        <v>157</v>
      </c>
    </row>
    <row r="39" spans="1:6" x14ac:dyDescent="0.3">
      <c r="A39" s="28" t="s">
        <v>94</v>
      </c>
      <c r="B39" s="28" t="s">
        <v>47</v>
      </c>
      <c r="C39" s="29">
        <f>[1]!thsiFinD("ths_constituent_ up_number_index",A39,"2026-5-8")</f>
        <v>1</v>
      </c>
      <c r="E39" s="28" t="s">
        <v>85</v>
      </c>
      <c r="F39" s="28" t="s">
        <v>44</v>
      </c>
    </row>
    <row r="40" spans="1:6" x14ac:dyDescent="0.3">
      <c r="A40" s="28" t="s">
        <v>76</v>
      </c>
      <c r="B40" s="28" t="s">
        <v>77</v>
      </c>
      <c r="C40" s="29">
        <f>[1]!thsiFinD("ths_constituent_ up_number_index",A40,"2026-5-8")</f>
        <v>1</v>
      </c>
      <c r="E40" s="28" t="s">
        <v>160</v>
      </c>
      <c r="F40" s="28" t="s">
        <v>161</v>
      </c>
    </row>
    <row r="41" spans="1:6" hidden="1" x14ac:dyDescent="0.3">
      <c r="A41" s="28" t="s">
        <v>64</v>
      </c>
      <c r="B41" s="28" t="s">
        <v>65</v>
      </c>
      <c r="C41" s="29">
        <f>[1]!thsiFinD("ths_constituent_ up_number_index",A41,"2025-7-28")</f>
        <v>0</v>
      </c>
      <c r="E41" s="28" t="s">
        <v>150</v>
      </c>
      <c r="F41" s="28" t="s">
        <v>151</v>
      </c>
    </row>
    <row r="42" spans="1:6" hidden="1" x14ac:dyDescent="0.3">
      <c r="A42" s="28" t="s">
        <v>63</v>
      </c>
      <c r="B42" s="28" t="s">
        <v>36</v>
      </c>
      <c r="C42" s="29">
        <f>[1]!thsiFinD("ths_constituent_ up_number_index",A42,"2025-7-28")</f>
        <v>0</v>
      </c>
      <c r="E42" s="28" t="s">
        <v>166</v>
      </c>
      <c r="F42" s="28" t="s">
        <v>167</v>
      </c>
    </row>
    <row r="43" spans="1:6" hidden="1" x14ac:dyDescent="0.3">
      <c r="A43" s="28" t="s">
        <v>242</v>
      </c>
      <c r="B43" s="28" t="s">
        <v>243</v>
      </c>
      <c r="C43" s="29">
        <f>[1]!thsiFinD("ths_constituent_ up_number_index",A43,"2025-7-28")</f>
        <v>0</v>
      </c>
      <c r="E43" s="28" t="s">
        <v>168</v>
      </c>
      <c r="F43" s="28" t="s">
        <v>169</v>
      </c>
    </row>
    <row r="44" spans="1:6" x14ac:dyDescent="0.3">
      <c r="A44" s="28" t="s">
        <v>98</v>
      </c>
      <c r="B44" s="28" t="s">
        <v>99</v>
      </c>
      <c r="C44" s="29">
        <f>[1]!thsiFinD("ths_constituent_ up_number_index",A44,"2026-5-8")</f>
        <v>1</v>
      </c>
      <c r="E44" s="28" t="s">
        <v>172</v>
      </c>
      <c r="F44" s="28" t="s">
        <v>173</v>
      </c>
    </row>
    <row r="45" spans="1:6" x14ac:dyDescent="0.3">
      <c r="A45" s="28" t="s">
        <v>55</v>
      </c>
      <c r="B45" s="28" t="s">
        <v>56</v>
      </c>
      <c r="C45" s="29">
        <f>[1]!thsiFinD("ths_constituent_ up_number_index",A45,"2026-5-8")</f>
        <v>1</v>
      </c>
      <c r="E45" s="28" t="s">
        <v>174</v>
      </c>
      <c r="F45" s="28" t="s">
        <v>175</v>
      </c>
    </row>
    <row r="46" spans="1:6" hidden="1" x14ac:dyDescent="0.3">
      <c r="A46" s="28" t="s">
        <v>180</v>
      </c>
      <c r="B46" s="28" t="s">
        <v>181</v>
      </c>
      <c r="C46" s="29">
        <f>[1]!thsiFinD("ths_constituent_ up_number_index",A46,"2025-7-28")</f>
        <v>0</v>
      </c>
      <c r="E46" s="28" t="s">
        <v>176</v>
      </c>
      <c r="F46" s="28" t="s">
        <v>177</v>
      </c>
    </row>
    <row r="47" spans="1:6" hidden="1" x14ac:dyDescent="0.3">
      <c r="A47" s="28" t="s">
        <v>160</v>
      </c>
      <c r="B47" s="28" t="s">
        <v>161</v>
      </c>
      <c r="C47" s="29">
        <f>[1]!thsiFinD("ths_constituent_ up_number_index",A47,"2025-7-28")</f>
        <v>3</v>
      </c>
      <c r="E47" s="28" t="s">
        <v>180</v>
      </c>
      <c r="F47" s="28" t="s">
        <v>181</v>
      </c>
    </row>
    <row r="48" spans="1:6" hidden="1" x14ac:dyDescent="0.3">
      <c r="A48" s="28" t="s">
        <v>214</v>
      </c>
      <c r="B48" s="28" t="s">
        <v>215</v>
      </c>
      <c r="C48" s="29">
        <f>[1]!thsiFinD("ths_constituent_ up_number_index",A48,"2025-7-28")</f>
        <v>0</v>
      </c>
      <c r="E48" s="28" t="s">
        <v>184</v>
      </c>
      <c r="F48" s="28" t="s">
        <v>185</v>
      </c>
    </row>
    <row r="49" spans="1:6" hidden="1" x14ac:dyDescent="0.3">
      <c r="A49" s="28" t="s">
        <v>210</v>
      </c>
      <c r="B49" s="28" t="s">
        <v>211</v>
      </c>
      <c r="C49" s="29">
        <f>[1]!thsiFinD("ths_constituent_ up_number_index",A49,"2025-7-28")</f>
        <v>0</v>
      </c>
      <c r="E49" s="28" t="s">
        <v>188</v>
      </c>
      <c r="F49" s="28" t="s">
        <v>189</v>
      </c>
    </row>
    <row r="50" spans="1:6" x14ac:dyDescent="0.3">
      <c r="A50" s="28" t="s">
        <v>168</v>
      </c>
      <c r="B50" s="28" t="s">
        <v>169</v>
      </c>
      <c r="C50" s="29">
        <f>[1]!thsiFinD("ths_constituent_ up_number_index",A50,"2026-5-8")</f>
        <v>1</v>
      </c>
      <c r="E50" s="28" t="s">
        <v>164</v>
      </c>
      <c r="F50" s="28" t="s">
        <v>165</v>
      </c>
    </row>
    <row r="51" spans="1:6" hidden="1" x14ac:dyDescent="0.3">
      <c r="A51" s="28" t="s">
        <v>108</v>
      </c>
      <c r="B51" s="28" t="s">
        <v>109</v>
      </c>
      <c r="C51" s="29">
        <f>[1]!thsiFinD("ths_constituent_ up_number_index",A51,"2025-7-28")</f>
        <v>2</v>
      </c>
      <c r="E51" s="28" t="s">
        <v>194</v>
      </c>
      <c r="F51" s="28" t="s">
        <v>195</v>
      </c>
    </row>
    <row r="52" spans="1:6" x14ac:dyDescent="0.3">
      <c r="A52" s="28" t="s">
        <v>280</v>
      </c>
      <c r="B52" s="28" t="s">
        <v>281</v>
      </c>
      <c r="C52" s="29">
        <f>[1]!thsiFinD("ths_constituent_ up_number_index",A52,"2026-5-8")</f>
        <v>1</v>
      </c>
      <c r="E52" s="28" t="s">
        <v>198</v>
      </c>
      <c r="F52" s="28" t="s">
        <v>199</v>
      </c>
    </row>
    <row r="53" spans="1:6" x14ac:dyDescent="0.3">
      <c r="A53" s="28" t="s">
        <v>79</v>
      </c>
      <c r="B53" s="28" t="s">
        <v>80</v>
      </c>
      <c r="C53" s="29">
        <f>[1]!thsiFinD("ths_constituent_ up_number_index",A53,"2026-5-8")</f>
        <v>0</v>
      </c>
      <c r="E53" s="28" t="s">
        <v>81</v>
      </c>
      <c r="F53" s="28" t="s">
        <v>42</v>
      </c>
    </row>
    <row r="54" spans="1:6" x14ac:dyDescent="0.3">
      <c r="A54" s="28" t="s">
        <v>196</v>
      </c>
      <c r="B54" s="28" t="s">
        <v>197</v>
      </c>
      <c r="C54" s="29">
        <f>[1]!thsiFinD("ths_constituent_ up_number_index",A54,"2026-5-8")</f>
        <v>0</v>
      </c>
      <c r="E54" s="28" t="s">
        <v>204</v>
      </c>
      <c r="F54" s="28" t="s">
        <v>205</v>
      </c>
    </row>
    <row r="55" spans="1:6" hidden="1" x14ac:dyDescent="0.3">
      <c r="A55" s="28" t="s">
        <v>150</v>
      </c>
      <c r="B55" s="28" t="s">
        <v>151</v>
      </c>
      <c r="C55" s="29">
        <f>[1]!thsiFinD("ths_constituent_ up_number_index",A55,"2025-7-28")</f>
        <v>0</v>
      </c>
      <c r="E55" s="28" t="s">
        <v>206</v>
      </c>
      <c r="F55" s="28" t="s">
        <v>207</v>
      </c>
    </row>
    <row r="56" spans="1:6" hidden="1" x14ac:dyDescent="0.3">
      <c r="A56" s="28" t="s">
        <v>240</v>
      </c>
      <c r="B56" s="28" t="s">
        <v>241</v>
      </c>
      <c r="C56" s="29">
        <f>[1]!thsiFinD("ths_constituent_ up_number_index",A56,"2025-7-28")</f>
        <v>0</v>
      </c>
      <c r="E56" s="28" t="s">
        <v>158</v>
      </c>
      <c r="F56" s="28" t="s">
        <v>159</v>
      </c>
    </row>
    <row r="57" spans="1:6" x14ac:dyDescent="0.3">
      <c r="A57" s="28" t="s">
        <v>182</v>
      </c>
      <c r="B57" s="28" t="s">
        <v>183</v>
      </c>
      <c r="C57" s="29">
        <f>[1]!thsiFinD("ths_constituent_ up_number_index",A57,"2026-5-8")</f>
        <v>0</v>
      </c>
      <c r="E57" s="28" t="s">
        <v>60</v>
      </c>
      <c r="F57" s="28" t="s">
        <v>35</v>
      </c>
    </row>
    <row r="58" spans="1:6" x14ac:dyDescent="0.3">
      <c r="A58" s="28" t="s">
        <v>270</v>
      </c>
      <c r="B58" s="28" t="s">
        <v>271</v>
      </c>
      <c r="C58" s="29">
        <f>[1]!thsiFinD("ths_constituent_ up_number_index",A58,"2026-5-8")</f>
        <v>0</v>
      </c>
      <c r="E58" s="28" t="s">
        <v>210</v>
      </c>
      <c r="F58" s="28" t="s">
        <v>211</v>
      </c>
    </row>
    <row r="59" spans="1:6" hidden="1" x14ac:dyDescent="0.3">
      <c r="A59" s="28" t="s">
        <v>232</v>
      </c>
      <c r="B59" s="28" t="s">
        <v>233</v>
      </c>
      <c r="C59" s="29">
        <f>[1]!thsiFinD("ths_constituent_ up_number_index",A59,"2025-7-28")</f>
        <v>1</v>
      </c>
      <c r="E59" s="28" t="s">
        <v>154</v>
      </c>
      <c r="F59" s="28" t="s">
        <v>155</v>
      </c>
    </row>
    <row r="60" spans="1:6" hidden="1" x14ac:dyDescent="0.3">
      <c r="A60" s="28" t="s">
        <v>220</v>
      </c>
      <c r="B60" s="28" t="s">
        <v>221</v>
      </c>
      <c r="C60" s="29">
        <f>[1]!thsiFinD("ths_constituent_ up_number_index",A60,"2025-7-28")</f>
        <v>1</v>
      </c>
      <c r="E60" s="28" t="s">
        <v>57</v>
      </c>
      <c r="F60" s="28" t="s">
        <v>34</v>
      </c>
    </row>
    <row r="61" spans="1:6" x14ac:dyDescent="0.3">
      <c r="A61" s="28" t="s">
        <v>128</v>
      </c>
      <c r="B61" s="28" t="s">
        <v>129</v>
      </c>
      <c r="C61" s="29">
        <f>[1]!thsiFinD("ths_constituent_ up_number_index",A61,"2026-5-8")</f>
        <v>0</v>
      </c>
      <c r="E61" s="28" t="s">
        <v>212</v>
      </c>
      <c r="F61" s="28" t="s">
        <v>213</v>
      </c>
    </row>
    <row r="62" spans="1:6" hidden="1" x14ac:dyDescent="0.3">
      <c r="A62" s="28" t="s">
        <v>134</v>
      </c>
      <c r="B62" s="28" t="s">
        <v>135</v>
      </c>
      <c r="C62" s="29">
        <f>[1]!thsiFinD("ths_constituent_ up_number_index",A62,"2025-7-28")</f>
        <v>0</v>
      </c>
      <c r="E62" s="28" t="s">
        <v>88</v>
      </c>
      <c r="F62" s="28" t="s">
        <v>45</v>
      </c>
    </row>
    <row r="63" spans="1:6" x14ac:dyDescent="0.3">
      <c r="A63" s="28" t="s">
        <v>192</v>
      </c>
      <c r="B63" s="28" t="s">
        <v>193</v>
      </c>
      <c r="C63" s="29">
        <f>[1]!thsiFinD("ths_constituent_ up_number_index",A63,"2026-5-8")</f>
        <v>0</v>
      </c>
      <c r="E63" s="28" t="s">
        <v>94</v>
      </c>
      <c r="F63" s="28" t="s">
        <v>47</v>
      </c>
    </row>
    <row r="64" spans="1:6" x14ac:dyDescent="0.3">
      <c r="A64" s="28" t="s">
        <v>198</v>
      </c>
      <c r="B64" s="28" t="s">
        <v>199</v>
      </c>
      <c r="C64" s="29">
        <f>[1]!thsiFinD("ths_constituent_ up_number_index",A64,"2026-5-8")</f>
        <v>0</v>
      </c>
      <c r="E64" s="28" t="s">
        <v>218</v>
      </c>
      <c r="F64" s="28" t="s">
        <v>219</v>
      </c>
    </row>
    <row r="65" spans="1:6" hidden="1" x14ac:dyDescent="0.3">
      <c r="A65" s="28" t="s">
        <v>83</v>
      </c>
      <c r="B65" s="28" t="s">
        <v>84</v>
      </c>
      <c r="C65" s="29">
        <f>[1]!thsiFinD("ths_constituent_ up_number_index",A65,"2025-7-28")</f>
        <v>1</v>
      </c>
      <c r="E65" s="28" t="s">
        <v>220</v>
      </c>
      <c r="F65" s="28" t="s">
        <v>221</v>
      </c>
    </row>
    <row r="66" spans="1:6" x14ac:dyDescent="0.3">
      <c r="A66" s="28" t="s">
        <v>110</v>
      </c>
      <c r="B66" s="28" t="s">
        <v>111</v>
      </c>
      <c r="C66" s="29">
        <f>[1]!thsiFinD("ths_constituent_ up_number_index",A66,"2026-5-8")</f>
        <v>0</v>
      </c>
      <c r="E66" s="28" t="s">
        <v>224</v>
      </c>
      <c r="F66" s="28" t="s">
        <v>225</v>
      </c>
    </row>
    <row r="67" spans="1:6" hidden="1" x14ac:dyDescent="0.3">
      <c r="A67" s="28" t="s">
        <v>244</v>
      </c>
      <c r="B67" s="28" t="s">
        <v>245</v>
      </c>
      <c r="C67" s="29">
        <f>[1]!thsiFinD("ths_constituent_ up_number_index",A67,"2025-7-28")</f>
        <v>0</v>
      </c>
      <c r="E67" s="28" t="s">
        <v>103</v>
      </c>
      <c r="F67" s="28" t="s">
        <v>50</v>
      </c>
    </row>
    <row r="68" spans="1:6" hidden="1" x14ac:dyDescent="0.3">
      <c r="A68" s="28" t="s">
        <v>184</v>
      </c>
      <c r="B68" s="28" t="s">
        <v>185</v>
      </c>
      <c r="C68" s="29">
        <f>[1]!thsiFinD("ths_constituent_ up_number_index",A68,"2025-7-28")</f>
        <v>0</v>
      </c>
      <c r="E68" s="28" t="s">
        <v>226</v>
      </c>
      <c r="F68" s="28" t="s">
        <v>227</v>
      </c>
    </row>
    <row r="69" spans="1:6" x14ac:dyDescent="0.3">
      <c r="A69" s="28" t="s">
        <v>54</v>
      </c>
      <c r="B69" s="28" t="s">
        <v>33</v>
      </c>
      <c r="C69" s="29">
        <f>[1]!thsiFinD("ths_constituent_ up_number_index",A69,"2026-5-8")</f>
        <v>0</v>
      </c>
      <c r="E69" s="28" t="s">
        <v>230</v>
      </c>
      <c r="F69" s="28" t="s">
        <v>231</v>
      </c>
    </row>
    <row r="70" spans="1:6" x14ac:dyDescent="0.3">
      <c r="A70" s="28" t="s">
        <v>172</v>
      </c>
      <c r="B70" s="28" t="s">
        <v>173</v>
      </c>
      <c r="C70" s="29">
        <f>[1]!thsiFinD("ths_constituent_ up_number_index",A70,"2026-5-8")</f>
        <v>0</v>
      </c>
      <c r="E70" s="28" t="s">
        <v>228</v>
      </c>
      <c r="F70" s="28" t="s">
        <v>229</v>
      </c>
    </row>
    <row r="71" spans="1:6" hidden="1" x14ac:dyDescent="0.3">
      <c r="A71" s="28" t="s">
        <v>264</v>
      </c>
      <c r="B71" s="28" t="s">
        <v>265</v>
      </c>
      <c r="C71" s="29">
        <f>[1]!thsiFinD("ths_constituent_ up_number_index",A71,"2025-7-28")</f>
        <v>0</v>
      </c>
      <c r="E71" s="28" t="s">
        <v>63</v>
      </c>
      <c r="F71" s="28" t="s">
        <v>36</v>
      </c>
    </row>
    <row r="72" spans="1:6" hidden="1" x14ac:dyDescent="0.3">
      <c r="A72" s="28" t="s">
        <v>126</v>
      </c>
      <c r="B72" s="28" t="s">
        <v>127</v>
      </c>
      <c r="C72" s="29">
        <f>[1]!thsiFinD("ths_constituent_ up_number_index",A72,"2025-7-28")</f>
        <v>4</v>
      </c>
      <c r="E72" s="28" t="s">
        <v>190</v>
      </c>
      <c r="F72" s="28" t="s">
        <v>191</v>
      </c>
    </row>
    <row r="73" spans="1:6" x14ac:dyDescent="0.3">
      <c r="A73" s="28" t="s">
        <v>212</v>
      </c>
      <c r="B73" s="28" t="s">
        <v>213</v>
      </c>
      <c r="C73" s="29">
        <f>[1]!thsiFinD("ths_constituent_ up_number_index",A73,"2026-5-8")</f>
        <v>0</v>
      </c>
      <c r="E73" s="28" t="s">
        <v>78</v>
      </c>
      <c r="F73" s="28" t="s">
        <v>41</v>
      </c>
    </row>
    <row r="74" spans="1:6" x14ac:dyDescent="0.3">
      <c r="A74" s="28" t="s">
        <v>88</v>
      </c>
      <c r="B74" s="28" t="s">
        <v>45</v>
      </c>
      <c r="C74" s="29">
        <f>[1]!thsiFinD("ths_constituent_ up_number_index",A74,"2026-5-8")</f>
        <v>0</v>
      </c>
      <c r="E74" s="28" t="s">
        <v>236</v>
      </c>
      <c r="F74" s="28" t="s">
        <v>237</v>
      </c>
    </row>
    <row r="75" spans="1:6" hidden="1" x14ac:dyDescent="0.3">
      <c r="A75" s="28" t="s">
        <v>268</v>
      </c>
      <c r="B75" s="28" t="s">
        <v>269</v>
      </c>
      <c r="C75" s="29">
        <f>[1]!thsiFinD("ths_constituent_ up_number_index",A75,"2025-7-28")</f>
        <v>0</v>
      </c>
      <c r="E75" s="28" t="s">
        <v>192</v>
      </c>
      <c r="F75" s="28" t="s">
        <v>193</v>
      </c>
    </row>
    <row r="76" spans="1:6" hidden="1" x14ac:dyDescent="0.3">
      <c r="A76" s="28" t="s">
        <v>156</v>
      </c>
      <c r="B76" s="28" t="s">
        <v>157</v>
      </c>
      <c r="C76" s="29">
        <f>[1]!thsiFinD("ths_constituent_ up_number_index",A76,"2025-7-28")</f>
        <v>0</v>
      </c>
      <c r="E76" s="28" t="s">
        <v>240</v>
      </c>
      <c r="F76" s="28" t="s">
        <v>241</v>
      </c>
    </row>
    <row r="77" spans="1:6" x14ac:dyDescent="0.3">
      <c r="A77" s="28" t="s">
        <v>170</v>
      </c>
      <c r="B77" s="28" t="s">
        <v>171</v>
      </c>
      <c r="C77" s="29">
        <f>[1]!thsiFinD("ths_constituent_ up_number_index",A77,"2026-5-8")</f>
        <v>0</v>
      </c>
      <c r="E77" s="28" t="s">
        <v>244</v>
      </c>
      <c r="F77" s="28" t="s">
        <v>245</v>
      </c>
    </row>
    <row r="78" spans="1:6" hidden="1" x14ac:dyDescent="0.3">
      <c r="A78" s="28" t="s">
        <v>260</v>
      </c>
      <c r="B78" s="28" t="s">
        <v>261</v>
      </c>
      <c r="C78" s="29">
        <f>[1]!thsiFinD("ths_constituent_ up_number_index",A78,"2025-7-28")</f>
        <v>2</v>
      </c>
      <c r="E78" s="28" t="s">
        <v>138</v>
      </c>
      <c r="F78" s="28" t="s">
        <v>139</v>
      </c>
    </row>
    <row r="79" spans="1:6" hidden="1" x14ac:dyDescent="0.3">
      <c r="A79" s="28" t="s">
        <v>246</v>
      </c>
      <c r="B79" s="28" t="s">
        <v>247</v>
      </c>
      <c r="C79" s="29">
        <f>[1]!thsiFinD("ths_constituent_ up_number_index",A79,"2025-7-28")</f>
        <v>0</v>
      </c>
      <c r="E79" s="28" t="s">
        <v>54</v>
      </c>
      <c r="F79" s="28" t="s">
        <v>33</v>
      </c>
    </row>
    <row r="80" spans="1:6" hidden="1" x14ac:dyDescent="0.3">
      <c r="A80" s="28" t="s">
        <v>124</v>
      </c>
      <c r="B80" s="28" t="s">
        <v>125</v>
      </c>
      <c r="C80" s="29">
        <f>[1]!thsiFinD("ths_constituent_ up_number_index",A80,"2025-7-28")</f>
        <v>0</v>
      </c>
      <c r="E80" s="28" t="s">
        <v>208</v>
      </c>
      <c r="F80" s="28" t="s">
        <v>209</v>
      </c>
    </row>
    <row r="81" spans="1:6" hidden="1" x14ac:dyDescent="0.3">
      <c r="A81" s="28" t="s">
        <v>67</v>
      </c>
      <c r="B81" s="28" t="s">
        <v>68</v>
      </c>
      <c r="C81" s="29">
        <f>[1]!thsiFinD("ths_constituent_ up_number_index",A81,"2025-7-28")</f>
        <v>0</v>
      </c>
      <c r="E81" s="28" t="s">
        <v>128</v>
      </c>
      <c r="F81" s="28" t="s">
        <v>129</v>
      </c>
    </row>
    <row r="82" spans="1:6" hidden="1" x14ac:dyDescent="0.3">
      <c r="A82" s="28" t="s">
        <v>89</v>
      </c>
      <c r="B82" s="28" t="s">
        <v>90</v>
      </c>
      <c r="C82" s="29">
        <f>[1]!thsiFinD("ths_constituent_ up_number_index",A82,"2025-7-28")</f>
        <v>2</v>
      </c>
      <c r="E82" s="28" t="s">
        <v>252</v>
      </c>
      <c r="F82" s="28" t="s">
        <v>253</v>
      </c>
    </row>
    <row r="83" spans="1:6" hidden="1" x14ac:dyDescent="0.3">
      <c r="A83" s="28" t="s">
        <v>224</v>
      </c>
      <c r="B83" s="28" t="s">
        <v>225</v>
      </c>
      <c r="C83" s="29">
        <f>[1]!thsiFinD("ths_constituent_ up_number_index",A83,"2025-7-28")</f>
        <v>0</v>
      </c>
      <c r="E83" s="28" t="s">
        <v>254</v>
      </c>
      <c r="F83" s="28" t="s">
        <v>255</v>
      </c>
    </row>
    <row r="84" spans="1:6" x14ac:dyDescent="0.3">
      <c r="A84" s="28" t="s">
        <v>266</v>
      </c>
      <c r="B84" s="28" t="s">
        <v>267</v>
      </c>
      <c r="C84" s="29">
        <f>[1]!thsiFinD("ths_constituent_ up_number_index",A84,"2026-5-8")</f>
        <v>0</v>
      </c>
      <c r="E84" s="28" t="s">
        <v>256</v>
      </c>
      <c r="F84" s="28" t="s">
        <v>257</v>
      </c>
    </row>
    <row r="85" spans="1:6" hidden="1" x14ac:dyDescent="0.3">
      <c r="A85" s="28" t="s">
        <v>136</v>
      </c>
      <c r="B85" s="28" t="s">
        <v>137</v>
      </c>
      <c r="C85" s="29">
        <f>[1]!thsiFinD("ths_constituent_ up_number_index",A85,"2025-7-28")</f>
        <v>6</v>
      </c>
      <c r="E85" s="28" t="s">
        <v>250</v>
      </c>
      <c r="F85" s="28" t="s">
        <v>251</v>
      </c>
    </row>
    <row r="86" spans="1:6" hidden="1" x14ac:dyDescent="0.3">
      <c r="A86" s="28" t="s">
        <v>204</v>
      </c>
      <c r="B86" s="28" t="s">
        <v>205</v>
      </c>
      <c r="C86" s="29">
        <f>[1]!thsiFinD("ths_constituent_ up_number_index",A86,"2025-7-28")</f>
        <v>0</v>
      </c>
      <c r="E86" s="28" t="s">
        <v>258</v>
      </c>
      <c r="F86" s="28" t="s">
        <v>259</v>
      </c>
    </row>
    <row r="87" spans="1:6" x14ac:dyDescent="0.3">
      <c r="A87" s="28" t="s">
        <v>206</v>
      </c>
      <c r="B87" s="28" t="s">
        <v>207</v>
      </c>
      <c r="C87" s="29">
        <f>[1]!thsiFinD("ths_constituent_ up_number_index",A87,"2026-5-8")</f>
        <v>0</v>
      </c>
      <c r="E87" s="28" t="s">
        <v>132</v>
      </c>
      <c r="F87" s="28" t="s">
        <v>133</v>
      </c>
    </row>
    <row r="88" spans="1:6" x14ac:dyDescent="0.3">
      <c r="A88" s="28" t="s">
        <v>58</v>
      </c>
      <c r="B88" s="28" t="s">
        <v>59</v>
      </c>
      <c r="C88" s="29">
        <f>[1]!thsiFinD("ths_constituent_ up_number_index",A88,"2026-5-8")</f>
        <v>0</v>
      </c>
      <c r="E88" s="28" t="s">
        <v>182</v>
      </c>
      <c r="F88" s="28" t="s">
        <v>183</v>
      </c>
    </row>
    <row r="89" spans="1:6" hidden="1" x14ac:dyDescent="0.3">
      <c r="A89" s="28" t="s">
        <v>186</v>
      </c>
      <c r="B89" s="28" t="s">
        <v>187</v>
      </c>
      <c r="C89" s="29">
        <f>[1]!thsiFinD("ths_constituent_ up_number_index",A89,"2025-7-28")</f>
        <v>0</v>
      </c>
      <c r="E89" s="28" t="s">
        <v>260</v>
      </c>
      <c r="F89" s="28" t="s">
        <v>261</v>
      </c>
    </row>
    <row r="90" spans="1:6" hidden="1" x14ac:dyDescent="0.3">
      <c r="A90" s="28" t="s">
        <v>148</v>
      </c>
      <c r="B90" s="28" t="s">
        <v>149</v>
      </c>
      <c r="C90" s="29">
        <f>[1]!thsiFinD("ths_constituent_ up_number_index",A90,"2025-7-28")</f>
        <v>0</v>
      </c>
      <c r="E90" s="28" t="s">
        <v>262</v>
      </c>
      <c r="F90" s="28" t="s">
        <v>263</v>
      </c>
    </row>
    <row r="91" spans="1:6" hidden="1" x14ac:dyDescent="0.3">
      <c r="A91" s="28" t="s">
        <v>103</v>
      </c>
      <c r="B91" s="28" t="s">
        <v>50</v>
      </c>
      <c r="C91" s="29">
        <f>[1]!thsiFinD("ths_constituent_ up_number_index",A91,"2025-7-28")</f>
        <v>1</v>
      </c>
      <c r="E91" s="28" t="s">
        <v>170</v>
      </c>
      <c r="F91" s="28" t="s">
        <v>171</v>
      </c>
    </row>
    <row r="92" spans="1:6" hidden="1" x14ac:dyDescent="0.3">
      <c r="A92" s="28" t="s">
        <v>174</v>
      </c>
      <c r="B92" s="28" t="s">
        <v>175</v>
      </c>
      <c r="C92" s="29">
        <f>[1]!thsiFinD("ths_constituent_ up_number_index",A92,"2025-7-28")</f>
        <v>0</v>
      </c>
      <c r="E92" s="28" t="s">
        <v>266</v>
      </c>
      <c r="F92" s="28" t="s">
        <v>267</v>
      </c>
    </row>
    <row r="93" spans="1:6" hidden="1" x14ac:dyDescent="0.3">
      <c r="A93" s="28" t="s">
        <v>81</v>
      </c>
      <c r="B93" s="28" t="s">
        <v>42</v>
      </c>
      <c r="C93" s="29">
        <f>[1]!thsiFinD("ths_constituent_ up_number_index",A93,"2025-7-28")</f>
        <v>0</v>
      </c>
      <c r="E93" s="28" t="s">
        <v>118</v>
      </c>
      <c r="F93" s="28" t="s">
        <v>119</v>
      </c>
    </row>
    <row r="94" spans="1:6" x14ac:dyDescent="0.3">
      <c r="A94" s="28" t="s">
        <v>194</v>
      </c>
      <c r="B94" s="28" t="s">
        <v>195</v>
      </c>
      <c r="C94" s="29">
        <f>[1]!thsiFinD("ths_constituent_ up_number_index",A94,"2026-5-8")</f>
        <v>0</v>
      </c>
      <c r="E94" s="28" t="s">
        <v>202</v>
      </c>
      <c r="F94" s="28" t="s">
        <v>203</v>
      </c>
    </row>
    <row r="95" spans="1:6" hidden="1" x14ac:dyDescent="0.3">
      <c r="A95" s="28" t="s">
        <v>238</v>
      </c>
      <c r="B95" s="28" t="s">
        <v>239</v>
      </c>
      <c r="C95" s="29">
        <f>[1]!thsiFinD("ths_constituent_ up_number_index",A95,"2025-7-28")</f>
        <v>0</v>
      </c>
      <c r="E95" s="28" t="s">
        <v>214</v>
      </c>
      <c r="F95" s="28" t="s">
        <v>215</v>
      </c>
    </row>
    <row r="96" spans="1:6" hidden="1" x14ac:dyDescent="0.3">
      <c r="A96" s="28" t="s">
        <v>120</v>
      </c>
      <c r="B96" s="28" t="s">
        <v>121</v>
      </c>
      <c r="C96" s="29">
        <f>[1]!thsiFinD("ths_constituent_ up_number_index",A96,"2025-7-28")</f>
        <v>2</v>
      </c>
      <c r="E96" s="28" t="s">
        <v>238</v>
      </c>
      <c r="F96" s="28" t="s">
        <v>239</v>
      </c>
    </row>
    <row r="97" spans="1:6" x14ac:dyDescent="0.3">
      <c r="A97" s="28" t="s">
        <v>218</v>
      </c>
      <c r="B97" s="28" t="s">
        <v>219</v>
      </c>
      <c r="C97" s="29">
        <f>[1]!thsiFinD("ths_constituent_ up_number_index",A97,"2026-5-8")</f>
        <v>0</v>
      </c>
      <c r="E97" s="28" t="s">
        <v>272</v>
      </c>
      <c r="F97" s="28" t="s">
        <v>273</v>
      </c>
    </row>
    <row r="98" spans="1:6" x14ac:dyDescent="0.3">
      <c r="A98" s="28" t="s">
        <v>86</v>
      </c>
      <c r="B98" s="28" t="s">
        <v>87</v>
      </c>
      <c r="C98" s="29">
        <f>[1]!thsiFinD("ths_constituent_ up_number_index",A98,"2026-5-8")</f>
        <v>0</v>
      </c>
      <c r="E98" s="28" t="s">
        <v>196</v>
      </c>
      <c r="F98" s="28" t="s">
        <v>197</v>
      </c>
    </row>
    <row r="99" spans="1:6" hidden="1" x14ac:dyDescent="0.3">
      <c r="A99" s="28" t="s">
        <v>290</v>
      </c>
      <c r="B99" s="28" t="s">
        <v>291</v>
      </c>
      <c r="C99" s="29">
        <f>[1]!thsiFinD("ths_constituent_ up_number_index",A99,"2025-7-28")</f>
        <v>0</v>
      </c>
      <c r="E99" s="28" t="s">
        <v>222</v>
      </c>
      <c r="F99" s="28" t="s">
        <v>223</v>
      </c>
    </row>
    <row r="100" spans="1:6" x14ac:dyDescent="0.3">
      <c r="A100" s="28" t="s">
        <v>70</v>
      </c>
      <c r="B100" s="28" t="s">
        <v>71</v>
      </c>
      <c r="C100" s="29">
        <f>[1]!thsiFinD("ths_constituent_ up_number_index",A100,"2026-5-8")</f>
        <v>0</v>
      </c>
      <c r="E100" s="28" t="s">
        <v>186</v>
      </c>
      <c r="F100" s="28" t="s">
        <v>187</v>
      </c>
    </row>
    <row r="101" spans="1:6" hidden="1" x14ac:dyDescent="0.3">
      <c r="A101" s="28" t="s">
        <v>144</v>
      </c>
      <c r="B101" s="28" t="s">
        <v>145</v>
      </c>
      <c r="C101" s="29">
        <f>[1]!thsiFinD("ths_constituent_ up_number_index",A101,"2025-7-28")</f>
        <v>0</v>
      </c>
      <c r="E101" s="28" t="s">
        <v>274</v>
      </c>
      <c r="F101" s="28" t="s">
        <v>275</v>
      </c>
    </row>
    <row r="102" spans="1:6" hidden="1" x14ac:dyDescent="0.3">
      <c r="A102" s="28" t="s">
        <v>106</v>
      </c>
      <c r="B102" s="28" t="s">
        <v>107</v>
      </c>
      <c r="C102" s="29">
        <f>[1]!thsiFinD("ths_constituent_ up_number_index",A102,"2025-7-28")</f>
        <v>0</v>
      </c>
      <c r="E102" s="28" t="s">
        <v>122</v>
      </c>
      <c r="F102" s="28" t="s">
        <v>123</v>
      </c>
    </row>
    <row r="103" spans="1:6" hidden="1" x14ac:dyDescent="0.3">
      <c r="A103" s="28" t="s">
        <v>116</v>
      </c>
      <c r="B103" s="28" t="s">
        <v>117</v>
      </c>
      <c r="C103" s="29">
        <f>[1]!thsiFinD("ths_constituent_ up_number_index",A103,"2025-7-28")</f>
        <v>0</v>
      </c>
      <c r="E103" s="28" t="s">
        <v>248</v>
      </c>
      <c r="F103" s="28" t="s">
        <v>249</v>
      </c>
    </row>
    <row r="104" spans="1:6" x14ac:dyDescent="0.3">
      <c r="A104" s="28" t="s">
        <v>258</v>
      </c>
      <c r="B104" s="28" t="s">
        <v>259</v>
      </c>
      <c r="C104" s="29">
        <f>[1]!thsiFinD("ths_constituent_ up_number_index",A104,"2026-5-8")</f>
        <v>0</v>
      </c>
      <c r="E104" s="28" t="s">
        <v>146</v>
      </c>
      <c r="F104" s="28" t="s">
        <v>147</v>
      </c>
    </row>
    <row r="105" spans="1:6" hidden="1" x14ac:dyDescent="0.3">
      <c r="A105" s="28" t="s">
        <v>262</v>
      </c>
      <c r="B105" s="28" t="s">
        <v>263</v>
      </c>
      <c r="C105" s="29">
        <f>[1]!thsiFinD("ths_constituent_ up_number_index",A105,"2025-7-28")</f>
        <v>1</v>
      </c>
      <c r="E105" s="28" t="s">
        <v>232</v>
      </c>
      <c r="F105" s="28" t="s">
        <v>233</v>
      </c>
    </row>
    <row r="106" spans="1:6" x14ac:dyDescent="0.3">
      <c r="A106" s="28" t="s">
        <v>140</v>
      </c>
      <c r="B106" s="28" t="s">
        <v>141</v>
      </c>
      <c r="C106" s="29">
        <f>[1]!thsiFinD("ths_constituent_ up_number_index",A106,"2026-5-8")</f>
        <v>0</v>
      </c>
      <c r="E106" s="28" t="s">
        <v>234</v>
      </c>
      <c r="F106" s="28" t="s">
        <v>235</v>
      </c>
    </row>
    <row r="107" spans="1:6" hidden="1" x14ac:dyDescent="0.3">
      <c r="A107" s="28" t="s">
        <v>130</v>
      </c>
      <c r="B107" s="28" t="s">
        <v>131</v>
      </c>
      <c r="C107" s="29">
        <f>[1]!thsiFinD("ths_constituent_ up_number_index",A107,"2025-7-28")</f>
        <v>1</v>
      </c>
      <c r="E107" s="28" t="s">
        <v>114</v>
      </c>
      <c r="F107" s="28" t="s">
        <v>115</v>
      </c>
    </row>
    <row r="108" spans="1:6" hidden="1" x14ac:dyDescent="0.3">
      <c r="A108" s="28" t="s">
        <v>176</v>
      </c>
      <c r="B108" s="28" t="s">
        <v>177</v>
      </c>
      <c r="C108" s="29">
        <f>[1]!thsiFinD("ths_constituent_ up_number_index",A108,"2025-7-28")</f>
        <v>0</v>
      </c>
      <c r="E108" s="28" t="s">
        <v>142</v>
      </c>
      <c r="F108" s="28" t="s">
        <v>143</v>
      </c>
    </row>
    <row r="109" spans="1:6" hidden="1" x14ac:dyDescent="0.3">
      <c r="A109" s="28" t="s">
        <v>236</v>
      </c>
      <c r="B109" s="28" t="s">
        <v>237</v>
      </c>
      <c r="C109" s="29">
        <f>[1]!thsiFinD("ths_constituent_ up_number_index",A109,"2025-7-28")</f>
        <v>0</v>
      </c>
      <c r="E109" s="28" t="s">
        <v>200</v>
      </c>
      <c r="F109" s="28" t="s">
        <v>201</v>
      </c>
    </row>
    <row r="110" spans="1:6" hidden="1" x14ac:dyDescent="0.3">
      <c r="A110" s="28" t="s">
        <v>92</v>
      </c>
      <c r="B110" s="28" t="s">
        <v>93</v>
      </c>
      <c r="C110" s="29">
        <f>[1]!thsiFinD("ths_constituent_ up_number_index",A110,"2025-7-28")</f>
        <v>0</v>
      </c>
      <c r="E110" s="28" t="s">
        <v>108</v>
      </c>
      <c r="F110" s="28" t="s">
        <v>109</v>
      </c>
    </row>
    <row r="111" spans="1:6" hidden="1" x14ac:dyDescent="0.3">
      <c r="A111" s="28" t="s">
        <v>208</v>
      </c>
      <c r="B111" s="28" t="s">
        <v>209</v>
      </c>
      <c r="C111" s="29">
        <f>[1]!thsiFinD("ths_constituent_ up_number_index",A111,"2025-7-28")</f>
        <v>0</v>
      </c>
      <c r="E111" s="28" t="s">
        <v>280</v>
      </c>
      <c r="F111" s="28" t="s">
        <v>281</v>
      </c>
    </row>
    <row r="112" spans="1:6" hidden="1" x14ac:dyDescent="0.3">
      <c r="A112" s="28" t="s">
        <v>61</v>
      </c>
      <c r="B112" s="28" t="s">
        <v>62</v>
      </c>
      <c r="C112" s="29">
        <f>[1]!thsiFinD("ths_constituent_ up_number_index",A112,"2025-7-28")</f>
        <v>0</v>
      </c>
      <c r="E112" s="28" t="s">
        <v>282</v>
      </c>
      <c r="F112" s="28" t="s">
        <v>283</v>
      </c>
    </row>
    <row r="113" spans="1:6" hidden="1" x14ac:dyDescent="0.3">
      <c r="A113" s="28" t="s">
        <v>234</v>
      </c>
      <c r="B113" s="28" t="s">
        <v>235</v>
      </c>
      <c r="C113" s="29">
        <f>[1]!thsiFinD("ths_constituent_ up_number_index",A113,"2025-7-28")</f>
        <v>0</v>
      </c>
      <c r="E113" s="28" t="s">
        <v>268</v>
      </c>
      <c r="F113" s="28" t="s">
        <v>269</v>
      </c>
    </row>
    <row r="114" spans="1:6" hidden="1" x14ac:dyDescent="0.3">
      <c r="A114" s="28" t="s">
        <v>248</v>
      </c>
      <c r="B114" s="28" t="s">
        <v>249</v>
      </c>
      <c r="C114" s="29">
        <f>[1]!thsiFinD("ths_constituent_ up_number_index",A114,"2025-7-28")</f>
        <v>0</v>
      </c>
      <c r="E114" s="28" t="s">
        <v>284</v>
      </c>
      <c r="F114" s="28" t="s">
        <v>285</v>
      </c>
    </row>
    <row r="115" spans="1:6" hidden="1" x14ac:dyDescent="0.3">
      <c r="A115" s="28" t="s">
        <v>250</v>
      </c>
      <c r="B115" s="28" t="s">
        <v>251</v>
      </c>
      <c r="C115" s="29">
        <f>[1]!thsiFinD("ths_constituent_ up_number_index",A115,"2025-7-28")</f>
        <v>0</v>
      </c>
      <c r="E115" s="28" t="s">
        <v>286</v>
      </c>
      <c r="F115" s="28" t="s">
        <v>287</v>
      </c>
    </row>
    <row r="116" spans="1:6" x14ac:dyDescent="0.3">
      <c r="A116" s="28" t="s">
        <v>178</v>
      </c>
      <c r="B116" s="28" t="s">
        <v>179</v>
      </c>
      <c r="C116" s="29">
        <f>[1]!thsiFinD("ths_constituent_ up_number_index",A116,"2026-5-8")</f>
        <v>0</v>
      </c>
      <c r="E116" s="28" t="s">
        <v>288</v>
      </c>
      <c r="F116" s="28" t="s">
        <v>289</v>
      </c>
    </row>
    <row r="117" spans="1:6" hidden="1" x14ac:dyDescent="0.3">
      <c r="A117" s="28" t="s">
        <v>278</v>
      </c>
      <c r="B117" s="28" t="s">
        <v>279</v>
      </c>
      <c r="C117" s="29">
        <f>[1]!thsiFinD("ths_constituent_ up_number_index",A117,"2025-7-28")</f>
        <v>0</v>
      </c>
      <c r="E117" s="28" t="s">
        <v>292</v>
      </c>
      <c r="F117" s="28" t="s">
        <v>293</v>
      </c>
    </row>
    <row r="118" spans="1:6" hidden="1" x14ac:dyDescent="0.3">
      <c r="A118" s="28" t="s">
        <v>95</v>
      </c>
      <c r="B118" s="28" t="s">
        <v>96</v>
      </c>
      <c r="C118" s="29">
        <f>[1]!thsiFinD("ths_constituent_ up_number_index",A118,"2025-7-28")</f>
        <v>0</v>
      </c>
      <c r="E118" s="28" t="s">
        <v>294</v>
      </c>
      <c r="F118" s="28" t="s">
        <v>295</v>
      </c>
    </row>
    <row r="119" spans="1:6" hidden="1" x14ac:dyDescent="0.3">
      <c r="A119" s="28" t="s">
        <v>101</v>
      </c>
      <c r="B119" s="28" t="s">
        <v>102</v>
      </c>
      <c r="C119" s="29">
        <f>[1]!thsiFinD("ths_constituent_ up_number_index",A119,"2025-7-28")</f>
        <v>0</v>
      </c>
      <c r="E119" s="28" t="s">
        <v>140</v>
      </c>
      <c r="F119" s="28" t="s">
        <v>141</v>
      </c>
    </row>
    <row r="120" spans="1:6" hidden="1" x14ac:dyDescent="0.3">
      <c r="A120" s="28" t="s">
        <v>296</v>
      </c>
      <c r="B120" s="28" t="s">
        <v>297</v>
      </c>
      <c r="C120" s="29">
        <f>[1]!thsiFinD("ths_constituent_ up_number_index",A120,"2025-7-28")</f>
        <v>0</v>
      </c>
      <c r="E120" s="28" t="s">
        <v>276</v>
      </c>
      <c r="F120" s="28" t="s">
        <v>277</v>
      </c>
    </row>
    <row r="121" spans="1:6" hidden="1" x14ac:dyDescent="0.3">
      <c r="A121" s="28" t="s">
        <v>152</v>
      </c>
      <c r="B121" s="28" t="s">
        <v>153</v>
      </c>
      <c r="C121" s="29">
        <f>[1]!thsiFinD("ths_constituent_ up_number_index",A121,"2025-7-28")</f>
        <v>0</v>
      </c>
      <c r="E121" s="28" t="s">
        <v>278</v>
      </c>
      <c r="F121" s="28" t="s">
        <v>279</v>
      </c>
    </row>
    <row r="122" spans="1:6" hidden="1" x14ac:dyDescent="0.3">
      <c r="A122" s="28" t="s">
        <v>288</v>
      </c>
      <c r="B122" s="28" t="s">
        <v>289</v>
      </c>
      <c r="C122" s="29">
        <f>[1]!thsiFinD("ths_constituent_ up_number_index",A122,"2025-7-28")</f>
        <v>0</v>
      </c>
      <c r="E122" s="28" t="s">
        <v>298</v>
      </c>
      <c r="F122" s="28" t="s">
        <v>299</v>
      </c>
    </row>
    <row r="123" spans="1:6" hidden="1" x14ac:dyDescent="0.3">
      <c r="A123" s="28" t="s">
        <v>292</v>
      </c>
      <c r="B123" s="28" t="s">
        <v>293</v>
      </c>
      <c r="C123" s="29">
        <f>[1]!thsiFinD("ths_constituent_ up_number_index",A123,"2025-7-28")</f>
        <v>0</v>
      </c>
      <c r="E123" s="28" t="s">
        <v>246</v>
      </c>
      <c r="F123" s="28" t="s">
        <v>247</v>
      </c>
    </row>
    <row r="124" spans="1:6" hidden="1" x14ac:dyDescent="0.3">
      <c r="A124" s="28" t="s">
        <v>73</v>
      </c>
      <c r="B124" s="28" t="s">
        <v>74</v>
      </c>
      <c r="C124" s="29">
        <f>[1]!thsiFinD("ths_constituent_ up_number_index",A124,"2025-7-28")</f>
        <v>0</v>
      </c>
      <c r="E124" s="28" t="s">
        <v>242</v>
      </c>
      <c r="F124" s="28" t="s">
        <v>243</v>
      </c>
    </row>
    <row r="125" spans="1:6" hidden="1" x14ac:dyDescent="0.3">
      <c r="A125" s="28" t="s">
        <v>188</v>
      </c>
      <c r="B125" s="28" t="s">
        <v>189</v>
      </c>
      <c r="C125" s="29">
        <f>[1]!thsiFinD("ths_constituent_ up_number_index",A125,"2025-7-28")</f>
        <v>0</v>
      </c>
      <c r="E125" s="28" t="s">
        <v>162</v>
      </c>
      <c r="F125" s="28" t="s">
        <v>163</v>
      </c>
    </row>
    <row r="126" spans="1:6" hidden="1" x14ac:dyDescent="0.3">
      <c r="A126" s="28" t="s">
        <v>252</v>
      </c>
      <c r="B126" s="28" t="s">
        <v>253</v>
      </c>
      <c r="C126" s="29">
        <f>[1]!thsiFinD("ths_constituent_ up_number_index",A126,"2025-7-28")</f>
        <v>0</v>
      </c>
      <c r="E126" s="28" t="s">
        <v>270</v>
      </c>
      <c r="F126" s="28" t="s">
        <v>271</v>
      </c>
    </row>
    <row r="127" spans="1:6" hidden="1" x14ac:dyDescent="0.3">
      <c r="A127" s="28" t="s">
        <v>254</v>
      </c>
      <c r="B127" s="28" t="s">
        <v>255</v>
      </c>
      <c r="C127" s="29">
        <f>[1]!thsiFinD("ths_constituent_ up_number_index",A127,"2025-7-28")</f>
        <v>0</v>
      </c>
      <c r="E127" s="28" t="s">
        <v>216</v>
      </c>
      <c r="F127" s="28" t="s">
        <v>217</v>
      </c>
    </row>
    <row r="128" spans="1:6" hidden="1" x14ac:dyDescent="0.3">
      <c r="A128" s="28" t="s">
        <v>256</v>
      </c>
      <c r="B128" s="28" t="s">
        <v>257</v>
      </c>
      <c r="C128" s="29">
        <f>[1]!thsiFinD("ths_constituent_ up_number_index",A128,"2025-7-28")</f>
        <v>0</v>
      </c>
      <c r="E128" s="28" t="s">
        <v>178</v>
      </c>
      <c r="F128" s="28" t="s">
        <v>179</v>
      </c>
    </row>
    <row r="129" spans="1:6" hidden="1" x14ac:dyDescent="0.3">
      <c r="A129" s="28" t="s">
        <v>282</v>
      </c>
      <c r="B129" s="28" t="s">
        <v>283</v>
      </c>
      <c r="C129" s="29">
        <f>[1]!thsiFinD("ths_constituent_ up_number_index",A129,"2025-7-28")</f>
        <v>0</v>
      </c>
      <c r="E129" s="28" t="s">
        <v>300</v>
      </c>
      <c r="F129" s="28" t="s">
        <v>301</v>
      </c>
    </row>
    <row r="130" spans="1:6" hidden="1" x14ac:dyDescent="0.3">
      <c r="A130" s="28" t="s">
        <v>284</v>
      </c>
      <c r="B130" s="28" t="s">
        <v>285</v>
      </c>
      <c r="C130" s="29">
        <f>[1]!thsiFinD("ths_constituent_ up_number_index",A130,"2025-7-28")</f>
        <v>0</v>
      </c>
      <c r="E130" s="28" t="s">
        <v>296</v>
      </c>
      <c r="F130" s="28" t="s">
        <v>297</v>
      </c>
    </row>
    <row r="131" spans="1:6" hidden="1" x14ac:dyDescent="0.3">
      <c r="A131" s="28" t="s">
        <v>286</v>
      </c>
      <c r="B131" s="28" t="s">
        <v>287</v>
      </c>
      <c r="C131" s="29">
        <f>[1]!thsiFinD("ths_constituent_ up_number_index",A131,"2025-7-28")</f>
        <v>0</v>
      </c>
      <c r="E131" s="28" t="s">
        <v>91</v>
      </c>
      <c r="F131" s="28" t="s">
        <v>46</v>
      </c>
    </row>
    <row r="132" spans="1:6" hidden="1" x14ac:dyDescent="0.3">
      <c r="A132" s="28" t="s">
        <v>294</v>
      </c>
      <c r="B132" s="28" t="s">
        <v>295</v>
      </c>
      <c r="C132" s="29">
        <f>[1]!thsiFinD("ths_constituent_ up_number_index",A132,"2025-7-28")</f>
        <v>0</v>
      </c>
      <c r="E132" s="28" t="s">
        <v>120</v>
      </c>
      <c r="F132" s="28" t="s">
        <v>121</v>
      </c>
    </row>
    <row r="133" spans="1:6" hidden="1" x14ac:dyDescent="0.3">
      <c r="A133" s="28" t="s">
        <v>298</v>
      </c>
      <c r="B133" s="28" t="s">
        <v>299</v>
      </c>
      <c r="C133" s="29">
        <f>[1]!thsiFinD("ths_constituent_ up_number_index",A133,"2025-7-28")</f>
        <v>0</v>
      </c>
      <c r="E133" s="28" t="s">
        <v>264</v>
      </c>
      <c r="F133" s="28" t="s">
        <v>265</v>
      </c>
    </row>
    <row r="134" spans="1:6" hidden="1" x14ac:dyDescent="0.3">
      <c r="A134" s="28" t="s">
        <v>300</v>
      </c>
      <c r="B134" s="28" t="s">
        <v>301</v>
      </c>
      <c r="C134" s="29">
        <f>[1]!thsiFinD("ths_constituent_ up_number_index",A134,"2025-7-28")</f>
        <v>0</v>
      </c>
      <c r="E134" s="28" t="s">
        <v>290</v>
      </c>
      <c r="F134" s="28" t="s">
        <v>291</v>
      </c>
    </row>
    <row r="135" spans="1:6" hidden="1" x14ac:dyDescent="0.3">
      <c r="A135" s="28"/>
      <c r="B135" s="28"/>
      <c r="C135" s="29">
        <f>[1]!thsiFinD("ths_constituent_ up_number_index",A135,"2025-7-28")</f>
        <v>0</v>
      </c>
      <c r="E135" s="28"/>
      <c r="F135" s="28"/>
    </row>
    <row r="136" spans="1:6" hidden="1" x14ac:dyDescent="0.3">
      <c r="A136" s="28"/>
      <c r="B136" s="28"/>
      <c r="C136" s="29">
        <f>[1]!thsiFinD("ths_constituent_ up_number_index",A136,"2025-7-28")</f>
        <v>0</v>
      </c>
      <c r="E136" s="28"/>
      <c r="F136" s="28"/>
    </row>
    <row r="137" spans="1:6" hidden="1" x14ac:dyDescent="0.3">
      <c r="A137" s="28"/>
      <c r="B137" s="28"/>
      <c r="C137" s="29">
        <f>[1]!thsiFinD("ths_constituent_ up_number_index",A137,"2025-7-28")</f>
        <v>0</v>
      </c>
      <c r="E137" s="28"/>
      <c r="F137" s="28"/>
    </row>
    <row r="138" spans="1:6" hidden="1" x14ac:dyDescent="0.3">
      <c r="A138" s="28"/>
      <c r="B138" s="28"/>
      <c r="C138" s="29">
        <f>[1]!thsiFinD("ths_constituent_ up_number_index",A138,"2025-7-28")</f>
        <v>0</v>
      </c>
      <c r="E138" s="28"/>
      <c r="F138" s="28"/>
    </row>
    <row r="139" spans="1:6" hidden="1" x14ac:dyDescent="0.3">
      <c r="A139" s="28"/>
      <c r="B139" s="28"/>
      <c r="C139" s="29">
        <f>[1]!thsiFinD("ths_constituent_ up_number_index",A139,"2025-7-28")</f>
        <v>0</v>
      </c>
      <c r="E139" s="28"/>
      <c r="F139" s="28"/>
    </row>
    <row r="140" spans="1:6" hidden="1" x14ac:dyDescent="0.3">
      <c r="A140" s="28"/>
      <c r="B140" s="28"/>
      <c r="C140" s="29">
        <f>[1]!thsiFinD("ths_constituent_ up_number_index",A140,"2025-7-28")</f>
        <v>0</v>
      </c>
      <c r="E140" s="28"/>
      <c r="F140" s="28"/>
    </row>
    <row r="141" spans="1:6" hidden="1" x14ac:dyDescent="0.3">
      <c r="A141" s="28"/>
      <c r="B141" s="28"/>
      <c r="C141" s="29">
        <f>[1]!thsiFinD("ths_constituent_ up_number_index",A141,"2025-7-28")</f>
        <v>0</v>
      </c>
      <c r="E141" s="28"/>
      <c r="F141" s="28"/>
    </row>
    <row r="142" spans="1:6" hidden="1" x14ac:dyDescent="0.3">
      <c r="A142" s="28"/>
      <c r="B142" s="28"/>
      <c r="C142" s="29">
        <f>[1]!thsiFinD("ths_constituent_ up_number_index",A142,"2025-7-28")</f>
        <v>0</v>
      </c>
      <c r="E142" s="28"/>
      <c r="F142" s="28"/>
    </row>
    <row r="143" spans="1:6" hidden="1" x14ac:dyDescent="0.3">
      <c r="A143" s="28"/>
      <c r="B143" s="28"/>
      <c r="C143" s="29">
        <f>[1]!thsiFinD("ths_constituent_ up_number_index",A143,"2025-7-28")</f>
        <v>0</v>
      </c>
      <c r="E143" s="28"/>
      <c r="F143" s="28"/>
    </row>
    <row r="144" spans="1:6" hidden="1" x14ac:dyDescent="0.3">
      <c r="A144" s="28"/>
      <c r="B144" s="28"/>
      <c r="C144" s="29">
        <f>[1]!thsiFinD("ths_constituent_ up_number_index",A144,"2025-7-28")</f>
        <v>0</v>
      </c>
      <c r="E144" s="28"/>
      <c r="F144" s="28"/>
    </row>
    <row r="145" spans="1:6" hidden="1" x14ac:dyDescent="0.3">
      <c r="A145" s="28"/>
      <c r="B145" s="28"/>
      <c r="C145" s="29">
        <f>[1]!thsiFinD("ths_constituent_ up_number_index",A145,"2025-7-28")</f>
        <v>0</v>
      </c>
      <c r="E145" s="28"/>
      <c r="F145" s="28"/>
    </row>
    <row r="146" spans="1:6" hidden="1" x14ac:dyDescent="0.3">
      <c r="A146" s="28"/>
      <c r="B146" s="28"/>
      <c r="C146" s="29">
        <f>[1]!thsiFinD("ths_constituent_ up_number_index",A146,"2025-7-28")</f>
        <v>0</v>
      </c>
      <c r="E146" s="28"/>
      <c r="F146" s="28"/>
    </row>
    <row r="147" spans="1:6" hidden="1" x14ac:dyDescent="0.3">
      <c r="A147" s="28"/>
      <c r="B147" s="28"/>
      <c r="C147" s="29">
        <f>[1]!thsiFinD("ths_constituent_ up_number_index",A147,"2025-7-28")</f>
        <v>0</v>
      </c>
      <c r="E147" s="28"/>
      <c r="F147" s="28"/>
    </row>
    <row r="148" spans="1:6" hidden="1" x14ac:dyDescent="0.3">
      <c r="A148" s="28"/>
      <c r="B148" s="28"/>
      <c r="C148" s="29">
        <f>[1]!thsiFinD("ths_constituent_ up_number_index",A148,"2025-7-28")</f>
        <v>0</v>
      </c>
      <c r="E148" s="28"/>
      <c r="F148" s="28"/>
    </row>
    <row r="149" spans="1:6" hidden="1" x14ac:dyDescent="0.3">
      <c r="A149" s="28"/>
      <c r="B149" s="28"/>
      <c r="C149" s="29">
        <f>[1]!thsiFinD("ths_constituent_ up_number_index",A149,"2025-7-28")</f>
        <v>0</v>
      </c>
      <c r="E149" s="28"/>
      <c r="F149" s="28"/>
    </row>
    <row r="150" spans="1:6" hidden="1" x14ac:dyDescent="0.3">
      <c r="A150" s="28"/>
      <c r="B150" s="28"/>
      <c r="C150" s="29">
        <f>[1]!thsiFinD("ths_constituent_ up_number_index",A150,"2025-7-28")</f>
        <v>0</v>
      </c>
      <c r="E150" s="28"/>
      <c r="F150" s="28"/>
    </row>
    <row r="151" spans="1:6" hidden="1" x14ac:dyDescent="0.3">
      <c r="A151" s="28"/>
      <c r="B151" s="28"/>
      <c r="C151" s="29">
        <f>[1]!thsiFinD("ths_constituent_ up_number_index",A151,"2025-7-28")</f>
        <v>0</v>
      </c>
      <c r="E151" s="28"/>
      <c r="F151" s="28"/>
    </row>
    <row r="152" spans="1:6" hidden="1" x14ac:dyDescent="0.3">
      <c r="A152" s="28"/>
      <c r="B152" s="28"/>
      <c r="C152" s="29">
        <f>[1]!thsiFinD("ths_constituent_ up_number_index",A152,"2025-7-28")</f>
        <v>0</v>
      </c>
      <c r="E152" s="28"/>
      <c r="F152" s="28"/>
    </row>
    <row r="153" spans="1:6" hidden="1" x14ac:dyDescent="0.3">
      <c r="A153" s="28"/>
      <c r="B153" s="28"/>
      <c r="C153" s="29">
        <f>[1]!thsiFinD("ths_constituent_ up_number_index",A153,"2025-7-28")</f>
        <v>0</v>
      </c>
      <c r="E153" s="28"/>
      <c r="F153" s="28"/>
    </row>
    <row r="154" spans="1:6" hidden="1" x14ac:dyDescent="0.3">
      <c r="A154" s="28"/>
      <c r="B154" s="28"/>
      <c r="C154" s="29">
        <f>[1]!thsiFinD("ths_constituent_ up_number_index",A154,"2025-7-28")</f>
        <v>0</v>
      </c>
      <c r="E154" s="28"/>
      <c r="F154" s="28"/>
    </row>
    <row r="155" spans="1:6" hidden="1" x14ac:dyDescent="0.3">
      <c r="A155" s="28"/>
      <c r="B155" s="28"/>
      <c r="C155" s="29">
        <f>[1]!thsiFinD("ths_constituent_ up_number_index",A155,"2025-7-28")</f>
        <v>0</v>
      </c>
      <c r="E155" s="28"/>
      <c r="F155" s="28"/>
    </row>
    <row r="156" spans="1:6" hidden="1" x14ac:dyDescent="0.3">
      <c r="A156" s="28"/>
      <c r="B156" s="28"/>
      <c r="C156" s="29">
        <f>[1]!thsiFinD("ths_constituent_ up_number_index",A156,"2025-7-28")</f>
        <v>0</v>
      </c>
      <c r="E156" s="28"/>
      <c r="F156" s="28"/>
    </row>
    <row r="157" spans="1:6" hidden="1" x14ac:dyDescent="0.3">
      <c r="A157" s="28"/>
      <c r="B157" s="28"/>
      <c r="C157" s="29">
        <f>[1]!thsiFinD("ths_constituent_ up_number_index",A157,"2025-7-28")</f>
        <v>0</v>
      </c>
      <c r="E157" s="28"/>
      <c r="F157" s="28"/>
    </row>
    <row r="158" spans="1:6" hidden="1" x14ac:dyDescent="0.3">
      <c r="A158" s="28"/>
      <c r="B158" s="28"/>
      <c r="C158" s="29">
        <f>[1]!thsiFinD("ths_constituent_ up_number_index",A158,"2025-7-28")</f>
        <v>0</v>
      </c>
      <c r="E158" s="28"/>
      <c r="F158" s="28"/>
    </row>
    <row r="159" spans="1:6" hidden="1" x14ac:dyDescent="0.3">
      <c r="A159" s="28"/>
      <c r="B159" s="28"/>
      <c r="C159" s="29">
        <f>[1]!thsiFinD("ths_constituent_ up_number_index",A159,"2025-7-28")</f>
        <v>0</v>
      </c>
      <c r="E159" s="28"/>
      <c r="F159" s="28"/>
    </row>
    <row r="160" spans="1:6" hidden="1" x14ac:dyDescent="0.3">
      <c r="A160" s="28"/>
      <c r="B160" s="28"/>
      <c r="C160" s="29">
        <f>[1]!thsiFinD("ths_constituent_ up_number_index",A160,"2025-7-28")</f>
        <v>0</v>
      </c>
      <c r="E160" s="28"/>
      <c r="F160" s="28"/>
    </row>
    <row r="161" spans="1:6" hidden="1" x14ac:dyDescent="0.3">
      <c r="A161" s="28"/>
      <c r="B161" s="28"/>
      <c r="C161" s="29">
        <f>[1]!thsiFinD("ths_constituent_ up_number_index",A161,"2025-7-28")</f>
        <v>0</v>
      </c>
      <c r="E161" s="28"/>
      <c r="F161" s="28"/>
    </row>
    <row r="162" spans="1:6" hidden="1" x14ac:dyDescent="0.3">
      <c r="A162" s="28"/>
      <c r="B162" s="28"/>
      <c r="C162" s="29">
        <f>[1]!thsiFinD("ths_constituent_ up_number_index",A162,"2025-7-28")</f>
        <v>0</v>
      </c>
      <c r="E162" s="28"/>
      <c r="F162" s="28"/>
    </row>
    <row r="163" spans="1:6" hidden="1" x14ac:dyDescent="0.3">
      <c r="A163" s="28"/>
      <c r="B163" s="28"/>
      <c r="C163" s="29">
        <f>[1]!thsiFinD("ths_constituent_ up_number_index",A163,"2025-7-28")</f>
        <v>0</v>
      </c>
      <c r="E163" s="28"/>
      <c r="F163" s="28"/>
    </row>
    <row r="164" spans="1:6" hidden="1" x14ac:dyDescent="0.3">
      <c r="A164" s="28"/>
      <c r="B164" s="28"/>
      <c r="C164" s="29">
        <f>[1]!thsiFinD("ths_constituent_ up_number_index",A164,"2025-7-28")</f>
        <v>0</v>
      </c>
      <c r="E164" s="28"/>
      <c r="F164" s="28"/>
    </row>
    <row r="165" spans="1:6" hidden="1" x14ac:dyDescent="0.3">
      <c r="A165" s="28"/>
      <c r="B165" s="28"/>
      <c r="C165" s="29">
        <f>[1]!thsiFinD("ths_constituent_ up_number_index",A165,"2025-7-28")</f>
        <v>0</v>
      </c>
      <c r="E165" s="28"/>
      <c r="F165" s="28"/>
    </row>
    <row r="166" spans="1:6" hidden="1" x14ac:dyDescent="0.3">
      <c r="A166" s="28"/>
      <c r="B166" s="28"/>
      <c r="C166" s="29">
        <f>[1]!thsiFinD("ths_constituent_ up_number_index",A166,"2025-7-28")</f>
        <v>0</v>
      </c>
      <c r="E166" s="28"/>
      <c r="F166" s="28"/>
    </row>
    <row r="167" spans="1:6" hidden="1" x14ac:dyDescent="0.3">
      <c r="A167" s="28"/>
      <c r="B167" s="28"/>
      <c r="C167" s="29">
        <f>[1]!thsiFinD("ths_constituent_ up_number_index",A167,"2025-7-28")</f>
        <v>0</v>
      </c>
      <c r="E167" s="28"/>
      <c r="F167" s="28"/>
    </row>
    <row r="168" spans="1:6" hidden="1" x14ac:dyDescent="0.3">
      <c r="A168" s="28"/>
      <c r="B168" s="28"/>
      <c r="C168" s="29">
        <f>[1]!thsiFinD("ths_constituent_ up_number_index",A168,"2025-7-28")</f>
        <v>0</v>
      </c>
      <c r="E168" s="28"/>
      <c r="F168" s="28"/>
    </row>
    <row r="169" spans="1:6" hidden="1" x14ac:dyDescent="0.3">
      <c r="A169" s="28"/>
      <c r="B169" s="28"/>
      <c r="C169" s="29">
        <f>[1]!thsiFinD("ths_constituent_ up_number_index",A169,"2025-7-28")</f>
        <v>0</v>
      </c>
      <c r="E169" s="28"/>
      <c r="F169" s="28"/>
    </row>
    <row r="170" spans="1:6" hidden="1" x14ac:dyDescent="0.3">
      <c r="A170" s="28"/>
      <c r="B170" s="28"/>
      <c r="C170" s="29">
        <f>[1]!thsiFinD("ths_constituent_ up_number_index",A170,"2025-7-28")</f>
        <v>0</v>
      </c>
      <c r="E170" s="28"/>
      <c r="F170" s="28"/>
    </row>
    <row r="171" spans="1:6" hidden="1" x14ac:dyDescent="0.3">
      <c r="A171" s="28"/>
      <c r="B171" s="28"/>
      <c r="C171" s="29">
        <f>[1]!thsiFinD("ths_constituent_ up_number_index",A171,"2025-7-28")</f>
        <v>0</v>
      </c>
      <c r="E171" s="28"/>
      <c r="F171" s="28"/>
    </row>
    <row r="172" spans="1:6" hidden="1" x14ac:dyDescent="0.3">
      <c r="A172" s="28"/>
      <c r="B172" s="28"/>
      <c r="C172" s="29">
        <f>[1]!thsiFinD("ths_constituent_ up_number_index",A172,"2025-7-28")</f>
        <v>0</v>
      </c>
      <c r="E172" s="28"/>
      <c r="F172" s="28"/>
    </row>
    <row r="173" spans="1:6" hidden="1" x14ac:dyDescent="0.3">
      <c r="A173" s="28"/>
      <c r="B173" s="28"/>
      <c r="C173" s="29">
        <f>[1]!thsiFinD("ths_constituent_ up_number_index",A173,"2025-7-28")</f>
        <v>0</v>
      </c>
      <c r="E173" s="28"/>
      <c r="F173" s="28"/>
    </row>
    <row r="174" spans="1:6" hidden="1" x14ac:dyDescent="0.3">
      <c r="A174" s="28"/>
      <c r="B174" s="28"/>
      <c r="C174" s="29">
        <f>[1]!thsiFinD("ths_constituent_ up_number_index",A174,"2025-7-28")</f>
        <v>0</v>
      </c>
      <c r="E174" s="28"/>
      <c r="F174" s="28"/>
    </row>
    <row r="175" spans="1:6" hidden="1" x14ac:dyDescent="0.3">
      <c r="A175" s="28"/>
      <c r="B175" s="28"/>
      <c r="C175" s="29">
        <f>[1]!thsiFinD("ths_constituent_ up_number_index",A175,"2025-7-28")</f>
        <v>0</v>
      </c>
      <c r="E175" s="28"/>
      <c r="F175" s="28"/>
    </row>
    <row r="176" spans="1:6" hidden="1" x14ac:dyDescent="0.3">
      <c r="A176" s="28"/>
      <c r="B176" s="28"/>
      <c r="C176" s="29">
        <f>[1]!thsiFinD("ths_constituent_ up_number_index",A176,"2025-7-28")</f>
        <v>0</v>
      </c>
      <c r="E176" s="28"/>
      <c r="F176" s="28"/>
    </row>
    <row r="177" spans="1:6" hidden="1" x14ac:dyDescent="0.3">
      <c r="A177" s="28"/>
      <c r="B177" s="28"/>
      <c r="C177" s="29">
        <f>[1]!thsiFinD("ths_constituent_ up_number_index",A177,"2025-7-28")</f>
        <v>0</v>
      </c>
      <c r="E177" s="28"/>
      <c r="F177" s="28"/>
    </row>
    <row r="178" spans="1:6" hidden="1" x14ac:dyDescent="0.3">
      <c r="A178" s="28"/>
      <c r="B178" s="28"/>
      <c r="C178" s="29">
        <f>[1]!thsiFinD("ths_constituent_ up_number_index",A178,"2025-7-28")</f>
        <v>0</v>
      </c>
      <c r="E178" s="28"/>
      <c r="F178" s="28"/>
    </row>
    <row r="179" spans="1:6" hidden="1" x14ac:dyDescent="0.3">
      <c r="A179" s="28"/>
      <c r="B179" s="28"/>
      <c r="C179" s="29">
        <f>[1]!thsiFinD("ths_constituent_ up_number_index",A179,"2025-7-28")</f>
        <v>0</v>
      </c>
      <c r="E179" s="28"/>
      <c r="F179" s="28"/>
    </row>
    <row r="180" spans="1:6" hidden="1" x14ac:dyDescent="0.3">
      <c r="A180" s="28"/>
      <c r="B180" s="28"/>
      <c r="C180" s="29">
        <f>[1]!thsiFinD("ths_constituent_ up_number_index",A180,"2025-7-28")</f>
        <v>0</v>
      </c>
      <c r="E180" s="28"/>
      <c r="F180" s="28"/>
    </row>
    <row r="181" spans="1:6" hidden="1" x14ac:dyDescent="0.3">
      <c r="A181" s="28"/>
      <c r="B181" s="28"/>
      <c r="C181" s="29">
        <f>[1]!thsiFinD("ths_constituent_ up_number_index",A181,"2025-7-28")</f>
        <v>0</v>
      </c>
      <c r="E181" s="28"/>
      <c r="F181" s="28"/>
    </row>
    <row r="182" spans="1:6" hidden="1" x14ac:dyDescent="0.3">
      <c r="A182" s="28"/>
      <c r="B182" s="28"/>
      <c r="C182" s="29">
        <f>[1]!thsiFinD("ths_constituent_ up_number_index",A182,"2025-7-28")</f>
        <v>0</v>
      </c>
      <c r="E182" s="28"/>
      <c r="F182" s="28"/>
    </row>
    <row r="183" spans="1:6" hidden="1" x14ac:dyDescent="0.3">
      <c r="A183" s="28"/>
      <c r="B183" s="28"/>
      <c r="C183" s="29">
        <f>[1]!thsiFinD("ths_constituent_ up_number_index",A183,"2025-7-28")</f>
        <v>0</v>
      </c>
      <c r="E183" s="28"/>
      <c r="F183" s="28"/>
    </row>
    <row r="184" spans="1:6" hidden="1" x14ac:dyDescent="0.3">
      <c r="A184" s="28"/>
      <c r="B184" s="28"/>
      <c r="C184" s="29">
        <f>[1]!thsiFinD("ths_constituent_ up_number_index",A184,"2025-7-28")</f>
        <v>0</v>
      </c>
      <c r="E184" s="28"/>
      <c r="F184" s="28"/>
    </row>
    <row r="185" spans="1:6" hidden="1" x14ac:dyDescent="0.3">
      <c r="A185" s="28"/>
      <c r="B185" s="28"/>
      <c r="C185" s="29">
        <f>[1]!thsiFinD("ths_constituent_ up_number_index",A185,"2025-7-28")</f>
        <v>0</v>
      </c>
      <c r="E185" s="28"/>
      <c r="F185" s="28"/>
    </row>
    <row r="186" spans="1:6" hidden="1" x14ac:dyDescent="0.3">
      <c r="A186" s="28"/>
      <c r="B186" s="28"/>
      <c r="C186" s="29">
        <f>[1]!thsiFinD("ths_constituent_ up_number_index",A186,"2025-7-28")</f>
        <v>0</v>
      </c>
      <c r="E186" s="28"/>
      <c r="F186" s="28"/>
    </row>
    <row r="187" spans="1:6" hidden="1" x14ac:dyDescent="0.3">
      <c r="A187" s="28"/>
      <c r="B187" s="28"/>
      <c r="C187" s="29">
        <f>[1]!thsiFinD("ths_constituent_ up_number_index",A187,"2025-7-28")</f>
        <v>0</v>
      </c>
      <c r="E187" s="28"/>
      <c r="F187" s="28"/>
    </row>
    <row r="188" spans="1:6" hidden="1" x14ac:dyDescent="0.3">
      <c r="A188" s="28"/>
      <c r="B188" s="28"/>
      <c r="C188" s="29">
        <f>[1]!thsiFinD("ths_constituent_ up_number_index",A188,"2025-7-28")</f>
        <v>0</v>
      </c>
      <c r="E188" s="28"/>
      <c r="F188" s="28"/>
    </row>
    <row r="189" spans="1:6" hidden="1" x14ac:dyDescent="0.3">
      <c r="A189" s="28"/>
      <c r="B189" s="28"/>
      <c r="C189" s="29">
        <f>[1]!thsiFinD("ths_constituent_ up_number_index",A189,"2025-7-28")</f>
        <v>0</v>
      </c>
      <c r="E189" s="28"/>
      <c r="F189" s="28"/>
    </row>
    <row r="190" spans="1:6" hidden="1" x14ac:dyDescent="0.3">
      <c r="A190" s="28"/>
      <c r="B190" s="28"/>
      <c r="C190" s="29">
        <f>[1]!thsiFinD("ths_constituent_ up_number_index",A190,"2025-7-28")</f>
        <v>0</v>
      </c>
      <c r="E190" s="28"/>
      <c r="F190" s="28"/>
    </row>
    <row r="191" spans="1:6" hidden="1" x14ac:dyDescent="0.3">
      <c r="A191" s="28"/>
      <c r="B191" s="28"/>
      <c r="C191" s="29">
        <f>[1]!thsiFinD("ths_constituent_ up_number_index",A191,"2025-7-28")</f>
        <v>0</v>
      </c>
      <c r="E191" s="28"/>
      <c r="F191" s="28"/>
    </row>
    <row r="192" spans="1:6" hidden="1" x14ac:dyDescent="0.3">
      <c r="A192" s="28"/>
      <c r="B192" s="28"/>
      <c r="C192" s="29">
        <f>[1]!thsiFinD("ths_constituent_ up_number_index",A192,"2025-7-28")</f>
        <v>0</v>
      </c>
      <c r="E192" s="28"/>
      <c r="F192" s="28"/>
    </row>
    <row r="193" spans="1:6" hidden="1" x14ac:dyDescent="0.3">
      <c r="A193" s="28"/>
      <c r="B193" s="28"/>
      <c r="C193" s="29">
        <f>[1]!thsiFinD("ths_constituent_ up_number_index",A193,"2025-7-28")</f>
        <v>0</v>
      </c>
      <c r="E193" s="28"/>
      <c r="F193" s="28"/>
    </row>
    <row r="194" spans="1:6" hidden="1" x14ac:dyDescent="0.3">
      <c r="A194" s="28"/>
      <c r="B194" s="28"/>
      <c r="C194" s="29">
        <f>[1]!thsiFinD("ths_constituent_ up_number_index",A194,"2025-7-28")</f>
        <v>0</v>
      </c>
      <c r="E194" s="28"/>
      <c r="F194" s="28"/>
    </row>
    <row r="195" spans="1:6" hidden="1" x14ac:dyDescent="0.3">
      <c r="A195" s="28"/>
      <c r="B195" s="28"/>
      <c r="C195" s="29">
        <f>[1]!thsiFinD("ths_constituent_ up_number_index",A195,"2025-7-28")</f>
        <v>0</v>
      </c>
      <c r="E195" s="28"/>
      <c r="F195" s="28"/>
    </row>
    <row r="196" spans="1:6" hidden="1" x14ac:dyDescent="0.3">
      <c r="A196" s="28"/>
      <c r="B196" s="28"/>
      <c r="C196" s="29">
        <f>[1]!thsiFinD("ths_constituent_ up_number_index",A196,"2025-7-28")</f>
        <v>0</v>
      </c>
      <c r="E196" s="28"/>
      <c r="F196" s="28"/>
    </row>
    <row r="197" spans="1:6" hidden="1" x14ac:dyDescent="0.3">
      <c r="A197" s="28"/>
      <c r="B197" s="28"/>
      <c r="C197" s="29">
        <f>[1]!thsiFinD("ths_constituent_ up_number_index",A197,"2025-7-28")</f>
        <v>0</v>
      </c>
      <c r="E197" s="28"/>
      <c r="F197" s="28"/>
    </row>
    <row r="198" spans="1:6" hidden="1" x14ac:dyDescent="0.3">
      <c r="A198" s="28"/>
      <c r="B198" s="28"/>
      <c r="C198" s="29">
        <f>[1]!thsiFinD("ths_constituent_ up_number_index",A198,"2025-7-28")</f>
        <v>0</v>
      </c>
      <c r="E198" s="28"/>
      <c r="F198" s="28"/>
    </row>
    <row r="199" spans="1:6" hidden="1" x14ac:dyDescent="0.3">
      <c r="A199" s="28"/>
      <c r="B199" s="28"/>
      <c r="C199" s="29">
        <f>[1]!thsiFinD("ths_constituent_ up_number_index",A199,"2025-7-28")</f>
        <v>0</v>
      </c>
      <c r="E199" s="28"/>
      <c r="F199" s="28"/>
    </row>
    <row r="200" spans="1:6" hidden="1" x14ac:dyDescent="0.3">
      <c r="A200" s="28"/>
      <c r="B200" s="28"/>
      <c r="C200" s="29">
        <f>[1]!thsiFinD("ths_constituent_ up_number_index",A200,"2025-7-28")</f>
        <v>0</v>
      </c>
      <c r="E200" s="28"/>
      <c r="F200" s="28"/>
    </row>
    <row r="201" spans="1:6" hidden="1" x14ac:dyDescent="0.3">
      <c r="A201" s="28"/>
      <c r="B201" s="28"/>
      <c r="C201" s="29">
        <f>[1]!thsiFinD("ths_constituent_ up_number_index",A201,"2025-7-28")</f>
        <v>0</v>
      </c>
      <c r="E201" s="28"/>
      <c r="F201" s="28"/>
    </row>
    <row r="202" spans="1:6" hidden="1" x14ac:dyDescent="0.3">
      <c r="A202" s="28"/>
      <c r="B202" s="28"/>
      <c r="C202" s="29">
        <f>[1]!thsiFinD("ths_constituent_ up_number_index",A202,"2025-7-28")</f>
        <v>0</v>
      </c>
      <c r="E202" s="28"/>
      <c r="F202" s="28"/>
    </row>
    <row r="203" spans="1:6" hidden="1" x14ac:dyDescent="0.3">
      <c r="A203" s="28"/>
      <c r="B203" s="28"/>
      <c r="C203" s="29">
        <f>[1]!thsiFinD("ths_constituent_ up_number_index",A203,"2025-7-28")</f>
        <v>0</v>
      </c>
      <c r="E203" s="28"/>
      <c r="F203" s="28"/>
    </row>
    <row r="204" spans="1:6" hidden="1" x14ac:dyDescent="0.3">
      <c r="A204" s="28"/>
      <c r="B204" s="28"/>
      <c r="C204" s="29">
        <f>[1]!thsiFinD("ths_constituent_ up_number_index",A204,"2025-7-28")</f>
        <v>0</v>
      </c>
      <c r="E204" s="28"/>
      <c r="F204" s="28"/>
    </row>
    <row r="205" spans="1:6" hidden="1" x14ac:dyDescent="0.3">
      <c r="A205" s="28"/>
      <c r="B205" s="28"/>
      <c r="C205" s="29">
        <f>[1]!thsiFinD("ths_constituent_ up_number_index",A205,"2025-7-28")</f>
        <v>0</v>
      </c>
      <c r="E205" s="28"/>
      <c r="F205" s="28"/>
    </row>
    <row r="206" spans="1:6" hidden="1" x14ac:dyDescent="0.3">
      <c r="A206" s="28"/>
      <c r="B206" s="28"/>
      <c r="C206" s="29">
        <f>[1]!thsiFinD("ths_constituent_ up_number_index",A206,"2025-7-28")</f>
        <v>0</v>
      </c>
      <c r="E206" s="28"/>
      <c r="F206" s="28"/>
    </row>
    <row r="207" spans="1:6" hidden="1" x14ac:dyDescent="0.3">
      <c r="A207" s="28"/>
      <c r="B207" s="28"/>
      <c r="C207" s="29">
        <f>[1]!thsiFinD("ths_constituent_ up_number_index",A207,"2025-7-28")</f>
        <v>0</v>
      </c>
      <c r="E207" s="28"/>
      <c r="F207" s="28"/>
    </row>
    <row r="208" spans="1:6" hidden="1" x14ac:dyDescent="0.3">
      <c r="A208" s="28"/>
      <c r="B208" s="28"/>
      <c r="C208" s="29">
        <f>[1]!thsiFinD("ths_constituent_ up_number_index",A208,"2025-7-28")</f>
        <v>0</v>
      </c>
      <c r="E208" s="28"/>
      <c r="F208" s="28"/>
    </row>
    <row r="209" spans="1:6" hidden="1" x14ac:dyDescent="0.3">
      <c r="A209" s="28"/>
      <c r="B209" s="28"/>
      <c r="C209" s="29">
        <f>[1]!thsiFinD("ths_constituent_ up_number_index",A209,"2025-7-28")</f>
        <v>0</v>
      </c>
      <c r="E209" s="28"/>
      <c r="F209" s="28"/>
    </row>
    <row r="210" spans="1:6" hidden="1" x14ac:dyDescent="0.3">
      <c r="A210" s="28"/>
      <c r="B210" s="28"/>
      <c r="C210" s="29">
        <f>[1]!thsiFinD("ths_constituent_ up_number_index",A210,"2025-7-28")</f>
        <v>0</v>
      </c>
      <c r="E210" s="28"/>
      <c r="F210" s="28"/>
    </row>
    <row r="211" spans="1:6" hidden="1" x14ac:dyDescent="0.3">
      <c r="A211" s="28"/>
      <c r="B211" s="28"/>
      <c r="C211" s="29">
        <f>[1]!thsiFinD("ths_constituent_ up_number_index",A211,"2025-7-28")</f>
        <v>0</v>
      </c>
      <c r="E211" s="28"/>
      <c r="F211" s="28"/>
    </row>
    <row r="212" spans="1:6" hidden="1" x14ac:dyDescent="0.3">
      <c r="A212" s="28"/>
      <c r="B212" s="28"/>
      <c r="C212" s="29">
        <f>[1]!thsiFinD("ths_constituent_ up_number_index",A212,"2025-7-28")</f>
        <v>0</v>
      </c>
      <c r="E212" s="28"/>
      <c r="F212" s="28"/>
    </row>
    <row r="213" spans="1:6" hidden="1" x14ac:dyDescent="0.3">
      <c r="A213" s="28"/>
      <c r="B213" s="28"/>
      <c r="C213" s="29">
        <f>[1]!thsiFinD("ths_constituent_ up_number_index",A213,"2025-7-28")</f>
        <v>0</v>
      </c>
      <c r="E213" s="28"/>
      <c r="F213" s="28"/>
    </row>
    <row r="214" spans="1:6" hidden="1" x14ac:dyDescent="0.3">
      <c r="A214" s="28"/>
      <c r="B214" s="28"/>
      <c r="C214" s="29">
        <f>[1]!thsiFinD("ths_constituent_ up_number_index",A214,"2025-7-28")</f>
        <v>0</v>
      </c>
      <c r="E214" s="28"/>
      <c r="F214" s="28"/>
    </row>
    <row r="215" spans="1:6" hidden="1" x14ac:dyDescent="0.3">
      <c r="A215" s="28"/>
      <c r="B215" s="28"/>
      <c r="C215" s="29">
        <f>[1]!thsiFinD("ths_constituent_ up_number_index",A215,"2025-7-28")</f>
        <v>0</v>
      </c>
      <c r="E215" s="28"/>
      <c r="F215" s="28"/>
    </row>
    <row r="216" spans="1:6" hidden="1" x14ac:dyDescent="0.3">
      <c r="A216" s="28"/>
      <c r="B216" s="28"/>
      <c r="C216" s="29">
        <f>[1]!thsiFinD("ths_constituent_ up_number_index",A216,"2025-7-28")</f>
        <v>0</v>
      </c>
      <c r="E216" s="28"/>
      <c r="F216" s="28"/>
    </row>
    <row r="217" spans="1:6" hidden="1" x14ac:dyDescent="0.3">
      <c r="A217" s="28"/>
      <c r="B217" s="28"/>
      <c r="C217" s="29">
        <f>[1]!thsiFinD("ths_constituent_ up_number_index",A217,"2025-7-28")</f>
        <v>0</v>
      </c>
      <c r="E217" s="28"/>
      <c r="F217" s="28"/>
    </row>
    <row r="218" spans="1:6" hidden="1" x14ac:dyDescent="0.3">
      <c r="A218" s="28"/>
      <c r="B218" s="28"/>
      <c r="C218" s="29">
        <f>[1]!thsiFinD("ths_constituent_ up_number_index",A218,"2025-7-28")</f>
        <v>0</v>
      </c>
      <c r="E218" s="28"/>
      <c r="F218" s="28"/>
    </row>
    <row r="219" spans="1:6" hidden="1" x14ac:dyDescent="0.3">
      <c r="A219" s="28"/>
      <c r="B219" s="28"/>
      <c r="C219" s="29">
        <f>[1]!thsiFinD("ths_constituent_ up_number_index",A219,"2025-7-28")</f>
        <v>0</v>
      </c>
      <c r="E219" s="28"/>
      <c r="F219" s="28"/>
    </row>
    <row r="220" spans="1:6" hidden="1" x14ac:dyDescent="0.3">
      <c r="A220" s="28"/>
      <c r="B220" s="28"/>
      <c r="C220" s="29">
        <f>[1]!thsiFinD("ths_constituent_ up_number_index",A220,"2025-7-28")</f>
        <v>0</v>
      </c>
      <c r="E220" s="28"/>
      <c r="F220" s="28"/>
    </row>
    <row r="221" spans="1:6" hidden="1" x14ac:dyDescent="0.3">
      <c r="A221" s="28"/>
      <c r="B221" s="28"/>
      <c r="C221" s="29">
        <f>[1]!thsiFinD("ths_constituent_ up_number_index",A221,"2025-7-28")</f>
        <v>0</v>
      </c>
      <c r="E221" s="28"/>
      <c r="F221" s="28"/>
    </row>
    <row r="222" spans="1:6" hidden="1" x14ac:dyDescent="0.3">
      <c r="A222" s="28"/>
      <c r="B222" s="28"/>
      <c r="C222" s="29">
        <f>[1]!thsiFinD("ths_constituent_ up_number_index",A222,"2025-7-28")</f>
        <v>0</v>
      </c>
      <c r="E222" s="28"/>
      <c r="F222" s="28"/>
    </row>
    <row r="223" spans="1:6" hidden="1" x14ac:dyDescent="0.3">
      <c r="A223" s="28"/>
      <c r="B223" s="28"/>
      <c r="C223" s="29">
        <f>[1]!thsiFinD("ths_constituent_ up_number_index",A223,"2025-7-28")</f>
        <v>0</v>
      </c>
      <c r="E223" s="28"/>
      <c r="F223" s="28"/>
    </row>
    <row r="224" spans="1:6" hidden="1" x14ac:dyDescent="0.3">
      <c r="A224" s="28"/>
      <c r="B224" s="28"/>
      <c r="C224" s="29">
        <f>[1]!thsiFinD("ths_constituent_ up_number_index",A224,"2025-7-28")</f>
        <v>0</v>
      </c>
      <c r="E224" s="28"/>
      <c r="F224" s="28"/>
    </row>
    <row r="225" spans="1:6" hidden="1" x14ac:dyDescent="0.3">
      <c r="A225" s="28"/>
      <c r="B225" s="28"/>
      <c r="C225" s="29">
        <f>[1]!thsiFinD("ths_constituent_ up_number_index",A225,"2025-7-28")</f>
        <v>0</v>
      </c>
      <c r="E225" s="28"/>
      <c r="F225" s="28"/>
    </row>
    <row r="226" spans="1:6" hidden="1" x14ac:dyDescent="0.3">
      <c r="A226" s="28"/>
      <c r="B226" s="28"/>
      <c r="C226" s="29">
        <f>[1]!thsiFinD("ths_constituent_ up_number_index",A226,"2025-7-28")</f>
        <v>0</v>
      </c>
      <c r="E226" s="28"/>
      <c r="F226" s="28"/>
    </row>
    <row r="227" spans="1:6" hidden="1" x14ac:dyDescent="0.3">
      <c r="A227" s="28"/>
      <c r="B227" s="28"/>
      <c r="C227" s="29">
        <f>[1]!thsiFinD("ths_constituent_ up_number_index",A227,"2025-7-28")</f>
        <v>0</v>
      </c>
      <c r="E227" s="28"/>
      <c r="F227" s="28"/>
    </row>
    <row r="228" spans="1:6" hidden="1" x14ac:dyDescent="0.3">
      <c r="A228" s="28"/>
      <c r="B228" s="28"/>
      <c r="C228" s="29">
        <f>[1]!thsiFinD("ths_constituent_ up_number_index",A228,"2025-7-28")</f>
        <v>0</v>
      </c>
      <c r="E228" s="28"/>
      <c r="F228" s="28"/>
    </row>
    <row r="229" spans="1:6" hidden="1" x14ac:dyDescent="0.3">
      <c r="A229" s="28"/>
      <c r="B229" s="28"/>
      <c r="C229" s="29">
        <f>[1]!thsiFinD("ths_constituent_ up_number_index",A229,"2025-7-28")</f>
        <v>0</v>
      </c>
      <c r="E229" s="28"/>
      <c r="F229" s="28"/>
    </row>
    <row r="230" spans="1:6" hidden="1" x14ac:dyDescent="0.3">
      <c r="A230" s="28"/>
      <c r="B230" s="28"/>
      <c r="C230" s="29">
        <f>[1]!thsiFinD("ths_constituent_ up_number_index",A230,"2025-7-28")</f>
        <v>0</v>
      </c>
      <c r="E230" s="28"/>
      <c r="F230" s="28"/>
    </row>
    <row r="231" spans="1:6" hidden="1" x14ac:dyDescent="0.3">
      <c r="A231" s="28"/>
      <c r="B231" s="28"/>
      <c r="C231" s="29">
        <f>[1]!thsiFinD("ths_constituent_ up_number_index",A231,"2025-7-28")</f>
        <v>0</v>
      </c>
      <c r="E231" s="28"/>
      <c r="F231" s="28"/>
    </row>
    <row r="232" spans="1:6" hidden="1" x14ac:dyDescent="0.3">
      <c r="A232" s="28"/>
      <c r="B232" s="28"/>
      <c r="C232" s="29">
        <f>[1]!thsiFinD("ths_constituent_ up_number_index",A232,"2025-7-28")</f>
        <v>0</v>
      </c>
      <c r="E232" s="28"/>
      <c r="F232" s="28"/>
    </row>
    <row r="233" spans="1:6" hidden="1" x14ac:dyDescent="0.3">
      <c r="A233" s="28"/>
      <c r="B233" s="28"/>
      <c r="C233" s="29">
        <f>[1]!thsiFinD("ths_constituent_ up_number_index",A233,"2025-7-28")</f>
        <v>0</v>
      </c>
      <c r="E233" s="28"/>
      <c r="F233" s="28"/>
    </row>
    <row r="234" spans="1:6" hidden="1" x14ac:dyDescent="0.3">
      <c r="A234" s="28"/>
      <c r="B234" s="28"/>
      <c r="C234" s="29">
        <f>[1]!thsiFinD("ths_constituent_ up_number_index",A234,"2025-7-28")</f>
        <v>0</v>
      </c>
      <c r="E234" s="28"/>
      <c r="F234" s="28"/>
    </row>
    <row r="235" spans="1:6" hidden="1" x14ac:dyDescent="0.3">
      <c r="A235" s="28"/>
      <c r="B235" s="28"/>
      <c r="C235" s="29">
        <f>[1]!thsiFinD("ths_constituent_ up_number_index",A235,"2025-7-28")</f>
        <v>0</v>
      </c>
      <c r="E235" s="28"/>
      <c r="F235" s="28"/>
    </row>
    <row r="236" spans="1:6" hidden="1" x14ac:dyDescent="0.3">
      <c r="A236" s="28"/>
      <c r="B236" s="28"/>
      <c r="C236" s="29">
        <f>[1]!thsiFinD("ths_constituent_ up_number_index",A236,"2025-7-28")</f>
        <v>0</v>
      </c>
      <c r="E236" s="28"/>
      <c r="F236" s="28"/>
    </row>
    <row r="237" spans="1:6" hidden="1" x14ac:dyDescent="0.3">
      <c r="A237" s="28"/>
      <c r="B237" s="28"/>
      <c r="C237" s="29">
        <f>[1]!thsiFinD("ths_constituent_ up_number_index",A237,"2025-7-28")</f>
        <v>0</v>
      </c>
      <c r="E237" s="28"/>
      <c r="F237" s="28"/>
    </row>
    <row r="238" spans="1:6" hidden="1" x14ac:dyDescent="0.3">
      <c r="A238" s="28"/>
      <c r="B238" s="28"/>
      <c r="C238" s="29">
        <f>[1]!thsiFinD("ths_constituent_ up_number_index",A238,"2025-7-28")</f>
        <v>0</v>
      </c>
      <c r="E238" s="28"/>
      <c r="F238" s="28"/>
    </row>
    <row r="239" spans="1:6" hidden="1" x14ac:dyDescent="0.3">
      <c r="A239" s="28"/>
      <c r="B239" s="28"/>
      <c r="C239" s="29">
        <f>[1]!thsiFinD("ths_constituent_ up_number_index",A239,"2025-7-28")</f>
        <v>0</v>
      </c>
      <c r="E239" s="28"/>
      <c r="F239" s="28"/>
    </row>
    <row r="240" spans="1:6" hidden="1" x14ac:dyDescent="0.3">
      <c r="A240" s="28"/>
      <c r="B240" s="28"/>
      <c r="C240" s="29">
        <f>[1]!thsiFinD("ths_constituent_ up_number_index",A240,"2025-7-28")</f>
        <v>0</v>
      </c>
      <c r="E240" s="28"/>
      <c r="F240" s="28"/>
    </row>
    <row r="241" spans="1:6" hidden="1" x14ac:dyDescent="0.3">
      <c r="A241" s="28"/>
      <c r="B241" s="28"/>
      <c r="C241" s="29">
        <f>[1]!thsiFinD("ths_constituent_ up_number_index",A241,"2025-7-28")</f>
        <v>0</v>
      </c>
      <c r="E241" s="28"/>
      <c r="F241" s="28"/>
    </row>
    <row r="242" spans="1:6" hidden="1" x14ac:dyDescent="0.3">
      <c r="A242" s="28"/>
      <c r="B242" s="28"/>
      <c r="C242" s="29">
        <f>[1]!thsiFinD("ths_constituent_ up_number_index",A242,"2025-7-28")</f>
        <v>0</v>
      </c>
      <c r="E242" s="28"/>
      <c r="F242" s="28"/>
    </row>
    <row r="243" spans="1:6" hidden="1" x14ac:dyDescent="0.3">
      <c r="A243" s="28"/>
      <c r="B243" s="28"/>
      <c r="C243" s="29">
        <f>[1]!thsiFinD("ths_constituent_ up_number_index",A243,"2025-7-28")</f>
        <v>0</v>
      </c>
      <c r="E243" s="28"/>
      <c r="F243" s="28"/>
    </row>
    <row r="244" spans="1:6" hidden="1" x14ac:dyDescent="0.3">
      <c r="A244" s="28"/>
      <c r="B244" s="28"/>
      <c r="C244" s="29">
        <f>[1]!thsiFinD("ths_constituent_ up_number_index",A244,"2025-7-28")</f>
        <v>0</v>
      </c>
      <c r="E244" s="28"/>
      <c r="F244" s="28"/>
    </row>
    <row r="245" spans="1:6" hidden="1" x14ac:dyDescent="0.3">
      <c r="A245" s="28"/>
      <c r="B245" s="28"/>
      <c r="C245" s="29">
        <f>[1]!thsiFinD("ths_constituent_ up_number_index",A245,"2025-7-28")</f>
        <v>0</v>
      </c>
      <c r="E245" s="28"/>
      <c r="F245" s="28"/>
    </row>
    <row r="246" spans="1:6" hidden="1" x14ac:dyDescent="0.3">
      <c r="A246" s="28"/>
      <c r="B246" s="28"/>
      <c r="C246" s="29">
        <f>[1]!thsiFinD("ths_constituent_ up_number_index",A246,"2025-7-28")</f>
        <v>0</v>
      </c>
      <c r="E246" s="28"/>
      <c r="F246" s="28"/>
    </row>
    <row r="247" spans="1:6" hidden="1" x14ac:dyDescent="0.3">
      <c r="A247" s="28"/>
      <c r="B247" s="28"/>
      <c r="C247" s="29">
        <f>[1]!thsiFinD("ths_constituent_ up_number_index",A247,"2025-7-28")</f>
        <v>0</v>
      </c>
      <c r="E247" s="28"/>
      <c r="F247" s="28"/>
    </row>
    <row r="248" spans="1:6" hidden="1" x14ac:dyDescent="0.3">
      <c r="A248" s="28"/>
      <c r="B248" s="28"/>
      <c r="C248" s="29">
        <f>[1]!thsiFinD("ths_constituent_ up_number_index",A248,"2025-7-28")</f>
        <v>0</v>
      </c>
      <c r="E248" s="28"/>
      <c r="F248" s="28"/>
    </row>
    <row r="249" spans="1:6" hidden="1" x14ac:dyDescent="0.3">
      <c r="A249" s="28"/>
      <c r="B249" s="28"/>
      <c r="C249" s="29">
        <f>[1]!thsiFinD("ths_constituent_ up_number_index",A249,"2025-7-28")</f>
        <v>0</v>
      </c>
      <c r="E249" s="28"/>
      <c r="F249" s="28"/>
    </row>
    <row r="250" spans="1:6" hidden="1" x14ac:dyDescent="0.3">
      <c r="A250" s="28"/>
      <c r="B250" s="28"/>
      <c r="C250" s="29">
        <f>[1]!thsiFinD("ths_constituent_ up_number_index",A250,"2025-7-28")</f>
        <v>0</v>
      </c>
      <c r="E250" s="28"/>
      <c r="F250" s="28"/>
    </row>
    <row r="251" spans="1:6" hidden="1" x14ac:dyDescent="0.3">
      <c r="A251" s="28"/>
      <c r="B251" s="28"/>
      <c r="C251" s="29">
        <f>[1]!thsiFinD("ths_constituent_ up_number_index",A251,"2025-7-28")</f>
        <v>0</v>
      </c>
      <c r="E251" s="28"/>
      <c r="F251" s="28"/>
    </row>
    <row r="252" spans="1:6" hidden="1" x14ac:dyDescent="0.3">
      <c r="A252" s="28"/>
      <c r="B252" s="28"/>
      <c r="C252" s="29">
        <f>[1]!thsiFinD("ths_constituent_ up_number_index",A252,"2025-7-28")</f>
        <v>0</v>
      </c>
      <c r="E252" s="28"/>
      <c r="F252" s="28"/>
    </row>
    <row r="253" spans="1:6" hidden="1" x14ac:dyDescent="0.3">
      <c r="A253" s="28"/>
      <c r="B253" s="28"/>
      <c r="C253" s="29">
        <f>[1]!thsiFinD("ths_constituent_ up_number_index",A253,"2025-7-28")</f>
        <v>0</v>
      </c>
      <c r="E253" s="28"/>
      <c r="F253" s="28"/>
    </row>
    <row r="254" spans="1:6" hidden="1" x14ac:dyDescent="0.3">
      <c r="A254" s="28"/>
      <c r="B254" s="28"/>
      <c r="C254" s="29">
        <f>[1]!thsiFinD("ths_constituent_ up_number_index",A254,"2025-7-28")</f>
        <v>0</v>
      </c>
      <c r="E254" s="28"/>
      <c r="F254" s="28"/>
    </row>
    <row r="255" spans="1:6" hidden="1" x14ac:dyDescent="0.3">
      <c r="A255" s="28"/>
      <c r="B255" s="28"/>
      <c r="C255" s="29">
        <f>[1]!thsiFinD("ths_constituent_ up_number_index",A255,"2025-7-28")</f>
        <v>0</v>
      </c>
      <c r="E255" s="28"/>
      <c r="F255" s="28"/>
    </row>
    <row r="256" spans="1:6" hidden="1" x14ac:dyDescent="0.3">
      <c r="A256" s="28"/>
      <c r="B256" s="28"/>
      <c r="C256" s="29">
        <f>[1]!thsiFinD("ths_constituent_ up_number_index",A256,"2025-7-28")</f>
        <v>0</v>
      </c>
      <c r="E256" s="28"/>
      <c r="F256" s="28"/>
    </row>
    <row r="257" spans="1:6" hidden="1" x14ac:dyDescent="0.3">
      <c r="A257" s="28"/>
      <c r="B257" s="28"/>
      <c r="C257" s="29">
        <f>[1]!thsiFinD("ths_constituent_ up_number_index",A257,"2025-7-28")</f>
        <v>0</v>
      </c>
      <c r="E257" s="28"/>
      <c r="F257" s="28"/>
    </row>
    <row r="258" spans="1:6" hidden="1" x14ac:dyDescent="0.3">
      <c r="A258" s="28"/>
      <c r="B258" s="28"/>
      <c r="C258" s="29">
        <f>[1]!thsiFinD("ths_constituent_ up_number_index",A258,"2025-7-28")</f>
        <v>0</v>
      </c>
      <c r="E258" s="28"/>
      <c r="F258" s="28"/>
    </row>
    <row r="259" spans="1:6" hidden="1" x14ac:dyDescent="0.3">
      <c r="A259" s="28"/>
      <c r="B259" s="28"/>
      <c r="C259" s="29">
        <f>[1]!thsiFinD("ths_constituent_ up_number_index",A259,"2025-7-28")</f>
        <v>0</v>
      </c>
      <c r="E259" s="28"/>
      <c r="F259" s="28"/>
    </row>
    <row r="260" spans="1:6" hidden="1" x14ac:dyDescent="0.3">
      <c r="A260" s="28"/>
      <c r="B260" s="28"/>
      <c r="C260" s="29">
        <f>[1]!thsiFinD("ths_constituent_ up_number_index",A260,"2025-7-28")</f>
        <v>0</v>
      </c>
      <c r="E260" s="28"/>
      <c r="F260" s="28"/>
    </row>
    <row r="261" spans="1:6" hidden="1" x14ac:dyDescent="0.3">
      <c r="A261" s="28"/>
      <c r="B261" s="28"/>
      <c r="C261" s="29">
        <f>[1]!thsiFinD("ths_constituent_ up_number_index",A261,"2025-7-28")</f>
        <v>0</v>
      </c>
      <c r="E261" s="28"/>
      <c r="F261" s="28"/>
    </row>
    <row r="262" spans="1:6" hidden="1" x14ac:dyDescent="0.3">
      <c r="A262" s="28"/>
      <c r="B262" s="28"/>
      <c r="C262" s="29">
        <f>[1]!thsiFinD("ths_constituent_ up_number_index",A262,"2025-7-28")</f>
        <v>0</v>
      </c>
      <c r="E262" s="28"/>
      <c r="F262" s="28"/>
    </row>
    <row r="263" spans="1:6" hidden="1" x14ac:dyDescent="0.3">
      <c r="A263" s="28"/>
      <c r="B263" s="28"/>
      <c r="C263" s="29">
        <f>[1]!thsiFinD("ths_constituent_ up_number_index",A263,"2025-7-28")</f>
        <v>0</v>
      </c>
      <c r="E263" s="28"/>
      <c r="F263" s="28"/>
    </row>
    <row r="264" spans="1:6" hidden="1" x14ac:dyDescent="0.3">
      <c r="A264" s="28"/>
      <c r="B264" s="28"/>
      <c r="C264" s="29">
        <f>[1]!thsiFinD("ths_constituent_ up_number_index",A264,"2025-7-28")</f>
        <v>0</v>
      </c>
      <c r="E264" s="28"/>
      <c r="F264" s="28"/>
    </row>
    <row r="265" spans="1:6" hidden="1" x14ac:dyDescent="0.3">
      <c r="A265" s="28"/>
      <c r="B265" s="28"/>
      <c r="C265" s="29">
        <f>[1]!thsiFinD("ths_constituent_ up_number_index",A265,"2025-7-28")</f>
        <v>0</v>
      </c>
      <c r="E265" s="28"/>
      <c r="F265" s="28"/>
    </row>
    <row r="266" spans="1:6" hidden="1" x14ac:dyDescent="0.3">
      <c r="A266" s="28"/>
      <c r="B266" s="28"/>
      <c r="C266" s="29">
        <f>[1]!thsiFinD("ths_constituent_ up_number_index",A266,"2025-7-28")</f>
        <v>0</v>
      </c>
      <c r="E266" s="28"/>
      <c r="F266" s="28"/>
    </row>
    <row r="267" spans="1:6" hidden="1" x14ac:dyDescent="0.3">
      <c r="A267" s="28"/>
      <c r="B267" s="28"/>
      <c r="C267" s="29">
        <f>[1]!thsiFinD("ths_constituent_ up_number_index",A267,"2025-7-28")</f>
        <v>0</v>
      </c>
      <c r="E267" s="28"/>
      <c r="F267" s="28"/>
    </row>
    <row r="268" spans="1:6" hidden="1" x14ac:dyDescent="0.3">
      <c r="A268" s="28"/>
      <c r="B268" s="28"/>
      <c r="C268" s="29">
        <f>[1]!thsiFinD("ths_constituent_ up_number_index",A268,"2025-7-28")</f>
        <v>0</v>
      </c>
      <c r="E268" s="28"/>
      <c r="F268" s="28"/>
    </row>
    <row r="269" spans="1:6" hidden="1" x14ac:dyDescent="0.3">
      <c r="A269" s="28"/>
      <c r="B269" s="28"/>
      <c r="C269" s="29">
        <f>[1]!thsiFinD("ths_constituent_ up_number_index",A269,"2025-7-28")</f>
        <v>0</v>
      </c>
      <c r="E269" s="28"/>
      <c r="F269" s="28"/>
    </row>
    <row r="270" spans="1:6" hidden="1" x14ac:dyDescent="0.3">
      <c r="A270" s="28"/>
      <c r="B270" s="28"/>
      <c r="C270" s="29">
        <f>[1]!thsiFinD("ths_constituent_ up_number_index",A270,"2025-7-28")</f>
        <v>0</v>
      </c>
      <c r="E270" s="28"/>
      <c r="F270" s="28"/>
    </row>
    <row r="271" spans="1:6" hidden="1" x14ac:dyDescent="0.3">
      <c r="A271" s="28"/>
      <c r="B271" s="28"/>
      <c r="C271" s="29">
        <f>[1]!thsiFinD("ths_constituent_ up_number_index",A271,"2025-7-28")</f>
        <v>0</v>
      </c>
      <c r="E271" s="28"/>
      <c r="F271" s="28"/>
    </row>
    <row r="272" spans="1:6" hidden="1" x14ac:dyDescent="0.3">
      <c r="A272" s="28"/>
      <c r="B272" s="28"/>
      <c r="C272" s="29">
        <f>[1]!thsiFinD("ths_constituent_ up_number_index",A272,"2025-7-28")</f>
        <v>0</v>
      </c>
      <c r="E272" s="28"/>
      <c r="F272" s="28"/>
    </row>
    <row r="273" spans="1:6" hidden="1" x14ac:dyDescent="0.3">
      <c r="A273" s="28"/>
      <c r="B273" s="28"/>
      <c r="C273" s="29">
        <f>[1]!thsiFinD("ths_constituent_ up_number_index",A273,"2025-7-28")</f>
        <v>0</v>
      </c>
      <c r="E273" s="28"/>
      <c r="F273" s="28"/>
    </row>
    <row r="274" spans="1:6" hidden="1" x14ac:dyDescent="0.3">
      <c r="A274" s="28"/>
      <c r="B274" s="28"/>
      <c r="C274" s="29">
        <f>[1]!thsiFinD("ths_constituent_ up_number_index",A274,"2025-7-28")</f>
        <v>0</v>
      </c>
      <c r="E274" s="28"/>
      <c r="F274" s="28"/>
    </row>
    <row r="275" spans="1:6" hidden="1" x14ac:dyDescent="0.3">
      <c r="A275" s="28"/>
      <c r="B275" s="28"/>
      <c r="C275" s="29">
        <f>[1]!thsiFinD("ths_constituent_ up_number_index",A275,"2025-7-28")</f>
        <v>0</v>
      </c>
      <c r="E275" s="28"/>
      <c r="F275" s="28"/>
    </row>
    <row r="276" spans="1:6" hidden="1" x14ac:dyDescent="0.3">
      <c r="A276" s="28"/>
      <c r="B276" s="28"/>
      <c r="C276" s="29">
        <f>[1]!thsiFinD("ths_constituent_ up_number_index",A276,"2025-7-28")</f>
        <v>0</v>
      </c>
      <c r="E276" s="28"/>
      <c r="F276" s="28"/>
    </row>
    <row r="277" spans="1:6" hidden="1" x14ac:dyDescent="0.3">
      <c r="A277" s="28"/>
      <c r="B277" s="28"/>
      <c r="C277" s="29">
        <f>[1]!thsiFinD("ths_constituent_ up_number_index",A277,"2025-7-28")</f>
        <v>0</v>
      </c>
      <c r="E277" s="28"/>
      <c r="F277" s="28"/>
    </row>
    <row r="278" spans="1:6" hidden="1" x14ac:dyDescent="0.3">
      <c r="A278" s="28"/>
      <c r="B278" s="28"/>
      <c r="C278" s="29">
        <f>[1]!thsiFinD("ths_constituent_ up_number_index",A278,"2025-7-28")</f>
        <v>0</v>
      </c>
      <c r="E278" s="28"/>
      <c r="F278" s="28"/>
    </row>
    <row r="279" spans="1:6" hidden="1" x14ac:dyDescent="0.3">
      <c r="A279" s="28"/>
      <c r="B279" s="28"/>
      <c r="C279" s="29">
        <f>[1]!thsiFinD("ths_constituent_ up_number_index",A279,"2025-7-28")</f>
        <v>0</v>
      </c>
      <c r="E279" s="28"/>
      <c r="F279" s="28"/>
    </row>
    <row r="280" spans="1:6" hidden="1" x14ac:dyDescent="0.3">
      <c r="A280" s="28"/>
      <c r="B280" s="28"/>
      <c r="C280" s="29">
        <f>[1]!thsiFinD("ths_constituent_ up_number_index",A280,"2025-7-28")</f>
        <v>0</v>
      </c>
      <c r="E280" s="28"/>
      <c r="F280" s="28"/>
    </row>
    <row r="281" spans="1:6" hidden="1" x14ac:dyDescent="0.3">
      <c r="A281" s="28"/>
      <c r="B281" s="28"/>
      <c r="C281" s="29">
        <f>[1]!thsiFinD("ths_constituent_ up_number_index",A281,"2025-7-28")</f>
        <v>0</v>
      </c>
      <c r="E281" s="28"/>
      <c r="F281" s="28"/>
    </row>
    <row r="282" spans="1:6" hidden="1" x14ac:dyDescent="0.3">
      <c r="A282" s="28"/>
      <c r="B282" s="28"/>
      <c r="C282" s="29">
        <f>[1]!thsiFinD("ths_constituent_ up_number_index",A282,"2025-7-28")</f>
        <v>0</v>
      </c>
      <c r="E282" s="28"/>
      <c r="F282" s="28"/>
    </row>
    <row r="283" spans="1:6" hidden="1" x14ac:dyDescent="0.3">
      <c r="A283" s="28"/>
      <c r="B283" s="28"/>
      <c r="C283" s="29">
        <f>[1]!thsiFinD("ths_constituent_ up_number_index",A283,"2025-7-28")</f>
        <v>0</v>
      </c>
      <c r="E283" s="28"/>
      <c r="F283" s="28"/>
    </row>
    <row r="284" spans="1:6" hidden="1" x14ac:dyDescent="0.3">
      <c r="A284" s="28"/>
      <c r="B284" s="28"/>
      <c r="C284" s="29">
        <f>[1]!thsiFinD("ths_constituent_ up_number_index",A284,"2025-7-28")</f>
        <v>0</v>
      </c>
      <c r="E284" s="28"/>
      <c r="F284" s="28"/>
    </row>
    <row r="285" spans="1:6" hidden="1" x14ac:dyDescent="0.3">
      <c r="A285" s="28"/>
      <c r="B285" s="28"/>
      <c r="C285" s="29">
        <f>[1]!thsiFinD("ths_constituent_ up_number_index",A285,"2025-7-28")</f>
        <v>0</v>
      </c>
      <c r="E285" s="28"/>
      <c r="F285" s="28"/>
    </row>
    <row r="286" spans="1:6" hidden="1" x14ac:dyDescent="0.3">
      <c r="A286" s="28"/>
      <c r="B286" s="28"/>
      <c r="C286" s="29">
        <f>[1]!thsiFinD("ths_constituent_ up_number_index",A286,"2025-7-28")</f>
        <v>0</v>
      </c>
      <c r="E286" s="28"/>
      <c r="F286" s="28"/>
    </row>
    <row r="287" spans="1:6" hidden="1" x14ac:dyDescent="0.3">
      <c r="A287" s="28"/>
      <c r="B287" s="28"/>
      <c r="C287" s="29">
        <f>[1]!thsiFinD("ths_constituent_ up_number_index",A287,"2025-7-28")</f>
        <v>0</v>
      </c>
      <c r="E287" s="28"/>
      <c r="F287" s="28"/>
    </row>
    <row r="288" spans="1:6" hidden="1" x14ac:dyDescent="0.3">
      <c r="A288" s="28"/>
      <c r="B288" s="28"/>
      <c r="C288" s="29">
        <f>[1]!thsiFinD("ths_constituent_ up_number_index",A288,"2025-7-28")</f>
        <v>0</v>
      </c>
      <c r="E288" s="28"/>
      <c r="F288" s="28"/>
    </row>
    <row r="289" spans="1:6" hidden="1" x14ac:dyDescent="0.3">
      <c r="A289" s="28"/>
      <c r="B289" s="28"/>
      <c r="C289" s="29">
        <f>[1]!thsiFinD("ths_constituent_ up_number_index",A289,"2025-7-28")</f>
        <v>0</v>
      </c>
      <c r="E289" s="28"/>
      <c r="F289" s="28"/>
    </row>
    <row r="290" spans="1:6" hidden="1" x14ac:dyDescent="0.3">
      <c r="A290" s="28"/>
      <c r="B290" s="28"/>
      <c r="C290" s="29">
        <f>[1]!thsiFinD("ths_constituent_ up_number_index",A290,"2025-7-28")</f>
        <v>0</v>
      </c>
      <c r="E290" s="28"/>
      <c r="F290" s="28"/>
    </row>
    <row r="291" spans="1:6" hidden="1" x14ac:dyDescent="0.3">
      <c r="A291" s="28"/>
      <c r="B291" s="28"/>
      <c r="C291" s="29">
        <f>[1]!thsiFinD("ths_constituent_ up_number_index",A291,"2025-7-28")</f>
        <v>0</v>
      </c>
      <c r="E291" s="28"/>
      <c r="F291" s="28"/>
    </row>
    <row r="292" spans="1:6" hidden="1" x14ac:dyDescent="0.3">
      <c r="A292" s="28"/>
      <c r="B292" s="28"/>
      <c r="C292" s="29">
        <f>[1]!thsiFinD("ths_constituent_ up_number_index",A292,"2025-7-28")</f>
        <v>0</v>
      </c>
      <c r="E292" s="28"/>
      <c r="F292" s="28"/>
    </row>
    <row r="293" spans="1:6" hidden="1" x14ac:dyDescent="0.3">
      <c r="A293" s="28"/>
      <c r="B293" s="28"/>
      <c r="C293" s="29">
        <f>[1]!thsiFinD("ths_constituent_ up_number_index",A293,"2025-7-28")</f>
        <v>0</v>
      </c>
      <c r="E293" s="28"/>
      <c r="F293" s="28"/>
    </row>
    <row r="294" spans="1:6" hidden="1" x14ac:dyDescent="0.3">
      <c r="A294" s="28"/>
      <c r="B294" s="28"/>
      <c r="C294" s="29">
        <f>[1]!thsiFinD("ths_constituent_ up_number_index",A294,"2025-7-28")</f>
        <v>0</v>
      </c>
      <c r="E294" s="28"/>
      <c r="F294" s="28"/>
    </row>
    <row r="295" spans="1:6" hidden="1" x14ac:dyDescent="0.3">
      <c r="A295" s="28"/>
      <c r="B295" s="28"/>
      <c r="C295" s="29">
        <f>[1]!thsiFinD("ths_constituent_ up_number_index",A295,"2025-7-28")</f>
        <v>0</v>
      </c>
      <c r="E295" s="28"/>
      <c r="F295" s="28"/>
    </row>
    <row r="296" spans="1:6" hidden="1" x14ac:dyDescent="0.3">
      <c r="A296" s="28"/>
      <c r="B296" s="28"/>
      <c r="C296" s="29">
        <f>[1]!thsiFinD("ths_constituent_ up_number_index",A296,"2025-7-28")</f>
        <v>0</v>
      </c>
      <c r="E296" s="28"/>
      <c r="F296" s="28"/>
    </row>
    <row r="297" spans="1:6" hidden="1" x14ac:dyDescent="0.3">
      <c r="A297" s="28"/>
      <c r="B297" s="28"/>
      <c r="C297" s="29">
        <f>[1]!thsiFinD("ths_constituent_ up_number_index",A297,"2025-7-28")</f>
        <v>0</v>
      </c>
      <c r="E297" s="28"/>
      <c r="F297" s="28"/>
    </row>
    <row r="298" spans="1:6" hidden="1" x14ac:dyDescent="0.3">
      <c r="A298" s="28"/>
      <c r="B298" s="28"/>
      <c r="C298" s="29">
        <f>[1]!thsiFinD("ths_constituent_ up_number_index",A298,"2025-7-28")</f>
        <v>0</v>
      </c>
      <c r="E298" s="28"/>
      <c r="F298" s="28"/>
    </row>
    <row r="299" spans="1:6" hidden="1" x14ac:dyDescent="0.3">
      <c r="A299" s="28"/>
      <c r="B299" s="28"/>
      <c r="C299" s="29">
        <f>[1]!thsiFinD("ths_constituent_ up_number_index",A299,"2025-7-28")</f>
        <v>0</v>
      </c>
      <c r="E299" s="28"/>
      <c r="F299" s="28"/>
    </row>
    <row r="300" spans="1:6" hidden="1" x14ac:dyDescent="0.3">
      <c r="A300" s="28"/>
      <c r="B300" s="28"/>
      <c r="C300" s="29">
        <f>[1]!thsiFinD("ths_constituent_ up_number_index",A300,"2025-7-28")</f>
        <v>0</v>
      </c>
      <c r="E300" s="28"/>
      <c r="F300" s="28"/>
    </row>
    <row r="301" spans="1:6" hidden="1" x14ac:dyDescent="0.3">
      <c r="A301" s="28"/>
      <c r="B301" s="28"/>
      <c r="C301" s="29">
        <f>[1]!thsiFinD("ths_constituent_ up_number_index",A301,"2025-7-28")</f>
        <v>0</v>
      </c>
      <c r="E301" s="28"/>
      <c r="F301" s="28"/>
    </row>
    <row r="302" spans="1:6" hidden="1" x14ac:dyDescent="0.3">
      <c r="A302" s="28"/>
      <c r="B302" s="28"/>
      <c r="C302" s="29">
        <f>[1]!thsiFinD("ths_constituent_ up_number_index",A302,"2025-7-28")</f>
        <v>0</v>
      </c>
      <c r="E302" s="28"/>
      <c r="F302" s="28"/>
    </row>
    <row r="303" spans="1:6" hidden="1" x14ac:dyDescent="0.3">
      <c r="A303" s="28"/>
      <c r="B303" s="28"/>
      <c r="C303" s="29">
        <f>[1]!thsiFinD("ths_constituent_ up_number_index",A303,"2025-7-28")</f>
        <v>0</v>
      </c>
      <c r="E303" s="28"/>
      <c r="F303" s="28"/>
    </row>
    <row r="304" spans="1:6" hidden="1" x14ac:dyDescent="0.3">
      <c r="A304" s="28"/>
      <c r="B304" s="28"/>
      <c r="C304" s="29">
        <f>[1]!thsiFinD("ths_constituent_ up_number_index",A304,"2025-7-28")</f>
        <v>0</v>
      </c>
      <c r="E304" s="28"/>
      <c r="F304" s="28"/>
    </row>
    <row r="305" spans="1:6" hidden="1" x14ac:dyDescent="0.3">
      <c r="A305" s="28"/>
      <c r="B305" s="28"/>
      <c r="C305" s="29">
        <f>[1]!thsiFinD("ths_constituent_ up_number_index",A305,"2025-7-28")</f>
        <v>0</v>
      </c>
      <c r="E305" s="28"/>
      <c r="F305" s="28"/>
    </row>
    <row r="306" spans="1:6" hidden="1" x14ac:dyDescent="0.3">
      <c r="A306" s="28"/>
      <c r="B306" s="28"/>
      <c r="C306" s="29">
        <f>[1]!thsiFinD("ths_constituent_ up_number_index",A306,"2025-7-28")</f>
        <v>0</v>
      </c>
      <c r="E306" s="28"/>
      <c r="F306" s="28"/>
    </row>
    <row r="307" spans="1:6" hidden="1" x14ac:dyDescent="0.3">
      <c r="A307" s="28"/>
      <c r="B307" s="28"/>
      <c r="C307" s="29">
        <f>[1]!thsiFinD("ths_constituent_ up_number_index",A307,"2025-7-28")</f>
        <v>0</v>
      </c>
      <c r="E307" s="28"/>
      <c r="F307" s="28"/>
    </row>
    <row r="308" spans="1:6" hidden="1" x14ac:dyDescent="0.3">
      <c r="A308" s="28"/>
      <c r="B308" s="28"/>
      <c r="C308" s="29">
        <f>[1]!thsiFinD("ths_constituent_ up_number_index",A308,"2025-7-28")</f>
        <v>0</v>
      </c>
      <c r="E308" s="28"/>
      <c r="F308" s="28"/>
    </row>
    <row r="309" spans="1:6" hidden="1" x14ac:dyDescent="0.3">
      <c r="A309" s="28"/>
      <c r="B309" s="28"/>
      <c r="C309" s="29">
        <f>[1]!thsiFinD("ths_constituent_ up_number_index",A309,"2025-7-28")</f>
        <v>0</v>
      </c>
      <c r="E309" s="28"/>
      <c r="F309" s="28"/>
    </row>
    <row r="310" spans="1:6" hidden="1" x14ac:dyDescent="0.3">
      <c r="A310" s="28"/>
      <c r="B310" s="28"/>
      <c r="C310" s="29">
        <f>[1]!thsiFinD("ths_constituent_ up_number_index",A310,"2025-7-28")</f>
        <v>0</v>
      </c>
      <c r="E310" s="28"/>
      <c r="F310" s="28"/>
    </row>
    <row r="311" spans="1:6" hidden="1" x14ac:dyDescent="0.3">
      <c r="A311" s="28"/>
      <c r="B311" s="28"/>
      <c r="C311" s="29">
        <f>[1]!thsiFinD("ths_constituent_ up_number_index",A311,"2025-7-28")</f>
        <v>0</v>
      </c>
      <c r="E311" s="28"/>
      <c r="F311" s="28"/>
    </row>
    <row r="312" spans="1:6" hidden="1" x14ac:dyDescent="0.3">
      <c r="A312" s="28"/>
      <c r="B312" s="28"/>
      <c r="C312" s="29">
        <f>[1]!thsiFinD("ths_constituent_ up_number_index",A312,"2025-7-28")</f>
        <v>0</v>
      </c>
      <c r="E312" s="28"/>
      <c r="F312" s="28"/>
    </row>
    <row r="313" spans="1:6" hidden="1" x14ac:dyDescent="0.3">
      <c r="A313" s="28"/>
      <c r="B313" s="28"/>
      <c r="C313" s="29">
        <f>[1]!thsiFinD("ths_constituent_ up_number_index",A313,"2025-7-28")</f>
        <v>0</v>
      </c>
      <c r="E313" s="28"/>
      <c r="F313" s="28"/>
    </row>
    <row r="314" spans="1:6" hidden="1" x14ac:dyDescent="0.3">
      <c r="A314" s="28"/>
      <c r="B314" s="28"/>
      <c r="C314" s="29">
        <f>[1]!thsiFinD("ths_constituent_ up_number_index",A314,"2025-7-28")</f>
        <v>0</v>
      </c>
      <c r="E314" s="28"/>
      <c r="F314" s="28"/>
    </row>
    <row r="315" spans="1:6" hidden="1" x14ac:dyDescent="0.3">
      <c r="A315" s="28"/>
      <c r="B315" s="28"/>
      <c r="C315" s="29">
        <f>[1]!thsiFinD("ths_constituent_ up_number_index",A315,"2025-7-28")</f>
        <v>0</v>
      </c>
      <c r="E315" s="28"/>
      <c r="F315" s="28"/>
    </row>
    <row r="316" spans="1:6" hidden="1" x14ac:dyDescent="0.3">
      <c r="A316" s="28"/>
      <c r="B316" s="28"/>
      <c r="C316" s="29">
        <f>[1]!thsiFinD("ths_constituent_ up_number_index",A316,"2025-7-28")</f>
        <v>0</v>
      </c>
      <c r="E316" s="28"/>
      <c r="F316" s="28"/>
    </row>
    <row r="317" spans="1:6" hidden="1" x14ac:dyDescent="0.3">
      <c r="A317" s="28"/>
      <c r="B317" s="28"/>
      <c r="C317" s="29">
        <f>[1]!thsiFinD("ths_constituent_ up_number_index",A317,"2025-7-28")</f>
        <v>0</v>
      </c>
      <c r="E317" s="28"/>
      <c r="F317" s="28"/>
    </row>
    <row r="318" spans="1:6" hidden="1" x14ac:dyDescent="0.3">
      <c r="A318" s="28"/>
      <c r="B318" s="28"/>
      <c r="C318" s="29">
        <f>[1]!thsiFinD("ths_constituent_ up_number_index",A318,"2025-7-28")</f>
        <v>0</v>
      </c>
      <c r="E318" s="28"/>
      <c r="F318" s="28"/>
    </row>
    <row r="319" spans="1:6" hidden="1" x14ac:dyDescent="0.3">
      <c r="A319" s="28"/>
      <c r="B319" s="28"/>
      <c r="C319" s="29">
        <f>[1]!thsiFinD("ths_constituent_ up_number_index",A319,"2025-7-28")</f>
        <v>0</v>
      </c>
      <c r="E319" s="28"/>
      <c r="F319" s="28"/>
    </row>
    <row r="320" spans="1:6" hidden="1" x14ac:dyDescent="0.3">
      <c r="A320" s="28"/>
      <c r="B320" s="28"/>
      <c r="C320" s="29">
        <f>[1]!thsiFinD("ths_constituent_ up_number_index",A320,"2025-7-28")</f>
        <v>0</v>
      </c>
      <c r="E320" s="28"/>
      <c r="F320" s="28"/>
    </row>
    <row r="321" spans="1:6" hidden="1" x14ac:dyDescent="0.3">
      <c r="A321" s="28"/>
      <c r="B321" s="28"/>
      <c r="C321" s="29">
        <f>[1]!thsiFinD("ths_constituent_ up_number_index",A321,"2025-7-28")</f>
        <v>0</v>
      </c>
      <c r="E321" s="28"/>
      <c r="F321" s="28"/>
    </row>
    <row r="322" spans="1:6" hidden="1" x14ac:dyDescent="0.3">
      <c r="A322" s="28"/>
      <c r="B322" s="28"/>
      <c r="C322" s="29">
        <f>[1]!thsiFinD("ths_constituent_ up_number_index",A322,"2025-7-28")</f>
        <v>0</v>
      </c>
      <c r="E322" s="28"/>
      <c r="F322" s="28"/>
    </row>
    <row r="323" spans="1:6" hidden="1" x14ac:dyDescent="0.3">
      <c r="A323" s="28"/>
      <c r="B323" s="28"/>
      <c r="C323" s="29">
        <f>[1]!thsiFinD("ths_constituent_ up_number_index",A323,"2025-7-28")</f>
        <v>0</v>
      </c>
      <c r="E323" s="28"/>
      <c r="F323" s="28"/>
    </row>
    <row r="324" spans="1:6" hidden="1" x14ac:dyDescent="0.3">
      <c r="A324" s="28"/>
      <c r="B324" s="28"/>
      <c r="C324" s="29">
        <f>[1]!thsiFinD("ths_constituent_ up_number_index",A324,"2025-7-28")</f>
        <v>0</v>
      </c>
      <c r="E324" s="28"/>
      <c r="F324" s="28"/>
    </row>
    <row r="325" spans="1:6" hidden="1" x14ac:dyDescent="0.3">
      <c r="A325" s="28"/>
      <c r="B325" s="28"/>
      <c r="C325" s="29">
        <f>[1]!thsiFinD("ths_constituent_ up_number_index",A325,"2025-7-28")</f>
        <v>0</v>
      </c>
      <c r="E325" s="28"/>
      <c r="F325" s="28"/>
    </row>
    <row r="326" spans="1:6" hidden="1" x14ac:dyDescent="0.3">
      <c r="A326" s="28"/>
      <c r="B326" s="28"/>
      <c r="C326" s="29">
        <f>[1]!thsiFinD("ths_constituent_ up_number_index",A326,"2025-7-28")</f>
        <v>0</v>
      </c>
      <c r="E326" s="28"/>
      <c r="F326" s="28"/>
    </row>
    <row r="327" spans="1:6" hidden="1" x14ac:dyDescent="0.3">
      <c r="A327" s="28"/>
      <c r="B327" s="28"/>
      <c r="C327" s="29">
        <f>[1]!thsiFinD("ths_constituent_ up_number_index",A327,"2025-7-28")</f>
        <v>0</v>
      </c>
      <c r="E327" s="28"/>
      <c r="F327" s="28"/>
    </row>
    <row r="328" spans="1:6" hidden="1" x14ac:dyDescent="0.3">
      <c r="A328" s="28"/>
      <c r="B328" s="28"/>
      <c r="C328" s="29">
        <f>[1]!thsiFinD("ths_constituent_ up_number_index",A328,"2025-7-28")</f>
        <v>0</v>
      </c>
      <c r="E328" s="28"/>
      <c r="F328" s="28"/>
    </row>
    <row r="329" spans="1:6" hidden="1" x14ac:dyDescent="0.3">
      <c r="A329" s="28"/>
      <c r="B329" s="28"/>
      <c r="C329" s="29">
        <f>[1]!thsiFinD("ths_constituent_ up_number_index",A329,"2025-7-28")</f>
        <v>0</v>
      </c>
      <c r="E329" s="28"/>
      <c r="F329" s="28"/>
    </row>
    <row r="330" spans="1:6" hidden="1" x14ac:dyDescent="0.3">
      <c r="A330" s="28"/>
      <c r="B330" s="28"/>
      <c r="C330" s="29">
        <f>[1]!thsiFinD("ths_constituent_ up_number_index",A330,"2025-7-28")</f>
        <v>0</v>
      </c>
      <c r="E330" s="28"/>
      <c r="F330" s="28"/>
    </row>
    <row r="331" spans="1:6" hidden="1" x14ac:dyDescent="0.3">
      <c r="A331" s="28"/>
      <c r="B331" s="28"/>
      <c r="C331" s="29">
        <f>[1]!thsiFinD("ths_constituent_ up_number_index",A331,"2025-7-28")</f>
        <v>0</v>
      </c>
      <c r="E331" s="28"/>
      <c r="F331" s="28"/>
    </row>
    <row r="332" spans="1:6" hidden="1" x14ac:dyDescent="0.3">
      <c r="A332" s="28"/>
      <c r="B332" s="28"/>
      <c r="C332" s="29">
        <f>[1]!thsiFinD("ths_constituent_ up_number_index",A332,"2025-7-28")</f>
        <v>0</v>
      </c>
    </row>
    <row r="333" spans="1:6" hidden="1" x14ac:dyDescent="0.3">
      <c r="A333" s="28"/>
      <c r="B333" s="28"/>
      <c r="C333" s="29">
        <f>[1]!thsiFinD("ths_constituent_ up_number_index",A333,"2025-7-28")</f>
        <v>0</v>
      </c>
    </row>
    <row r="334" spans="1:6" hidden="1" x14ac:dyDescent="0.3">
      <c r="A334" s="28"/>
      <c r="B334" s="28"/>
      <c r="C334" s="29">
        <f>[1]!thsiFinD("ths_constituent_ up_number_index",A334,"2025-7-28")</f>
        <v>0</v>
      </c>
    </row>
    <row r="335" spans="1:6" hidden="1" x14ac:dyDescent="0.3">
      <c r="A335" s="28"/>
      <c r="B335" s="28"/>
      <c r="C335" s="29">
        <f>[1]!thsiFinD("ths_constituent_ up_number_index",A335,"2025-7-28")</f>
        <v>0</v>
      </c>
    </row>
    <row r="336" spans="1:6" hidden="1" x14ac:dyDescent="0.3">
      <c r="A336" s="28"/>
      <c r="B336" s="28"/>
      <c r="C336" s="29">
        <f>[1]!thsiFinD("ths_constituent_ up_number_index",A336,"2025-7-28")</f>
        <v>0</v>
      </c>
    </row>
    <row r="337" spans="1:3" hidden="1" x14ac:dyDescent="0.3">
      <c r="A337" s="28"/>
      <c r="B337" s="28"/>
      <c r="C337" s="29">
        <f>[1]!thsiFinD("ths_constituent_ up_number_index",A337,"2025-7-28")</f>
        <v>0</v>
      </c>
    </row>
    <row r="338" spans="1:3" hidden="1" x14ac:dyDescent="0.3">
      <c r="A338" s="28"/>
      <c r="B338" s="28"/>
      <c r="C338" s="29">
        <f>[1]!thsiFinD("ths_constituent_ up_number_index",A338,"2025-7-28")</f>
        <v>0</v>
      </c>
    </row>
    <row r="339" spans="1:3" hidden="1" x14ac:dyDescent="0.3">
      <c r="A339" s="28"/>
      <c r="B339" s="28"/>
      <c r="C339" s="29">
        <f>[1]!thsiFinD("ths_constituent_ up_number_index",A339,"2025-7-28")</f>
        <v>0</v>
      </c>
    </row>
    <row r="340" spans="1:3" hidden="1" x14ac:dyDescent="0.3">
      <c r="A340" s="28"/>
      <c r="B340" s="28"/>
      <c r="C340" s="29">
        <f>[1]!thsiFinD("ths_constituent_ up_number_index",A340,"2025-7-28")</f>
        <v>0</v>
      </c>
    </row>
    <row r="341" spans="1:3" hidden="1" x14ac:dyDescent="0.3">
      <c r="A341" s="28"/>
      <c r="B341" s="28"/>
      <c r="C341" s="29">
        <f>[1]!thsiFinD("ths_constituent_ up_number_index",A341,"2025-7-28")</f>
        <v>0</v>
      </c>
    </row>
    <row r="342" spans="1:3" hidden="1" x14ac:dyDescent="0.3">
      <c r="A342" s="28"/>
      <c r="B342" s="28"/>
      <c r="C342" s="29">
        <f>[1]!thsiFinD("ths_constituent_ up_number_index",A342,"2025-7-28")</f>
        <v>0</v>
      </c>
    </row>
    <row r="343" spans="1:3" hidden="1" x14ac:dyDescent="0.3">
      <c r="A343" s="28"/>
      <c r="B343" s="28"/>
      <c r="C343" s="29">
        <f>[1]!thsiFinD("ths_constituent_ up_number_index",A343,"2025-7-28")</f>
        <v>0</v>
      </c>
    </row>
    <row r="344" spans="1:3" hidden="1" x14ac:dyDescent="0.3">
      <c r="A344" s="28"/>
      <c r="B344" s="28"/>
      <c r="C344" s="29">
        <f>[1]!thsiFinD("ths_constituent_ up_number_index",A344,"2025-7-28")</f>
        <v>0</v>
      </c>
    </row>
    <row r="345" spans="1:3" hidden="1" x14ac:dyDescent="0.3">
      <c r="A345" s="28"/>
      <c r="B345" s="28"/>
      <c r="C345" s="29">
        <f>[1]!thsiFinD("ths_constituent_ up_number_index",A345,"2025-7-28")</f>
        <v>0</v>
      </c>
    </row>
    <row r="346" spans="1:3" hidden="1" x14ac:dyDescent="0.3">
      <c r="A346" s="28"/>
      <c r="B346" s="28"/>
      <c r="C346" s="29">
        <f>[1]!thsiFinD("ths_constituent_ up_number_index",A346,"2025-7-28")</f>
        <v>0</v>
      </c>
    </row>
    <row r="347" spans="1:3" hidden="1" x14ac:dyDescent="0.3">
      <c r="A347" s="28"/>
      <c r="B347" s="28"/>
      <c r="C347" s="29">
        <f>[1]!thsiFinD("ths_constituent_ up_number_index",A347,"2025-7-28")</f>
        <v>0</v>
      </c>
    </row>
    <row r="348" spans="1:3" hidden="1" x14ac:dyDescent="0.3">
      <c r="A348" s="28"/>
      <c r="B348" s="28"/>
      <c r="C348" s="29">
        <f>[1]!thsiFinD("ths_constituent_ up_number_index",A348,"2025-7-28")</f>
        <v>0</v>
      </c>
    </row>
    <row r="349" spans="1:3" hidden="1" x14ac:dyDescent="0.3">
      <c r="A349" s="28"/>
      <c r="B349" s="28"/>
      <c r="C349" s="29">
        <f>[1]!thsiFinD("ths_constituent_ up_number_index",A349,"2025-7-28")</f>
        <v>0</v>
      </c>
    </row>
    <row r="350" spans="1:3" hidden="1" x14ac:dyDescent="0.3">
      <c r="A350" s="28"/>
      <c r="B350" s="28"/>
      <c r="C350" s="29">
        <f>[1]!thsiFinD("ths_constituent_ up_number_index",A350,"2025-7-28")</f>
        <v>0</v>
      </c>
    </row>
    <row r="351" spans="1:3" hidden="1" x14ac:dyDescent="0.3">
      <c r="A351" s="28"/>
      <c r="B351" s="28"/>
      <c r="C351" s="29">
        <f>[1]!thsiFinD("ths_constituent_ up_number_index",A351,"2025-7-28")</f>
        <v>0</v>
      </c>
    </row>
    <row r="352" spans="1:3" hidden="1" x14ac:dyDescent="0.3">
      <c r="A352" s="28"/>
      <c r="B352" s="28"/>
      <c r="C352" s="29">
        <f>[1]!thsiFinD("ths_constituent_ up_number_index",A352,"2025-7-28")</f>
        <v>0</v>
      </c>
    </row>
    <row r="353" spans="1:3" hidden="1" x14ac:dyDescent="0.3">
      <c r="A353" s="28"/>
      <c r="B353" s="28"/>
      <c r="C353" s="29">
        <f>[1]!thsiFinD("ths_constituent_ up_number_index",A353,"2025-7-28")</f>
        <v>0</v>
      </c>
    </row>
    <row r="354" spans="1:3" hidden="1" x14ac:dyDescent="0.3">
      <c r="A354" s="28"/>
      <c r="B354" s="28"/>
      <c r="C354" s="29">
        <f>[1]!thsiFinD("ths_constituent_ up_number_index",A354,"2025-7-28")</f>
        <v>0</v>
      </c>
    </row>
    <row r="355" spans="1:3" hidden="1" x14ac:dyDescent="0.3">
      <c r="A355" s="28"/>
      <c r="B355" s="28"/>
      <c r="C355" s="29">
        <f>[1]!thsiFinD("ths_constituent_ up_number_index",A355,"2025-7-28")</f>
        <v>0</v>
      </c>
    </row>
    <row r="356" spans="1:3" hidden="1" x14ac:dyDescent="0.3">
      <c r="A356" s="28"/>
      <c r="B356" s="28"/>
      <c r="C356" s="29">
        <f>[1]!thsiFinD("ths_constituent_ up_number_index",A356,"2025-7-28")</f>
        <v>0</v>
      </c>
    </row>
    <row r="357" spans="1:3" hidden="1" x14ac:dyDescent="0.3">
      <c r="A357" s="28"/>
      <c r="B357" s="28"/>
      <c r="C357" s="29">
        <f>[1]!thsiFinD("ths_constituent_ up_number_index",A357,"2025-7-28")</f>
        <v>0</v>
      </c>
    </row>
    <row r="358" spans="1:3" hidden="1" x14ac:dyDescent="0.3">
      <c r="A358" s="28"/>
      <c r="B358" s="28"/>
      <c r="C358" s="29">
        <f>[1]!thsiFinD("ths_constituent_ up_number_index",A358,"2025-7-28")</f>
        <v>0</v>
      </c>
    </row>
    <row r="359" spans="1:3" hidden="1" x14ac:dyDescent="0.3">
      <c r="A359" s="28"/>
      <c r="B359" s="28"/>
      <c r="C359" s="29">
        <f>[1]!thsiFinD("ths_constituent_ up_number_index",A359,"2025-7-28")</f>
        <v>0</v>
      </c>
    </row>
    <row r="360" spans="1:3" hidden="1" x14ac:dyDescent="0.3">
      <c r="A360" s="28"/>
      <c r="B360" s="28"/>
      <c r="C360" s="29">
        <f>[1]!thsiFinD("ths_constituent_ up_number_index",A360,"2025-7-28")</f>
        <v>0</v>
      </c>
    </row>
    <row r="361" spans="1:3" hidden="1" x14ac:dyDescent="0.3">
      <c r="A361" s="28"/>
      <c r="B361" s="28"/>
      <c r="C361" s="29">
        <f>[1]!thsiFinD("ths_constituent_ up_number_index",A361,"2025-7-28")</f>
        <v>0</v>
      </c>
    </row>
    <row r="362" spans="1:3" hidden="1" x14ac:dyDescent="0.3">
      <c r="A362" s="28"/>
      <c r="B362" s="28"/>
      <c r="C362" s="29">
        <f>[1]!thsiFinD("ths_constituent_ up_number_index",A362,"2025-7-28")</f>
        <v>0</v>
      </c>
    </row>
    <row r="363" spans="1:3" hidden="1" x14ac:dyDescent="0.3">
      <c r="A363" s="28"/>
      <c r="B363" s="28"/>
      <c r="C363" s="29">
        <f>[1]!thsiFinD("ths_constituent_ up_number_index",A363,"2025-7-28")</f>
        <v>0</v>
      </c>
    </row>
    <row r="364" spans="1:3" hidden="1" x14ac:dyDescent="0.3">
      <c r="A364" s="28"/>
      <c r="B364" s="28"/>
      <c r="C364" s="29">
        <f>[1]!thsiFinD("ths_constituent_ up_number_index",A364,"2025-7-28")</f>
        <v>0</v>
      </c>
    </row>
    <row r="365" spans="1:3" hidden="1" x14ac:dyDescent="0.3">
      <c r="A365" s="28"/>
      <c r="B365" s="28"/>
      <c r="C365" s="29">
        <f>[1]!thsiFinD("ths_constituent_ up_number_index",A365,"2025-7-28")</f>
        <v>0</v>
      </c>
    </row>
    <row r="366" spans="1:3" hidden="1" x14ac:dyDescent="0.3">
      <c r="A366" s="28"/>
      <c r="B366" s="28"/>
      <c r="C366" s="29">
        <f>[1]!thsiFinD("ths_constituent_ up_number_index",A366,"2025-7-28")</f>
        <v>0</v>
      </c>
    </row>
    <row r="367" spans="1:3" hidden="1" x14ac:dyDescent="0.3">
      <c r="A367" s="28"/>
      <c r="B367" s="28"/>
      <c r="C367" s="29">
        <f>[1]!thsiFinD("ths_constituent_ up_number_index",A367,"2025-7-28")</f>
        <v>0</v>
      </c>
    </row>
    <row r="368" spans="1:3" hidden="1" x14ac:dyDescent="0.3">
      <c r="A368" s="28"/>
      <c r="B368" s="28"/>
      <c r="C368" s="29">
        <f>[1]!thsiFinD("ths_constituent_ up_number_index",A368,"2025-7-28")</f>
        <v>0</v>
      </c>
    </row>
    <row r="369" spans="1:3" hidden="1" x14ac:dyDescent="0.3">
      <c r="A369" s="28"/>
      <c r="B369" s="28"/>
      <c r="C369" s="29">
        <f>[1]!thsiFinD("ths_constituent_ up_number_index",A369,"2025-7-28")</f>
        <v>0</v>
      </c>
    </row>
    <row r="370" spans="1:3" hidden="1" x14ac:dyDescent="0.3">
      <c r="A370" s="28"/>
      <c r="B370" s="28"/>
      <c r="C370" s="29">
        <f>[1]!thsiFinD("ths_constituent_ up_number_index",A370,"2025-7-28")</f>
        <v>0</v>
      </c>
    </row>
    <row r="371" spans="1:3" hidden="1" x14ac:dyDescent="0.3">
      <c r="A371" s="28"/>
      <c r="B371" s="28"/>
      <c r="C371" s="29">
        <f>[1]!thsiFinD("ths_constituent_ up_number_index",A371,"2025-7-28")</f>
        <v>0</v>
      </c>
    </row>
    <row r="372" spans="1:3" hidden="1" x14ac:dyDescent="0.3">
      <c r="A372" s="28"/>
      <c r="B372" s="28"/>
      <c r="C372" s="29">
        <f>[1]!thsiFinD("ths_constituent_ up_number_index",A372,"2025-7-28")</f>
        <v>0</v>
      </c>
    </row>
    <row r="373" spans="1:3" hidden="1" x14ac:dyDescent="0.3">
      <c r="A373" s="28"/>
      <c r="B373" s="28"/>
      <c r="C373" s="29">
        <f>[1]!thsiFinD("ths_constituent_ up_number_index",A373,"2025-7-28")</f>
        <v>0</v>
      </c>
    </row>
    <row r="374" spans="1:3" hidden="1" x14ac:dyDescent="0.3">
      <c r="A374" s="28"/>
      <c r="B374" s="28"/>
      <c r="C374" s="29">
        <f>[1]!thsiFinD("ths_constituent_ up_number_index",A374,"2025-7-28")</f>
        <v>0</v>
      </c>
    </row>
    <row r="375" spans="1:3" hidden="1" x14ac:dyDescent="0.3">
      <c r="A375" s="28"/>
      <c r="B375" s="28"/>
      <c r="C375" s="29">
        <f>[1]!thsiFinD("ths_constituent_ up_number_index",A375,"2025-7-28")</f>
        <v>0</v>
      </c>
    </row>
    <row r="376" spans="1:3" hidden="1" x14ac:dyDescent="0.3">
      <c r="A376" s="28"/>
      <c r="B376" s="28"/>
      <c r="C376" s="29">
        <f>[1]!thsiFinD("ths_constituent_ up_number_index",A376,"2025-7-28")</f>
        <v>0</v>
      </c>
    </row>
    <row r="377" spans="1:3" hidden="1" x14ac:dyDescent="0.3">
      <c r="A377" s="28"/>
      <c r="B377" s="28"/>
      <c r="C377" s="29">
        <f>[1]!thsiFinD("ths_constituent_ up_number_index",A377,"2025-7-28")</f>
        <v>0</v>
      </c>
    </row>
    <row r="378" spans="1:3" hidden="1" x14ac:dyDescent="0.3">
      <c r="A378" s="28"/>
      <c r="B378" s="28"/>
      <c r="C378" s="29">
        <f>[1]!thsiFinD("ths_constituent_ up_number_index",A378,"2025-7-28")</f>
        <v>0</v>
      </c>
    </row>
    <row r="379" spans="1:3" hidden="1" x14ac:dyDescent="0.3">
      <c r="A379" s="28"/>
      <c r="B379" s="28"/>
      <c r="C379" s="29">
        <f>[1]!thsiFinD("ths_constituent_ up_number_index",A379,"2025-7-28")</f>
        <v>0</v>
      </c>
    </row>
    <row r="380" spans="1:3" hidden="1" x14ac:dyDescent="0.3">
      <c r="A380" s="28"/>
      <c r="B380" s="28"/>
      <c r="C380" s="29">
        <f>[1]!thsiFinD("ths_constituent_ up_number_index",A380,"2025-7-28")</f>
        <v>0</v>
      </c>
    </row>
    <row r="381" spans="1:3" hidden="1" x14ac:dyDescent="0.3">
      <c r="A381" s="28"/>
      <c r="B381" s="28"/>
      <c r="C381" s="29">
        <f>[1]!thsiFinD("ths_constituent_ up_number_index",A381,"2025-7-28")</f>
        <v>0</v>
      </c>
    </row>
    <row r="382" spans="1:3" hidden="1" x14ac:dyDescent="0.3">
      <c r="A382" s="28"/>
      <c r="B382" s="28"/>
      <c r="C382" s="29">
        <f>[1]!thsiFinD("ths_constituent_ up_number_index",A382,"2025-7-28")</f>
        <v>0</v>
      </c>
    </row>
    <row r="383" spans="1:3" hidden="1" x14ac:dyDescent="0.3">
      <c r="A383" s="28"/>
      <c r="B383" s="28"/>
      <c r="C383" s="29">
        <f>[1]!thsiFinD("ths_constituent_ up_number_index",A383,"2025-7-28")</f>
        <v>0</v>
      </c>
    </row>
    <row r="384" spans="1:3" hidden="1" x14ac:dyDescent="0.3">
      <c r="A384" s="28"/>
      <c r="B384" s="28"/>
      <c r="C384" s="29">
        <f>[1]!thsiFinD("ths_constituent_ up_number_index",A384,"2025-7-28")</f>
        <v>0</v>
      </c>
    </row>
    <row r="385" spans="1:3" hidden="1" x14ac:dyDescent="0.3">
      <c r="A385" s="28"/>
      <c r="B385" s="28"/>
      <c r="C385" s="29">
        <f>[1]!thsiFinD("ths_constituent_ up_number_index",A385,"2025-7-28")</f>
        <v>0</v>
      </c>
    </row>
    <row r="386" spans="1:3" hidden="1" x14ac:dyDescent="0.3">
      <c r="A386" s="28"/>
      <c r="B386" s="28"/>
      <c r="C386" s="29">
        <f>[1]!thsiFinD("ths_constituent_ up_number_index",A386,"2025-7-28")</f>
        <v>0</v>
      </c>
    </row>
    <row r="387" spans="1:3" hidden="1" x14ac:dyDescent="0.3">
      <c r="A387" s="28"/>
      <c r="B387" s="28"/>
      <c r="C387" s="29">
        <f>[1]!thsiFinD("ths_constituent_ up_number_index",A387,"2025-7-28")</f>
        <v>0</v>
      </c>
    </row>
    <row r="388" spans="1:3" hidden="1" x14ac:dyDescent="0.3">
      <c r="A388" s="28"/>
      <c r="B388" s="28"/>
      <c r="C388" s="29">
        <f>[1]!thsiFinD("ths_constituent_ up_number_index",A388,"2025-7-28")</f>
        <v>0</v>
      </c>
    </row>
    <row r="389" spans="1:3" hidden="1" x14ac:dyDescent="0.3">
      <c r="A389" s="28"/>
      <c r="B389" s="28"/>
      <c r="C389" s="29">
        <f>[1]!thsiFinD("ths_constituent_ up_number_index",A389,"2025-7-28")</f>
        <v>0</v>
      </c>
    </row>
    <row r="390" spans="1:3" hidden="1" x14ac:dyDescent="0.3">
      <c r="A390" s="28"/>
      <c r="B390" s="28"/>
      <c r="C390" s="29">
        <f>[1]!thsiFinD("ths_constituent_ up_number_index",A390,"2025-7-28")</f>
        <v>0</v>
      </c>
    </row>
    <row r="391" spans="1:3" hidden="1" x14ac:dyDescent="0.3">
      <c r="A391" s="28"/>
      <c r="B391" s="28"/>
      <c r="C391" s="29">
        <f>[1]!thsiFinD("ths_constituent_ up_number_index",A391,"2025-7-28")</f>
        <v>0</v>
      </c>
    </row>
    <row r="392" spans="1:3" hidden="1" x14ac:dyDescent="0.3">
      <c r="A392" s="28"/>
      <c r="B392" s="28"/>
      <c r="C392" s="29">
        <f>[1]!thsiFinD("ths_constituent_ up_number_index",A392,"2025-7-28")</f>
        <v>0</v>
      </c>
    </row>
    <row r="393" spans="1:3" hidden="1" x14ac:dyDescent="0.3">
      <c r="A393" s="28"/>
      <c r="B393" s="28"/>
      <c r="C393" s="29">
        <f>[1]!thsiFinD("ths_constituent_ up_number_index",A393,"2025-7-28")</f>
        <v>0</v>
      </c>
    </row>
    <row r="394" spans="1:3" hidden="1" x14ac:dyDescent="0.3">
      <c r="A394" s="28"/>
      <c r="B394" s="28"/>
      <c r="C394" s="29">
        <f>[1]!thsiFinD("ths_constituent_ up_number_index",A394,"2025-7-28")</f>
        <v>0</v>
      </c>
    </row>
    <row r="395" spans="1:3" hidden="1" x14ac:dyDescent="0.3">
      <c r="A395" s="28"/>
      <c r="B395" s="28"/>
      <c r="C395" s="29">
        <f>[1]!thsiFinD("ths_constituent_ up_number_index",A395,"2025-7-28")</f>
        <v>0</v>
      </c>
    </row>
    <row r="396" spans="1:3" hidden="1" x14ac:dyDescent="0.3">
      <c r="A396" s="28"/>
      <c r="B396" s="28"/>
      <c r="C396" s="29">
        <f>[1]!thsiFinD("ths_constituent_ up_number_index",A396,"2025-7-28")</f>
        <v>0</v>
      </c>
    </row>
    <row r="397" spans="1:3" hidden="1" x14ac:dyDescent="0.3">
      <c r="A397" s="28"/>
      <c r="B397" s="28"/>
      <c r="C397" s="29">
        <f>[1]!thsiFinD("ths_constituent_ up_number_index",A397,"2025-7-28")</f>
        <v>0</v>
      </c>
    </row>
    <row r="398" spans="1:3" hidden="1" x14ac:dyDescent="0.3">
      <c r="A398" s="28"/>
      <c r="B398" s="28"/>
      <c r="C398" s="29">
        <f>[1]!thsiFinD("ths_constituent_ up_number_index",A398,"2025-7-28")</f>
        <v>0</v>
      </c>
    </row>
    <row r="399" spans="1:3" hidden="1" x14ac:dyDescent="0.3">
      <c r="A399" s="28"/>
      <c r="B399" s="28"/>
      <c r="C399" s="29">
        <f>[1]!thsiFinD("ths_constituent_ up_number_index",A399,"2025-7-28")</f>
        <v>0</v>
      </c>
    </row>
    <row r="400" spans="1:3" hidden="1" x14ac:dyDescent="0.3">
      <c r="A400" s="28"/>
      <c r="B400" s="28"/>
      <c r="C400" s="29">
        <f>[1]!thsiFinD("ths_constituent_ up_number_index",A400,"2025-7-28")</f>
        <v>0</v>
      </c>
    </row>
    <row r="401" spans="1:3" hidden="1" x14ac:dyDescent="0.3">
      <c r="A401" s="28"/>
      <c r="B401" s="28"/>
      <c r="C401" s="29">
        <f>[1]!thsiFinD("ths_constituent_ up_number_index",A401,"2025-7-28")</f>
        <v>0</v>
      </c>
    </row>
    <row r="402" spans="1:3" hidden="1" x14ac:dyDescent="0.3">
      <c r="A402" s="28"/>
      <c r="B402" s="28"/>
      <c r="C402" s="29">
        <f>[1]!thsiFinD("ths_constituent_ up_number_index",A402,"2025-7-28")</f>
        <v>0</v>
      </c>
    </row>
    <row r="403" spans="1:3" hidden="1" x14ac:dyDescent="0.3">
      <c r="A403" s="28"/>
      <c r="B403" s="28"/>
      <c r="C403" s="29">
        <f>[1]!thsiFinD("ths_constituent_ up_number_index",A403,"2025-7-28")</f>
        <v>0</v>
      </c>
    </row>
    <row r="404" spans="1:3" hidden="1" x14ac:dyDescent="0.3">
      <c r="A404" s="28"/>
      <c r="B404" s="28"/>
      <c r="C404" s="29">
        <f>[1]!thsiFinD("ths_constituent_ up_number_index",A404,"2025-7-28")</f>
        <v>0</v>
      </c>
    </row>
    <row r="405" spans="1:3" hidden="1" x14ac:dyDescent="0.3">
      <c r="A405" s="28"/>
      <c r="B405" s="28"/>
      <c r="C405" s="29">
        <f>[1]!thsiFinD("ths_constituent_ up_number_index",A405,"2025-7-28")</f>
        <v>0</v>
      </c>
    </row>
    <row r="406" spans="1:3" hidden="1" x14ac:dyDescent="0.3">
      <c r="A406" s="28"/>
      <c r="B406" s="28"/>
      <c r="C406" s="29">
        <f>[1]!thsiFinD("ths_constituent_ up_number_index",A406,"2025-7-28")</f>
        <v>0</v>
      </c>
    </row>
    <row r="407" spans="1:3" hidden="1" x14ac:dyDescent="0.3">
      <c r="A407" s="28"/>
      <c r="B407" s="28"/>
      <c r="C407" s="29">
        <f>[1]!thsiFinD("ths_constituent_ up_number_index",A407,"2025-7-28")</f>
        <v>0</v>
      </c>
    </row>
    <row r="408" spans="1:3" hidden="1" x14ac:dyDescent="0.3">
      <c r="A408" s="28"/>
      <c r="B408" s="28"/>
      <c r="C408" s="29">
        <f>[1]!thsiFinD("ths_constituent_ up_number_index",A408,"2025-7-28")</f>
        <v>0</v>
      </c>
    </row>
    <row r="409" spans="1:3" hidden="1" x14ac:dyDescent="0.3">
      <c r="A409" s="28"/>
      <c r="B409" s="28"/>
      <c r="C409" s="29">
        <f>[1]!thsiFinD("ths_constituent_ up_number_index",A409,"2025-7-28")</f>
        <v>0</v>
      </c>
    </row>
    <row r="410" spans="1:3" hidden="1" x14ac:dyDescent="0.3">
      <c r="A410" s="28"/>
      <c r="B410" s="28"/>
      <c r="C410" s="29">
        <f>[1]!thsiFinD("ths_constituent_ up_number_index",A410,"2025-7-28")</f>
        <v>0</v>
      </c>
    </row>
    <row r="411" spans="1:3" hidden="1" x14ac:dyDescent="0.3">
      <c r="A411" s="28"/>
      <c r="B411" s="28"/>
      <c r="C411" s="29">
        <f>[1]!thsiFinD("ths_constituent_ up_number_index",A411,"2025-7-28")</f>
        <v>0</v>
      </c>
    </row>
    <row r="412" spans="1:3" hidden="1" x14ac:dyDescent="0.3">
      <c r="A412" s="28"/>
      <c r="B412" s="28"/>
      <c r="C412" s="29">
        <f>[1]!thsiFinD("ths_constituent_ up_number_index",A412,"2025-7-28")</f>
        <v>0</v>
      </c>
    </row>
    <row r="413" spans="1:3" hidden="1" x14ac:dyDescent="0.3">
      <c r="A413" s="28"/>
      <c r="B413" s="28"/>
      <c r="C413" s="29">
        <f>[1]!thsiFinD("ths_constituent_ up_number_index",A413,"2025-7-28")</f>
        <v>0</v>
      </c>
    </row>
    <row r="414" spans="1:3" hidden="1" x14ac:dyDescent="0.3">
      <c r="A414" s="28"/>
      <c r="B414" s="28"/>
      <c r="C414" s="29">
        <f>[1]!thsiFinD("ths_constituent_ up_number_index",A414,"2025-7-28")</f>
        <v>0</v>
      </c>
    </row>
    <row r="415" spans="1:3" hidden="1" x14ac:dyDescent="0.3">
      <c r="A415" s="28"/>
      <c r="B415" s="28"/>
      <c r="C415" s="29">
        <f>[1]!thsiFinD("ths_constituent_ up_number_index",A415,"2025-7-28")</f>
        <v>0</v>
      </c>
    </row>
    <row r="416" spans="1:3" hidden="1" x14ac:dyDescent="0.3">
      <c r="A416" s="28"/>
      <c r="B416" s="28"/>
      <c r="C416" s="29">
        <f>[1]!thsiFinD("ths_constituent_ up_number_index",A416,"2025-7-28")</f>
        <v>0</v>
      </c>
    </row>
    <row r="417" spans="1:3" hidden="1" x14ac:dyDescent="0.3">
      <c r="A417" s="28"/>
      <c r="B417" s="28"/>
      <c r="C417" s="29">
        <f>[1]!thsiFinD("ths_constituent_ up_number_index",A417,"2025-7-28")</f>
        <v>0</v>
      </c>
    </row>
    <row r="418" spans="1:3" hidden="1" x14ac:dyDescent="0.3">
      <c r="A418" s="28"/>
      <c r="B418" s="28"/>
      <c r="C418" s="29">
        <f>[1]!thsiFinD("ths_constituent_ up_number_index",A418,"2025-7-28")</f>
        <v>0</v>
      </c>
    </row>
    <row r="419" spans="1:3" hidden="1" x14ac:dyDescent="0.3">
      <c r="A419" s="28"/>
      <c r="B419" s="28"/>
      <c r="C419" s="29">
        <f>[1]!thsiFinD("ths_constituent_ up_number_index",A419,"2025-7-28")</f>
        <v>0</v>
      </c>
    </row>
    <row r="420" spans="1:3" hidden="1" x14ac:dyDescent="0.3">
      <c r="A420" s="28"/>
      <c r="B420" s="28"/>
      <c r="C420" s="29">
        <f>[1]!thsiFinD("ths_constituent_ up_number_index",A420,"2025-7-28")</f>
        <v>0</v>
      </c>
    </row>
    <row r="421" spans="1:3" hidden="1" x14ac:dyDescent="0.3">
      <c r="A421" s="28"/>
      <c r="B421" s="28"/>
      <c r="C421" s="29">
        <f>[1]!thsiFinD("ths_constituent_ up_number_index",A421,"2025-7-28")</f>
        <v>0</v>
      </c>
    </row>
    <row r="422" spans="1:3" hidden="1" x14ac:dyDescent="0.3">
      <c r="A422" s="28"/>
      <c r="B422" s="28"/>
      <c r="C422" s="29">
        <f>[1]!thsiFinD("ths_constituent_ up_number_index",A422,"2025-7-28")</f>
        <v>0</v>
      </c>
    </row>
    <row r="423" spans="1:3" hidden="1" x14ac:dyDescent="0.3">
      <c r="A423" s="28"/>
      <c r="B423" s="28"/>
      <c r="C423" s="29">
        <f>[1]!thsiFinD("ths_constituent_ up_number_index",A423,"2025-7-28")</f>
        <v>0</v>
      </c>
    </row>
    <row r="424" spans="1:3" hidden="1" x14ac:dyDescent="0.3">
      <c r="A424" s="28"/>
      <c r="B424" s="28"/>
      <c r="C424" s="29">
        <f>[1]!thsiFinD("ths_constituent_ up_number_index",A424,"2025-7-28")</f>
        <v>0</v>
      </c>
    </row>
    <row r="425" spans="1:3" hidden="1" x14ac:dyDescent="0.3">
      <c r="A425" s="28"/>
      <c r="B425" s="28"/>
      <c r="C425" s="29">
        <f>[1]!thsiFinD("ths_constituent_ up_number_index",A425,"2025-7-28")</f>
        <v>0</v>
      </c>
    </row>
    <row r="426" spans="1:3" hidden="1" x14ac:dyDescent="0.3">
      <c r="A426" s="28"/>
      <c r="B426" s="28"/>
      <c r="C426" s="29">
        <f>[1]!thsiFinD("ths_constituent_ up_number_index",A426,"2025-7-28")</f>
        <v>0</v>
      </c>
    </row>
    <row r="427" spans="1:3" hidden="1" x14ac:dyDescent="0.3">
      <c r="A427" s="28"/>
      <c r="B427" s="28"/>
      <c r="C427" s="29">
        <f>[1]!thsiFinD("ths_constituent_ up_number_index",A427,"2025-7-28")</f>
        <v>0</v>
      </c>
    </row>
    <row r="428" spans="1:3" hidden="1" x14ac:dyDescent="0.3">
      <c r="A428" s="28"/>
      <c r="B428" s="28"/>
      <c r="C428" s="29">
        <f>[1]!thsiFinD("ths_constituent_ up_number_index",A428,"2025-7-28")</f>
        <v>0</v>
      </c>
    </row>
    <row r="429" spans="1:3" hidden="1" x14ac:dyDescent="0.3">
      <c r="A429" s="28"/>
      <c r="B429" s="28"/>
      <c r="C429" s="29">
        <f>[1]!thsiFinD("ths_constituent_ up_number_index",A429,"2025-7-28")</f>
        <v>0</v>
      </c>
    </row>
    <row r="430" spans="1:3" hidden="1" x14ac:dyDescent="0.3">
      <c r="A430" s="28"/>
      <c r="B430" s="28"/>
      <c r="C430" s="29">
        <f>[1]!thsiFinD("ths_constituent_ up_number_index",A430,"2025-7-28")</f>
        <v>0</v>
      </c>
    </row>
    <row r="431" spans="1:3" hidden="1" x14ac:dyDescent="0.3">
      <c r="A431" s="28"/>
      <c r="B431" s="28"/>
      <c r="C431" s="29">
        <f>[1]!thsiFinD("ths_constituent_ up_number_index",A431,"2025-7-28")</f>
        <v>0</v>
      </c>
    </row>
    <row r="432" spans="1:3" hidden="1" x14ac:dyDescent="0.3">
      <c r="A432" s="28"/>
      <c r="B432" s="28"/>
      <c r="C432" s="29">
        <f>[1]!thsiFinD("ths_constituent_ up_number_index",A432,"2025-7-28")</f>
        <v>0</v>
      </c>
    </row>
    <row r="433" spans="1:3" hidden="1" x14ac:dyDescent="0.3">
      <c r="A433" s="28"/>
      <c r="B433" s="28"/>
      <c r="C433" s="29">
        <f>[1]!thsiFinD("ths_constituent_ up_number_index",A433,"2025-7-28")</f>
        <v>0</v>
      </c>
    </row>
    <row r="434" spans="1:3" hidden="1" x14ac:dyDescent="0.3">
      <c r="A434" s="28"/>
      <c r="B434" s="28"/>
      <c r="C434" s="29">
        <f>[1]!thsiFinD("ths_constituent_ up_number_index",A434,"2025-7-28")</f>
        <v>0</v>
      </c>
    </row>
    <row r="435" spans="1:3" hidden="1" x14ac:dyDescent="0.3">
      <c r="A435" s="28"/>
      <c r="B435" s="28"/>
      <c r="C435" s="29">
        <f>[1]!thsiFinD("ths_constituent_ up_number_index",A435,"2025-7-28")</f>
        <v>0</v>
      </c>
    </row>
    <row r="436" spans="1:3" hidden="1" x14ac:dyDescent="0.3">
      <c r="A436" s="28"/>
      <c r="B436" s="28"/>
      <c r="C436" s="29">
        <f>[1]!thsiFinD("ths_constituent_ up_number_index",A436,"2025-7-28")</f>
        <v>0</v>
      </c>
    </row>
    <row r="437" spans="1:3" hidden="1" x14ac:dyDescent="0.3">
      <c r="A437" s="28"/>
      <c r="B437" s="28"/>
      <c r="C437" s="29">
        <f>[1]!thsiFinD("ths_constituent_ up_number_index",A437,"2025-7-28")</f>
        <v>0</v>
      </c>
    </row>
    <row r="438" spans="1:3" hidden="1" x14ac:dyDescent="0.3">
      <c r="A438" s="28"/>
      <c r="B438" s="28"/>
      <c r="C438" s="29">
        <f>[1]!thsiFinD("ths_constituent_ up_number_index",A438,"2025-7-28")</f>
        <v>0</v>
      </c>
    </row>
    <row r="439" spans="1:3" hidden="1" x14ac:dyDescent="0.3">
      <c r="A439" s="28"/>
      <c r="B439" s="28"/>
      <c r="C439" s="29">
        <f>[1]!thsiFinD("ths_constituent_ up_number_index",A439,"2025-7-28")</f>
        <v>0</v>
      </c>
    </row>
    <row r="440" spans="1:3" hidden="1" x14ac:dyDescent="0.3">
      <c r="A440" s="28"/>
      <c r="B440" s="28"/>
      <c r="C440" s="29">
        <f>[1]!thsiFinD("ths_constituent_ up_number_index",A440,"2025-7-28")</f>
        <v>0</v>
      </c>
    </row>
    <row r="441" spans="1:3" hidden="1" x14ac:dyDescent="0.3">
      <c r="A441" s="28"/>
      <c r="B441" s="28"/>
      <c r="C441" s="29">
        <f>[1]!thsiFinD("ths_constituent_ up_number_index",A441,"2025-7-28")</f>
        <v>0</v>
      </c>
    </row>
    <row r="442" spans="1:3" hidden="1" x14ac:dyDescent="0.3">
      <c r="A442" s="28"/>
      <c r="B442" s="28"/>
      <c r="C442" s="29">
        <f>[1]!thsiFinD("ths_constituent_ up_number_index",A442,"2025-7-28")</f>
        <v>0</v>
      </c>
    </row>
    <row r="443" spans="1:3" hidden="1" x14ac:dyDescent="0.3">
      <c r="A443" s="28"/>
      <c r="B443" s="28"/>
      <c r="C443" s="29">
        <f>[1]!thsiFinD("ths_constituent_ up_number_index",A443,"2025-7-28")</f>
        <v>0</v>
      </c>
    </row>
    <row r="444" spans="1:3" hidden="1" x14ac:dyDescent="0.3">
      <c r="A444" s="28"/>
      <c r="B444" s="28"/>
      <c r="C444" s="29">
        <f>[1]!thsiFinD("ths_constituent_ up_number_index",A444,"2025-7-28")</f>
        <v>0</v>
      </c>
    </row>
    <row r="445" spans="1:3" hidden="1" x14ac:dyDescent="0.3">
      <c r="A445" s="28"/>
      <c r="B445" s="28"/>
      <c r="C445" s="29">
        <f>[1]!thsiFinD("ths_constituent_ up_number_index",A445,"2025-7-28")</f>
        <v>0</v>
      </c>
    </row>
    <row r="446" spans="1:3" hidden="1" x14ac:dyDescent="0.3">
      <c r="A446" s="28"/>
      <c r="B446" s="28"/>
      <c r="C446" s="29">
        <f>[1]!thsiFinD("ths_constituent_ up_number_index",A446,"2025-7-28")</f>
        <v>0</v>
      </c>
    </row>
    <row r="447" spans="1:3" hidden="1" x14ac:dyDescent="0.3">
      <c r="A447" s="28"/>
      <c r="B447" s="28"/>
      <c r="C447" s="29">
        <f>[1]!thsiFinD("ths_constituent_ up_number_index",A447,"2025-7-28")</f>
        <v>0</v>
      </c>
    </row>
    <row r="448" spans="1:3" hidden="1" x14ac:dyDescent="0.3">
      <c r="A448" s="28"/>
      <c r="B448" s="28"/>
      <c r="C448" s="29">
        <f>[1]!thsiFinD("ths_constituent_ up_number_index",A448,"2025-7-28")</f>
        <v>0</v>
      </c>
    </row>
    <row r="449" spans="1:3" hidden="1" x14ac:dyDescent="0.3">
      <c r="A449" s="28"/>
      <c r="B449" s="28"/>
      <c r="C449" s="29">
        <f>[1]!thsiFinD("ths_constituent_ up_number_index",A449,"2025-7-28")</f>
        <v>0</v>
      </c>
    </row>
    <row r="450" spans="1:3" hidden="1" x14ac:dyDescent="0.3">
      <c r="A450" s="28"/>
      <c r="B450" s="28"/>
      <c r="C450" s="29">
        <f>[1]!thsiFinD("ths_constituent_ up_number_index",A450,"2025-7-28")</f>
        <v>0</v>
      </c>
    </row>
    <row r="451" spans="1:3" hidden="1" x14ac:dyDescent="0.3">
      <c r="A451" s="28"/>
      <c r="B451" s="28"/>
      <c r="C451" s="29">
        <f>[1]!thsiFinD("ths_constituent_ up_number_index",A451,"2025-7-28")</f>
        <v>0</v>
      </c>
    </row>
    <row r="452" spans="1:3" hidden="1" x14ac:dyDescent="0.3">
      <c r="A452" s="28"/>
      <c r="B452" s="28"/>
      <c r="C452" s="29">
        <f>[1]!thsiFinD("ths_constituent_ up_number_index",A452,"2025-7-28")</f>
        <v>0</v>
      </c>
    </row>
    <row r="453" spans="1:3" hidden="1" x14ac:dyDescent="0.3">
      <c r="A453" s="28"/>
      <c r="B453" s="28"/>
      <c r="C453" s="29">
        <f>[1]!thsiFinD("ths_constituent_ up_number_index",A453,"2025-7-28")</f>
        <v>0</v>
      </c>
    </row>
    <row r="454" spans="1:3" hidden="1" x14ac:dyDescent="0.3">
      <c r="A454" s="28"/>
      <c r="B454" s="28"/>
      <c r="C454" s="29">
        <f>[1]!thsiFinD("ths_constituent_ up_number_index",A454,"2025-7-28")</f>
        <v>0</v>
      </c>
    </row>
    <row r="455" spans="1:3" hidden="1" x14ac:dyDescent="0.3">
      <c r="A455" s="28"/>
      <c r="B455" s="28"/>
      <c r="C455" s="29">
        <f>[1]!thsiFinD("ths_constituent_ up_number_index",A455,"2025-7-28")</f>
        <v>0</v>
      </c>
    </row>
    <row r="456" spans="1:3" hidden="1" x14ac:dyDescent="0.3">
      <c r="A456" s="28"/>
      <c r="B456" s="28"/>
      <c r="C456" s="29">
        <f>[1]!thsiFinD("ths_constituent_ up_number_index",A456,"2025-7-28")</f>
        <v>0</v>
      </c>
    </row>
    <row r="457" spans="1:3" hidden="1" x14ac:dyDescent="0.3">
      <c r="A457" s="28"/>
      <c r="B457" s="28"/>
      <c r="C457" s="29">
        <f>[1]!thsiFinD("ths_constituent_ up_number_index",A457,"2025-7-28")</f>
        <v>0</v>
      </c>
    </row>
    <row r="458" spans="1:3" hidden="1" x14ac:dyDescent="0.3">
      <c r="A458" s="28"/>
      <c r="B458" s="28"/>
      <c r="C458" s="29">
        <f>[1]!thsiFinD("ths_constituent_ up_number_index",A458,"2025-7-28")</f>
        <v>0</v>
      </c>
    </row>
    <row r="459" spans="1:3" hidden="1" x14ac:dyDescent="0.3">
      <c r="A459" s="28"/>
      <c r="B459" s="28"/>
      <c r="C459" s="29">
        <f>[1]!thsiFinD("ths_constituent_ up_number_index",A459,"2025-7-28")</f>
        <v>0</v>
      </c>
    </row>
    <row r="460" spans="1:3" hidden="1" x14ac:dyDescent="0.3">
      <c r="A460" s="28"/>
      <c r="B460" s="28"/>
      <c r="C460" s="29">
        <f>[1]!thsiFinD("ths_constituent_ up_number_index",A460,"2025-7-28")</f>
        <v>0</v>
      </c>
    </row>
    <row r="461" spans="1:3" hidden="1" x14ac:dyDescent="0.3">
      <c r="A461" s="28"/>
      <c r="B461" s="28"/>
      <c r="C461" s="29">
        <f>[1]!thsiFinD("ths_constituent_ up_number_index",A461,"2025-7-28")</f>
        <v>0</v>
      </c>
    </row>
    <row r="462" spans="1:3" hidden="1" x14ac:dyDescent="0.3">
      <c r="A462" s="28"/>
      <c r="B462" s="28"/>
      <c r="C462" s="29">
        <f>[1]!thsiFinD("ths_constituent_ up_number_index",A462,"2025-7-28")</f>
        <v>0</v>
      </c>
    </row>
    <row r="463" spans="1:3" hidden="1" x14ac:dyDescent="0.3">
      <c r="A463" s="28"/>
      <c r="B463" s="28"/>
      <c r="C463" s="29">
        <f>[1]!thsiFinD("ths_constituent_ up_number_index",A463,"2025-7-28")</f>
        <v>0</v>
      </c>
    </row>
    <row r="464" spans="1:3" hidden="1" x14ac:dyDescent="0.3">
      <c r="A464" s="28"/>
      <c r="B464" s="28"/>
      <c r="C464" s="29">
        <f>[1]!thsiFinD("ths_constituent_ up_number_index",A464,"2025-7-28")</f>
        <v>0</v>
      </c>
    </row>
    <row r="465" spans="1:3" hidden="1" x14ac:dyDescent="0.3">
      <c r="A465" s="28"/>
      <c r="B465" s="28"/>
      <c r="C465" s="29">
        <f>[1]!thsiFinD("ths_constituent_ up_number_index",A465,"2025-7-28")</f>
        <v>0</v>
      </c>
    </row>
    <row r="466" spans="1:3" hidden="1" x14ac:dyDescent="0.3">
      <c r="A466" s="28"/>
      <c r="B466" s="28"/>
      <c r="C466" s="29">
        <f>[1]!thsiFinD("ths_constituent_ up_number_index",A466,"2025-7-28")</f>
        <v>0</v>
      </c>
    </row>
    <row r="467" spans="1:3" hidden="1" x14ac:dyDescent="0.3">
      <c r="A467" s="28"/>
      <c r="B467" s="28"/>
      <c r="C467" s="29">
        <f>[1]!thsiFinD("ths_constituent_ up_number_index",A467,"2025-7-28")</f>
        <v>0</v>
      </c>
    </row>
    <row r="468" spans="1:3" hidden="1" x14ac:dyDescent="0.3">
      <c r="A468" s="28"/>
      <c r="B468" s="28"/>
      <c r="C468" s="29">
        <f>[1]!thsiFinD("ths_constituent_ up_number_index",A468,"2025-7-28")</f>
        <v>0</v>
      </c>
    </row>
    <row r="469" spans="1:3" hidden="1" x14ac:dyDescent="0.3">
      <c r="A469" s="28"/>
      <c r="B469" s="28"/>
      <c r="C469" s="29">
        <f>[1]!thsiFinD("ths_constituent_ up_number_index",A469,"2025-7-28")</f>
        <v>0</v>
      </c>
    </row>
    <row r="470" spans="1:3" hidden="1" x14ac:dyDescent="0.3">
      <c r="A470" s="28"/>
      <c r="B470" s="28"/>
      <c r="C470" s="29">
        <f>[1]!thsiFinD("ths_constituent_ up_number_index",A470,"2025-7-28")</f>
        <v>0</v>
      </c>
    </row>
    <row r="471" spans="1:3" hidden="1" x14ac:dyDescent="0.3">
      <c r="A471" s="28"/>
      <c r="B471" s="28"/>
      <c r="C471" s="29">
        <f>[1]!thsiFinD("ths_constituent_ up_number_index",A471,"2025-7-28")</f>
        <v>0</v>
      </c>
    </row>
    <row r="472" spans="1:3" hidden="1" x14ac:dyDescent="0.3">
      <c r="A472" s="28"/>
      <c r="B472" s="28"/>
      <c r="C472" s="29">
        <f>[1]!thsiFinD("ths_constituent_ up_number_index",A472,"2025-7-28")</f>
        <v>0</v>
      </c>
    </row>
    <row r="473" spans="1:3" hidden="1" x14ac:dyDescent="0.3">
      <c r="A473" s="28"/>
      <c r="B473" s="28"/>
      <c r="C473" s="29">
        <f>[1]!thsiFinD("ths_constituent_ up_number_index",A473,"2025-7-28")</f>
        <v>0</v>
      </c>
    </row>
    <row r="474" spans="1:3" hidden="1" x14ac:dyDescent="0.3">
      <c r="A474" s="28"/>
      <c r="B474" s="28"/>
      <c r="C474" s="29">
        <f>[1]!thsiFinD("ths_constituent_ up_number_index",A474,"2025-7-28")</f>
        <v>0</v>
      </c>
    </row>
    <row r="475" spans="1:3" hidden="1" x14ac:dyDescent="0.3">
      <c r="A475" s="28"/>
      <c r="B475" s="28"/>
      <c r="C475" s="29">
        <f>[1]!thsiFinD("ths_constituent_ up_number_index",A475,"2025-7-28")</f>
        <v>0</v>
      </c>
    </row>
    <row r="476" spans="1:3" hidden="1" x14ac:dyDescent="0.3">
      <c r="A476" s="28"/>
      <c r="B476" s="28"/>
      <c r="C476" s="29">
        <f>[1]!thsiFinD("ths_constituent_ up_number_index",A476,"2025-7-28")</f>
        <v>0</v>
      </c>
    </row>
    <row r="477" spans="1:3" hidden="1" x14ac:dyDescent="0.3">
      <c r="A477" s="28"/>
      <c r="B477" s="28"/>
      <c r="C477" s="29">
        <f>[1]!thsiFinD("ths_constituent_ up_number_index",A477,"2025-7-28")</f>
        <v>0</v>
      </c>
    </row>
    <row r="478" spans="1:3" hidden="1" x14ac:dyDescent="0.3">
      <c r="A478" s="28"/>
      <c r="B478" s="28"/>
      <c r="C478" s="29">
        <f>[1]!thsiFinD("ths_constituent_ up_number_index",A478,"2025-7-28")</f>
        <v>0</v>
      </c>
    </row>
    <row r="479" spans="1:3" hidden="1" x14ac:dyDescent="0.3">
      <c r="A479" s="28"/>
      <c r="B479" s="28"/>
      <c r="C479" s="29">
        <f>[1]!thsiFinD("ths_constituent_ up_number_index",A479,"2025-7-28")</f>
        <v>0</v>
      </c>
    </row>
    <row r="480" spans="1:3" hidden="1" x14ac:dyDescent="0.3">
      <c r="A480" s="28"/>
      <c r="B480" s="28"/>
      <c r="C480" s="29">
        <f>[1]!thsiFinD("ths_constituent_ up_number_index",A480,"2025-7-28")</f>
        <v>0</v>
      </c>
    </row>
    <row r="481" spans="1:3" hidden="1" x14ac:dyDescent="0.3">
      <c r="A481" s="28"/>
      <c r="B481" s="28"/>
      <c r="C481" s="29">
        <f>[1]!thsiFinD("ths_constituent_ up_number_index",A481,"2025-7-28")</f>
        <v>0</v>
      </c>
    </row>
    <row r="482" spans="1:3" hidden="1" x14ac:dyDescent="0.3">
      <c r="A482" s="28"/>
      <c r="B482" s="28"/>
      <c r="C482" s="29">
        <f>[1]!thsiFinD("ths_constituent_ up_number_index",A482,"2025-7-28")</f>
        <v>0</v>
      </c>
    </row>
    <row r="483" spans="1:3" hidden="1" x14ac:dyDescent="0.3">
      <c r="A483" s="28"/>
      <c r="B483" s="28"/>
      <c r="C483" s="29">
        <f>[1]!thsiFinD("ths_constituent_ up_number_index",A483,"2025-7-28")</f>
        <v>0</v>
      </c>
    </row>
    <row r="484" spans="1:3" hidden="1" x14ac:dyDescent="0.3">
      <c r="A484" s="28"/>
      <c r="B484" s="28"/>
      <c r="C484" s="29">
        <f>[1]!thsiFinD("ths_constituent_ up_number_index",A484,"2025-7-28")</f>
        <v>0</v>
      </c>
    </row>
    <row r="485" spans="1:3" hidden="1" x14ac:dyDescent="0.3">
      <c r="A485" s="28"/>
      <c r="B485" s="28"/>
      <c r="C485" s="29">
        <f>[1]!thsiFinD("ths_constituent_ up_number_index",A485,"2025-7-28")</f>
        <v>0</v>
      </c>
    </row>
    <row r="486" spans="1:3" hidden="1" x14ac:dyDescent="0.3">
      <c r="A486" s="28"/>
      <c r="B486" s="28"/>
      <c r="C486" s="29">
        <f>[1]!thsiFinD("ths_constituent_ up_number_index",A486,"2025-7-28")</f>
        <v>0</v>
      </c>
    </row>
    <row r="487" spans="1:3" hidden="1" x14ac:dyDescent="0.3">
      <c r="A487" s="28"/>
      <c r="B487" s="28"/>
      <c r="C487" s="29">
        <f>[1]!thsiFinD("ths_constituent_ up_number_index",A487,"2025-7-28")</f>
        <v>0</v>
      </c>
    </row>
    <row r="488" spans="1:3" hidden="1" x14ac:dyDescent="0.3">
      <c r="A488" s="28"/>
      <c r="B488" s="28"/>
      <c r="C488" s="29">
        <f>[1]!thsiFinD("ths_constituent_ up_number_index",A488,"2025-7-28")</f>
        <v>0</v>
      </c>
    </row>
    <row r="489" spans="1:3" hidden="1" x14ac:dyDescent="0.3">
      <c r="A489" s="28"/>
      <c r="B489" s="28"/>
      <c r="C489" s="29">
        <f>[1]!thsiFinD("ths_constituent_ up_number_index",A489,"2025-7-28")</f>
        <v>0</v>
      </c>
    </row>
    <row r="490" spans="1:3" hidden="1" x14ac:dyDescent="0.3">
      <c r="A490" s="28"/>
      <c r="B490" s="28"/>
      <c r="C490" s="29">
        <f>[1]!thsiFinD("ths_constituent_ up_number_index",A490,"2025-7-28")</f>
        <v>0</v>
      </c>
    </row>
    <row r="491" spans="1:3" hidden="1" x14ac:dyDescent="0.3">
      <c r="A491" s="28"/>
      <c r="B491" s="28"/>
      <c r="C491" s="29">
        <f>[1]!thsiFinD("ths_constituent_ up_number_index",A491,"2025-7-28")</f>
        <v>0</v>
      </c>
    </row>
    <row r="492" spans="1:3" hidden="1" x14ac:dyDescent="0.3">
      <c r="A492" s="28"/>
      <c r="B492" s="28"/>
      <c r="C492" s="29">
        <f>[1]!thsiFinD("ths_constituent_ up_number_index",A492,"2025-7-28")</f>
        <v>0</v>
      </c>
    </row>
    <row r="493" spans="1:3" hidden="1" x14ac:dyDescent="0.3">
      <c r="A493" s="28"/>
      <c r="B493" s="28"/>
      <c r="C493" s="29">
        <f>[1]!thsiFinD("ths_constituent_ up_number_index",A493,"2025-7-28")</f>
        <v>0</v>
      </c>
    </row>
    <row r="494" spans="1:3" hidden="1" x14ac:dyDescent="0.3">
      <c r="A494" s="28"/>
      <c r="B494" s="28"/>
      <c r="C494" s="29">
        <f>[1]!thsiFinD("ths_constituent_ up_number_index",A494,"2025-7-28")</f>
        <v>0</v>
      </c>
    </row>
    <row r="495" spans="1:3" hidden="1" x14ac:dyDescent="0.3">
      <c r="A495" s="28"/>
      <c r="B495" s="28"/>
      <c r="C495" s="29">
        <f>[1]!thsiFinD("ths_constituent_ up_number_index",A495,"2025-7-28")</f>
        <v>0</v>
      </c>
    </row>
    <row r="496" spans="1:3" hidden="1" x14ac:dyDescent="0.3">
      <c r="A496" s="28"/>
      <c r="B496" s="28"/>
      <c r="C496" s="29">
        <f>[1]!thsiFinD("ths_constituent_ up_number_index",A496,"2025-7-28")</f>
        <v>0</v>
      </c>
    </row>
    <row r="497" spans="1:3" hidden="1" x14ac:dyDescent="0.3">
      <c r="A497" s="28"/>
      <c r="B497" s="28"/>
      <c r="C497" s="29">
        <f>[1]!thsiFinD("ths_constituent_ up_number_index",A497,"2025-7-28")</f>
        <v>0</v>
      </c>
    </row>
    <row r="498" spans="1:3" hidden="1" x14ac:dyDescent="0.3">
      <c r="A498" s="28"/>
      <c r="B498" s="28"/>
      <c r="C498" s="29">
        <f>[1]!thsiFinD("ths_constituent_ up_number_index",A498,"2025-7-28")</f>
        <v>0</v>
      </c>
    </row>
    <row r="499" spans="1:3" hidden="1" x14ac:dyDescent="0.3">
      <c r="A499" s="28"/>
      <c r="B499" s="28"/>
      <c r="C499" s="29">
        <f>[1]!thsiFinD("ths_constituent_ up_number_index",A499,"2025-7-28")</f>
        <v>0</v>
      </c>
    </row>
    <row r="500" spans="1:3" hidden="1" x14ac:dyDescent="0.3">
      <c r="A500" s="28"/>
      <c r="B500" s="28"/>
      <c r="C500" s="29">
        <f>[1]!thsiFinD("ths_constituent_ up_number_index",A500,"2025-7-28")</f>
        <v>0</v>
      </c>
    </row>
    <row r="501" spans="1:3" hidden="1" x14ac:dyDescent="0.3">
      <c r="A501" s="28"/>
      <c r="B501" s="28"/>
      <c r="C501" s="29">
        <f>[1]!thsiFinD("ths_constituent_ up_number_index",A501,"2025-7-28")</f>
        <v>0</v>
      </c>
    </row>
    <row r="502" spans="1:3" hidden="1" x14ac:dyDescent="0.3">
      <c r="A502" s="28"/>
      <c r="B502" s="28"/>
      <c r="C502" s="29">
        <f>[1]!thsiFinD("ths_constituent_ up_number_index",A502,"2025-7-28")</f>
        <v>0</v>
      </c>
    </row>
    <row r="503" spans="1:3" hidden="1" x14ac:dyDescent="0.3">
      <c r="A503" s="28"/>
      <c r="B503" s="28"/>
      <c r="C503" s="29">
        <f>[1]!thsiFinD("ths_constituent_ up_number_index",A503,"2025-7-28")</f>
        <v>0</v>
      </c>
    </row>
    <row r="504" spans="1:3" hidden="1" x14ac:dyDescent="0.3">
      <c r="A504" s="28"/>
      <c r="B504" s="28"/>
      <c r="C504" s="29">
        <f>[1]!thsiFinD("ths_constituent_ up_number_index",A504,"2025-7-28")</f>
        <v>0</v>
      </c>
    </row>
    <row r="505" spans="1:3" hidden="1" x14ac:dyDescent="0.3">
      <c r="A505" s="28"/>
      <c r="B505" s="28"/>
      <c r="C505" s="29">
        <f>[1]!thsiFinD("ths_constituent_ up_number_index",A505,"2025-7-28")</f>
        <v>0</v>
      </c>
    </row>
    <row r="506" spans="1:3" hidden="1" x14ac:dyDescent="0.3">
      <c r="A506" s="28"/>
      <c r="B506" s="28"/>
      <c r="C506" s="29">
        <f>[1]!thsiFinD("ths_constituent_ up_number_index",A506,"2025-7-28")</f>
        <v>0</v>
      </c>
    </row>
    <row r="507" spans="1:3" hidden="1" x14ac:dyDescent="0.3">
      <c r="A507" s="28"/>
      <c r="B507" s="28"/>
      <c r="C507" s="29">
        <f>[1]!thsiFinD("ths_constituent_ up_number_index",A507,"2025-7-28")</f>
        <v>0</v>
      </c>
    </row>
    <row r="508" spans="1:3" hidden="1" x14ac:dyDescent="0.3">
      <c r="A508" s="28"/>
      <c r="B508" s="28"/>
      <c r="C508" s="29">
        <f>[1]!thsiFinD("ths_constituent_ up_number_index",A508,"2025-7-28")</f>
        <v>0</v>
      </c>
    </row>
    <row r="509" spans="1:3" hidden="1" x14ac:dyDescent="0.3">
      <c r="A509" s="28"/>
      <c r="B509" s="28"/>
      <c r="C509" s="29">
        <f>[1]!thsiFinD("ths_constituent_ up_number_index",A509,"2025-7-28")</f>
        <v>0</v>
      </c>
    </row>
    <row r="510" spans="1:3" hidden="1" x14ac:dyDescent="0.3">
      <c r="A510" s="28"/>
      <c r="B510" s="28"/>
      <c r="C510" s="29">
        <f>[1]!thsiFinD("ths_constituent_ up_number_index",A510,"2025-7-28")</f>
        <v>0</v>
      </c>
    </row>
    <row r="511" spans="1:3" hidden="1" x14ac:dyDescent="0.3">
      <c r="A511" s="28"/>
      <c r="B511" s="28"/>
      <c r="C511" s="29">
        <f>[1]!thsiFinD("ths_constituent_ up_number_index",A511,"2025-7-28")</f>
        <v>0</v>
      </c>
    </row>
    <row r="512" spans="1:3" hidden="1" x14ac:dyDescent="0.3">
      <c r="A512" s="28"/>
      <c r="B512" s="28"/>
      <c r="C512" s="29">
        <f>[1]!thsiFinD("ths_constituent_ up_number_index",A512,"2025-7-28")</f>
        <v>0</v>
      </c>
    </row>
    <row r="513" spans="1:3" hidden="1" x14ac:dyDescent="0.3">
      <c r="A513" s="28"/>
      <c r="B513" s="28"/>
      <c r="C513" s="29">
        <f>[1]!thsiFinD("ths_constituent_ up_number_index",A513,"2025-7-28")</f>
        <v>0</v>
      </c>
    </row>
    <row r="514" spans="1:3" hidden="1" x14ac:dyDescent="0.3">
      <c r="A514" s="28"/>
      <c r="B514" s="28"/>
      <c r="C514" s="29">
        <f>[1]!thsiFinD("ths_constituent_ up_number_index",A514,"2025-7-28")</f>
        <v>0</v>
      </c>
    </row>
    <row r="515" spans="1:3" hidden="1" x14ac:dyDescent="0.3">
      <c r="A515" s="28"/>
      <c r="B515" s="28"/>
      <c r="C515" s="29">
        <f>[1]!thsiFinD("ths_constituent_ up_number_index",A515,"2025-7-28")</f>
        <v>0</v>
      </c>
    </row>
    <row r="516" spans="1:3" hidden="1" x14ac:dyDescent="0.3">
      <c r="A516" s="28"/>
      <c r="B516" s="28"/>
      <c r="C516" s="29">
        <f>[1]!thsiFinD("ths_constituent_ up_number_index",A516,"2025-7-28")</f>
        <v>0</v>
      </c>
    </row>
    <row r="517" spans="1:3" hidden="1" x14ac:dyDescent="0.3">
      <c r="A517" s="28"/>
      <c r="B517" s="28"/>
      <c r="C517" s="29">
        <f>[1]!thsiFinD("ths_constituent_ up_number_index",A517,"2025-7-28")</f>
        <v>0</v>
      </c>
    </row>
    <row r="518" spans="1:3" hidden="1" x14ac:dyDescent="0.3">
      <c r="A518" s="28"/>
      <c r="B518" s="28"/>
      <c r="C518" s="29">
        <f>[1]!thsiFinD("ths_constituent_ up_number_index",A518,"2025-7-28")</f>
        <v>0</v>
      </c>
    </row>
    <row r="519" spans="1:3" hidden="1" x14ac:dyDescent="0.3">
      <c r="A519" s="28"/>
      <c r="B519" s="28"/>
      <c r="C519" s="29">
        <f>[1]!thsiFinD("ths_constituent_ up_number_index",A519,"2025-7-28")</f>
        <v>0</v>
      </c>
    </row>
    <row r="520" spans="1:3" hidden="1" x14ac:dyDescent="0.3">
      <c r="A520" s="28"/>
      <c r="B520" s="28"/>
      <c r="C520" s="29">
        <f>[1]!thsiFinD("ths_constituent_ up_number_index",A520,"2025-7-28")</f>
        <v>0</v>
      </c>
    </row>
    <row r="521" spans="1:3" hidden="1" x14ac:dyDescent="0.3">
      <c r="A521" s="28"/>
      <c r="B521" s="28"/>
      <c r="C521" s="29">
        <f>[1]!thsiFinD("ths_constituent_ up_number_index",A521,"2025-7-28")</f>
        <v>0</v>
      </c>
    </row>
    <row r="522" spans="1:3" hidden="1" x14ac:dyDescent="0.3">
      <c r="A522" s="28"/>
      <c r="B522" s="28"/>
      <c r="C522" s="29">
        <f>[1]!thsiFinD("ths_constituent_ up_number_index",A522,"2025-7-28")</f>
        <v>0</v>
      </c>
    </row>
    <row r="523" spans="1:3" hidden="1" x14ac:dyDescent="0.3">
      <c r="A523" s="28"/>
      <c r="B523" s="28"/>
      <c r="C523" s="29">
        <f>[1]!thsiFinD("ths_constituent_ up_number_index",A523,"2025-7-28")</f>
        <v>0</v>
      </c>
    </row>
    <row r="524" spans="1:3" hidden="1" x14ac:dyDescent="0.3">
      <c r="A524" s="28"/>
      <c r="B524" s="28"/>
      <c r="C524" s="29">
        <f>[1]!thsiFinD("ths_constituent_ up_number_index",A524,"2025-7-28")</f>
        <v>0</v>
      </c>
    </row>
    <row r="525" spans="1:3" hidden="1" x14ac:dyDescent="0.3">
      <c r="A525" s="28"/>
      <c r="B525" s="28"/>
      <c r="C525" s="29">
        <f>[1]!thsiFinD("ths_constituent_ up_number_index",A525,"2025-7-28")</f>
        <v>0</v>
      </c>
    </row>
    <row r="526" spans="1:3" hidden="1" x14ac:dyDescent="0.3">
      <c r="A526" s="28"/>
      <c r="B526" s="28"/>
      <c r="C526" s="29">
        <f>[1]!thsiFinD("ths_constituent_ up_number_index",A526,"2025-7-28")</f>
        <v>0</v>
      </c>
    </row>
    <row r="527" spans="1:3" hidden="1" x14ac:dyDescent="0.3">
      <c r="A527" s="28"/>
      <c r="B527" s="28"/>
      <c r="C527" s="29">
        <f>[1]!thsiFinD("ths_constituent_ up_number_index",A527,"2025-7-28")</f>
        <v>0</v>
      </c>
    </row>
    <row r="528" spans="1:3" hidden="1" x14ac:dyDescent="0.3">
      <c r="A528" s="28"/>
      <c r="B528" s="28"/>
      <c r="C528" s="29">
        <f>[1]!thsiFinD("ths_constituent_ up_number_index",A528,"2025-7-28")</f>
        <v>0</v>
      </c>
    </row>
    <row r="529" spans="1:3" hidden="1" x14ac:dyDescent="0.3">
      <c r="A529" s="28"/>
      <c r="B529" s="28"/>
      <c r="C529" s="29">
        <f>[1]!thsiFinD("ths_constituent_ up_number_index",A529,"2025-7-28")</f>
        <v>0</v>
      </c>
    </row>
    <row r="530" spans="1:3" hidden="1" x14ac:dyDescent="0.3">
      <c r="A530" s="28"/>
      <c r="B530" s="28"/>
      <c r="C530" s="29">
        <f>[1]!thsiFinD("ths_constituent_ up_number_index",A530,"2025-7-28")</f>
        <v>0</v>
      </c>
    </row>
    <row r="531" spans="1:3" hidden="1" x14ac:dyDescent="0.3">
      <c r="A531" s="28"/>
      <c r="B531" s="28"/>
      <c r="C531" s="29">
        <f>[1]!thsiFinD("ths_constituent_ up_number_index",A531,"2025-7-28")</f>
        <v>0</v>
      </c>
    </row>
    <row r="532" spans="1:3" hidden="1" x14ac:dyDescent="0.3">
      <c r="A532" s="28"/>
      <c r="B532" s="28"/>
      <c r="C532" s="29">
        <f>[1]!thsiFinD("ths_constituent_ up_number_index",A532,"2025-7-28")</f>
        <v>0</v>
      </c>
    </row>
    <row r="533" spans="1:3" hidden="1" x14ac:dyDescent="0.3">
      <c r="A533" s="28"/>
      <c r="B533" s="28"/>
      <c r="C533" s="29">
        <f>[1]!thsiFinD("ths_constituent_ up_number_index",A533,"2025-7-28")</f>
        <v>0</v>
      </c>
    </row>
    <row r="534" spans="1:3" hidden="1" x14ac:dyDescent="0.3">
      <c r="A534" s="28"/>
      <c r="B534" s="28"/>
      <c r="C534" s="29">
        <f>[1]!thsiFinD("ths_constituent_ up_number_index",A534,"2025-7-28")</f>
        <v>0</v>
      </c>
    </row>
    <row r="535" spans="1:3" hidden="1" x14ac:dyDescent="0.3">
      <c r="A535" s="28"/>
      <c r="B535" s="28"/>
      <c r="C535" s="29">
        <f>[1]!thsiFinD("ths_constituent_ up_number_index",A535,"2025-7-28")</f>
        <v>0</v>
      </c>
    </row>
    <row r="536" spans="1:3" hidden="1" x14ac:dyDescent="0.3">
      <c r="A536" s="28"/>
      <c r="B536" s="28"/>
      <c r="C536" s="29">
        <f>[1]!thsiFinD("ths_constituent_ up_number_index",A536,"2025-7-28")</f>
        <v>0</v>
      </c>
    </row>
    <row r="537" spans="1:3" hidden="1" x14ac:dyDescent="0.3">
      <c r="A537" s="28"/>
      <c r="B537" s="28"/>
      <c r="C537" s="29">
        <f>[1]!thsiFinD("ths_constituent_ up_number_index",A537,"2025-7-28")</f>
        <v>0</v>
      </c>
    </row>
    <row r="538" spans="1:3" hidden="1" x14ac:dyDescent="0.3">
      <c r="A538" s="28"/>
      <c r="B538" s="28"/>
      <c r="C538" s="29">
        <f>[1]!thsiFinD("ths_constituent_ up_number_index",A538,"2025-7-28")</f>
        <v>0</v>
      </c>
    </row>
    <row r="539" spans="1:3" hidden="1" x14ac:dyDescent="0.3">
      <c r="A539" s="28"/>
      <c r="B539" s="28"/>
      <c r="C539" s="29">
        <f>[1]!thsiFinD("ths_constituent_ up_number_index",A539,"2025-7-28")</f>
        <v>0</v>
      </c>
    </row>
    <row r="540" spans="1:3" hidden="1" x14ac:dyDescent="0.3">
      <c r="A540" s="28"/>
      <c r="B540" s="28"/>
      <c r="C540" s="29">
        <f>[1]!thsiFinD("ths_constituent_ up_number_index",A540,"2025-7-28")</f>
        <v>0</v>
      </c>
    </row>
    <row r="541" spans="1:3" hidden="1" x14ac:dyDescent="0.3">
      <c r="A541" s="28"/>
      <c r="B541" s="28"/>
      <c r="C541" s="29">
        <f>[1]!thsiFinD("ths_constituent_ up_number_index",A541,"2025-7-28")</f>
        <v>0</v>
      </c>
    </row>
    <row r="542" spans="1:3" hidden="1" x14ac:dyDescent="0.3">
      <c r="A542" s="28"/>
      <c r="B542" s="28"/>
      <c r="C542" s="29">
        <f>[1]!thsiFinD("ths_constituent_ up_number_index",A542,"2025-7-28")</f>
        <v>0</v>
      </c>
    </row>
    <row r="543" spans="1:3" hidden="1" x14ac:dyDescent="0.3">
      <c r="A543" s="28"/>
      <c r="B543" s="28"/>
      <c r="C543" s="29">
        <f>[1]!thsiFinD("ths_constituent_ up_number_index",A543,"2025-7-28")</f>
        <v>0</v>
      </c>
    </row>
    <row r="544" spans="1:3" hidden="1" x14ac:dyDescent="0.3">
      <c r="A544" s="28"/>
      <c r="B544" s="28"/>
      <c r="C544" s="29">
        <f>[1]!thsiFinD("ths_constituent_ up_number_index",A544,"2025-7-28")</f>
        <v>0</v>
      </c>
    </row>
    <row r="545" spans="1:3" hidden="1" x14ac:dyDescent="0.3">
      <c r="A545" s="28"/>
      <c r="B545" s="28"/>
      <c r="C545" s="29">
        <f>[1]!thsiFinD("ths_constituent_ up_number_index",A545,"2025-7-28")</f>
        <v>0</v>
      </c>
    </row>
    <row r="546" spans="1:3" hidden="1" x14ac:dyDescent="0.3">
      <c r="A546" s="28"/>
      <c r="B546" s="28"/>
      <c r="C546" s="29">
        <f>[1]!thsiFinD("ths_constituent_ up_number_index",A546,"2025-7-28")</f>
        <v>0</v>
      </c>
    </row>
    <row r="547" spans="1:3" hidden="1" x14ac:dyDescent="0.3">
      <c r="A547" s="28"/>
      <c r="B547" s="28"/>
      <c r="C547" s="29">
        <f>[1]!thsiFinD("ths_constituent_ up_number_index",A547,"2025-7-28")</f>
        <v>0</v>
      </c>
    </row>
    <row r="548" spans="1:3" hidden="1" x14ac:dyDescent="0.3">
      <c r="A548" s="28"/>
      <c r="B548" s="28"/>
      <c r="C548" s="29">
        <f>[1]!thsiFinD("ths_constituent_ up_number_index",A548,"2025-7-28")</f>
        <v>0</v>
      </c>
    </row>
    <row r="549" spans="1:3" hidden="1" x14ac:dyDescent="0.3">
      <c r="A549" s="28"/>
      <c r="B549" s="28"/>
      <c r="C549" s="29">
        <f>[1]!thsiFinD("ths_constituent_ up_number_index",A549,"2025-7-28")</f>
        <v>0</v>
      </c>
    </row>
    <row r="550" spans="1:3" hidden="1" x14ac:dyDescent="0.3">
      <c r="A550" s="28"/>
      <c r="B550" s="28"/>
      <c r="C550" s="29">
        <f>[1]!thsiFinD("ths_constituent_ up_number_index",A550,"2025-7-28")</f>
        <v>0</v>
      </c>
    </row>
    <row r="551" spans="1:3" hidden="1" x14ac:dyDescent="0.3">
      <c r="A551" s="28"/>
      <c r="B551" s="28"/>
      <c r="C551" s="29">
        <f>[1]!thsiFinD("ths_constituent_ up_number_index",A551,"2025-7-28")</f>
        <v>0</v>
      </c>
    </row>
    <row r="552" spans="1:3" hidden="1" x14ac:dyDescent="0.3">
      <c r="A552" s="28"/>
      <c r="B552" s="28"/>
      <c r="C552" s="29">
        <f>[1]!thsiFinD("ths_constituent_ up_number_index",A552,"2025-7-28")</f>
        <v>0</v>
      </c>
    </row>
    <row r="553" spans="1:3" hidden="1" x14ac:dyDescent="0.3">
      <c r="A553" s="28"/>
      <c r="B553" s="28"/>
      <c r="C553" s="29">
        <f>[1]!thsiFinD("ths_constituent_ up_number_index",A553,"2025-7-28")</f>
        <v>0</v>
      </c>
    </row>
    <row r="554" spans="1:3" hidden="1" x14ac:dyDescent="0.3">
      <c r="A554" s="28"/>
      <c r="B554" s="28"/>
      <c r="C554" s="29">
        <f>[1]!thsiFinD("ths_constituent_ up_number_index",A554,"2025-7-28")</f>
        <v>0</v>
      </c>
    </row>
    <row r="555" spans="1:3" hidden="1" x14ac:dyDescent="0.3">
      <c r="A555" s="28"/>
      <c r="B555" s="28"/>
      <c r="C555" s="29">
        <f>[1]!thsiFinD("ths_constituent_ up_number_index",A555,"2025-7-28")</f>
        <v>0</v>
      </c>
    </row>
    <row r="556" spans="1:3" hidden="1" x14ac:dyDescent="0.3">
      <c r="A556" s="28"/>
      <c r="B556" s="28"/>
      <c r="C556" s="29">
        <f>[1]!thsiFinD("ths_constituent_ up_number_index",A556,"2025-7-28")</f>
        <v>0</v>
      </c>
    </row>
    <row r="557" spans="1:3" hidden="1" x14ac:dyDescent="0.3">
      <c r="A557" s="28"/>
      <c r="B557" s="28"/>
      <c r="C557" s="29">
        <f>[1]!thsiFinD("ths_constituent_ up_number_index",A557,"2025-7-28")</f>
        <v>0</v>
      </c>
    </row>
    <row r="558" spans="1:3" hidden="1" x14ac:dyDescent="0.3">
      <c r="A558" s="28"/>
      <c r="B558" s="28"/>
      <c r="C558" s="29">
        <f>[1]!thsiFinD("ths_constituent_ up_number_index",A558,"2025-7-28")</f>
        <v>0</v>
      </c>
    </row>
    <row r="559" spans="1:3" hidden="1" x14ac:dyDescent="0.3">
      <c r="A559" s="28"/>
      <c r="B559" s="28"/>
      <c r="C559" s="29">
        <f>[1]!thsiFinD("ths_constituent_ up_number_index",A559,"2025-7-28")</f>
        <v>0</v>
      </c>
    </row>
    <row r="560" spans="1:3" hidden="1" x14ac:dyDescent="0.3">
      <c r="A560" s="28"/>
      <c r="B560" s="28"/>
      <c r="C560" s="29">
        <f>[1]!thsiFinD("ths_constituent_ up_number_index",A560,"2025-7-28")</f>
        <v>0</v>
      </c>
    </row>
    <row r="561" spans="1:3" hidden="1" x14ac:dyDescent="0.3">
      <c r="A561" s="28"/>
      <c r="B561" s="28"/>
      <c r="C561" s="29">
        <f>[1]!thsiFinD("ths_constituent_ up_number_index",A561,"2025-7-28")</f>
        <v>0</v>
      </c>
    </row>
    <row r="562" spans="1:3" hidden="1" x14ac:dyDescent="0.3">
      <c r="A562" s="28"/>
      <c r="B562" s="28"/>
      <c r="C562" s="29">
        <f>[1]!thsiFinD("ths_constituent_ up_number_index",A562,"2025-7-28")</f>
        <v>0</v>
      </c>
    </row>
    <row r="563" spans="1:3" hidden="1" x14ac:dyDescent="0.3">
      <c r="A563" s="28"/>
      <c r="B563" s="28"/>
      <c r="C563" s="29">
        <f>[1]!thsiFinD("ths_constituent_ up_number_index",A563,"2025-7-28")</f>
        <v>0</v>
      </c>
    </row>
    <row r="564" spans="1:3" hidden="1" x14ac:dyDescent="0.3">
      <c r="A564" s="28"/>
      <c r="B564" s="28"/>
      <c r="C564" s="29">
        <f>[1]!thsiFinD("ths_constituent_ up_number_index",A564,"2025-7-28")</f>
        <v>0</v>
      </c>
    </row>
    <row r="565" spans="1:3" hidden="1" x14ac:dyDescent="0.3">
      <c r="A565" s="28"/>
      <c r="B565" s="28"/>
      <c r="C565" s="29">
        <f>[1]!thsiFinD("ths_constituent_ up_number_index",A565,"2025-7-28")</f>
        <v>0</v>
      </c>
    </row>
    <row r="566" spans="1:3" hidden="1" x14ac:dyDescent="0.3">
      <c r="A566" s="28"/>
      <c r="B566" s="28"/>
      <c r="C566" s="29">
        <f>[1]!thsiFinD("ths_constituent_ up_number_index",A566,"2025-7-28")</f>
        <v>0</v>
      </c>
    </row>
    <row r="567" spans="1:3" hidden="1" x14ac:dyDescent="0.3">
      <c r="A567" s="28"/>
      <c r="B567" s="28"/>
      <c r="C567" s="29">
        <f>[1]!thsiFinD("ths_constituent_ up_number_index",A567,"2025-7-28")</f>
        <v>0</v>
      </c>
    </row>
    <row r="568" spans="1:3" hidden="1" x14ac:dyDescent="0.3">
      <c r="A568" s="28"/>
      <c r="B568" s="28"/>
      <c r="C568" s="29">
        <f>[1]!thsiFinD("ths_constituent_ up_number_index",A568,"2025-7-28")</f>
        <v>0</v>
      </c>
    </row>
    <row r="569" spans="1:3" hidden="1" x14ac:dyDescent="0.3">
      <c r="A569" s="28"/>
      <c r="B569" s="28"/>
      <c r="C569" s="29">
        <f>[1]!thsiFinD("ths_constituent_ up_number_index",A569,"2025-7-28")</f>
        <v>0</v>
      </c>
    </row>
    <row r="570" spans="1:3" hidden="1" x14ac:dyDescent="0.3">
      <c r="A570" s="28"/>
      <c r="B570" s="28"/>
      <c r="C570" s="29">
        <f>[1]!thsiFinD("ths_constituent_ up_number_index",A570,"2025-7-28")</f>
        <v>0</v>
      </c>
    </row>
    <row r="571" spans="1:3" hidden="1" x14ac:dyDescent="0.3">
      <c r="A571" s="28"/>
      <c r="B571" s="28"/>
      <c r="C571" s="29">
        <f>[1]!thsiFinD("ths_constituent_ up_number_index",A571,"2025-7-28")</f>
        <v>0</v>
      </c>
    </row>
    <row r="572" spans="1:3" hidden="1" x14ac:dyDescent="0.3">
      <c r="A572" s="28"/>
      <c r="B572" s="28"/>
      <c r="C572" s="29">
        <f>[1]!thsiFinD("ths_constituent_ up_number_index",A572,"2025-7-28")</f>
        <v>0</v>
      </c>
    </row>
    <row r="573" spans="1:3" hidden="1" x14ac:dyDescent="0.3">
      <c r="A573" s="28"/>
      <c r="B573" s="28"/>
      <c r="C573" s="29">
        <f>[1]!thsiFinD("ths_constituent_ up_number_index",A573,"2025-7-28")</f>
        <v>0</v>
      </c>
    </row>
    <row r="574" spans="1:3" hidden="1" x14ac:dyDescent="0.3">
      <c r="A574" s="28"/>
      <c r="B574" s="28"/>
      <c r="C574" s="29">
        <f>[1]!thsiFinD("ths_constituent_ up_number_index",A574,"2025-7-28")</f>
        <v>0</v>
      </c>
    </row>
    <row r="575" spans="1:3" hidden="1" x14ac:dyDescent="0.3">
      <c r="A575" s="28"/>
      <c r="B575" s="28"/>
      <c r="C575" s="29">
        <f>[1]!thsiFinD("ths_constituent_ up_number_index",A575,"2025-7-28")</f>
        <v>0</v>
      </c>
    </row>
    <row r="576" spans="1:3" hidden="1" x14ac:dyDescent="0.3">
      <c r="A576" s="28"/>
      <c r="B576" s="28"/>
      <c r="C576" s="29">
        <f>[1]!thsiFinD("ths_constituent_ up_number_index",A576,"2025-7-28")</f>
        <v>0</v>
      </c>
    </row>
    <row r="577" spans="1:3" hidden="1" x14ac:dyDescent="0.3">
      <c r="A577" s="28"/>
      <c r="B577" s="28"/>
      <c r="C577" s="29">
        <f>[1]!thsiFinD("ths_constituent_ up_number_index",A577,"2025-7-28")</f>
        <v>0</v>
      </c>
    </row>
    <row r="578" spans="1:3" hidden="1" x14ac:dyDescent="0.3">
      <c r="A578" s="28"/>
      <c r="B578" s="28"/>
      <c r="C578" s="29">
        <f>[1]!thsiFinD("ths_constituent_ up_number_index",A578,"2025-7-28")</f>
        <v>0</v>
      </c>
    </row>
    <row r="579" spans="1:3" hidden="1" x14ac:dyDescent="0.3">
      <c r="A579" s="28"/>
      <c r="B579" s="28"/>
      <c r="C579" s="29">
        <f>[1]!thsiFinD("ths_constituent_ up_number_index",A579,"2025-7-28")</f>
        <v>0</v>
      </c>
    </row>
    <row r="580" spans="1:3" hidden="1" x14ac:dyDescent="0.3">
      <c r="A580" s="28"/>
      <c r="B580" s="28"/>
      <c r="C580" s="29">
        <f>[1]!thsiFinD("ths_constituent_ up_number_index",A580,"2025-7-28")</f>
        <v>0</v>
      </c>
    </row>
    <row r="581" spans="1:3" hidden="1" x14ac:dyDescent="0.3">
      <c r="A581" s="28"/>
      <c r="B581" s="28"/>
      <c r="C581" s="29">
        <f>[1]!thsiFinD("ths_constituent_ up_number_index",A581,"2025-7-28")</f>
        <v>0</v>
      </c>
    </row>
    <row r="582" spans="1:3" hidden="1" x14ac:dyDescent="0.3">
      <c r="A582" s="28"/>
      <c r="B582" s="28"/>
      <c r="C582" s="29">
        <f>[1]!thsiFinD("ths_constituent_ up_number_index",A582,"2025-7-28")</f>
        <v>0</v>
      </c>
    </row>
    <row r="583" spans="1:3" hidden="1" x14ac:dyDescent="0.3">
      <c r="A583" s="28"/>
      <c r="B583" s="28"/>
      <c r="C583" s="29">
        <f>[1]!thsiFinD("ths_constituent_ up_number_index",A583,"2025-7-28")</f>
        <v>0</v>
      </c>
    </row>
    <row r="584" spans="1:3" hidden="1" x14ac:dyDescent="0.3">
      <c r="A584" s="28"/>
      <c r="B584" s="28"/>
      <c r="C584" s="29">
        <f>[1]!thsiFinD("ths_constituent_ up_number_index",A584,"2025-7-28")</f>
        <v>0</v>
      </c>
    </row>
    <row r="585" spans="1:3" hidden="1" x14ac:dyDescent="0.3">
      <c r="A585" s="28"/>
      <c r="B585" s="28"/>
      <c r="C585" s="29">
        <f>[1]!thsiFinD("ths_constituent_ up_number_index",A585,"2025-7-28")</f>
        <v>0</v>
      </c>
    </row>
    <row r="586" spans="1:3" hidden="1" x14ac:dyDescent="0.3">
      <c r="A586" s="28"/>
      <c r="B586" s="28"/>
      <c r="C586" s="29">
        <f>[1]!thsiFinD("ths_constituent_ up_number_index",A586,"2025-7-28")</f>
        <v>0</v>
      </c>
    </row>
    <row r="587" spans="1:3" hidden="1" x14ac:dyDescent="0.3">
      <c r="A587" s="28"/>
      <c r="B587" s="28"/>
      <c r="C587" s="29">
        <f>[1]!thsiFinD("ths_constituent_ up_number_index",A587,"2025-7-28")</f>
        <v>0</v>
      </c>
    </row>
    <row r="588" spans="1:3" hidden="1" x14ac:dyDescent="0.3">
      <c r="A588" s="28"/>
      <c r="B588" s="28"/>
      <c r="C588" s="29">
        <f>[1]!thsiFinD("ths_constituent_ up_number_index",A588,"2025-7-28")</f>
        <v>0</v>
      </c>
    </row>
    <row r="589" spans="1:3" hidden="1" x14ac:dyDescent="0.3">
      <c r="A589" s="28"/>
      <c r="B589" s="28"/>
      <c r="C589" s="29">
        <f>[1]!thsiFinD("ths_constituent_ up_number_index",A589,"2025-7-28")</f>
        <v>0</v>
      </c>
    </row>
    <row r="590" spans="1:3" hidden="1" x14ac:dyDescent="0.3">
      <c r="A590" s="28"/>
      <c r="B590" s="28"/>
      <c r="C590" s="29">
        <f>[1]!thsiFinD("ths_constituent_ up_number_index",A590,"2025-7-28")</f>
        <v>0</v>
      </c>
    </row>
    <row r="591" spans="1:3" hidden="1" x14ac:dyDescent="0.3">
      <c r="A591" s="28"/>
      <c r="B591" s="28"/>
      <c r="C591" s="29">
        <f>[1]!thsiFinD("ths_constituent_ up_number_index",A591,"2025-7-28")</f>
        <v>0</v>
      </c>
    </row>
    <row r="592" spans="1:3" hidden="1" x14ac:dyDescent="0.3">
      <c r="A592" s="28"/>
      <c r="B592" s="28"/>
      <c r="C592" s="29">
        <f>[1]!thsiFinD("ths_constituent_ up_number_index",A592,"2025-7-28")</f>
        <v>0</v>
      </c>
    </row>
    <row r="593" spans="1:3" hidden="1" x14ac:dyDescent="0.3">
      <c r="A593" s="28"/>
      <c r="B593" s="28"/>
      <c r="C593" s="29">
        <f>[1]!thsiFinD("ths_constituent_ up_number_index",A593,"2025-7-28")</f>
        <v>0</v>
      </c>
    </row>
    <row r="594" spans="1:3" hidden="1" x14ac:dyDescent="0.3">
      <c r="A594" s="28"/>
      <c r="B594" s="28"/>
      <c r="C594" s="29">
        <f>[1]!thsiFinD("ths_constituent_ up_number_index",A594,"2025-7-28")</f>
        <v>0</v>
      </c>
    </row>
    <row r="595" spans="1:3" hidden="1" x14ac:dyDescent="0.3">
      <c r="A595" s="28"/>
      <c r="B595" s="28"/>
      <c r="C595" s="29">
        <f>[1]!thsiFinD("ths_constituent_ up_number_index",A595,"2025-7-28")</f>
        <v>0</v>
      </c>
    </row>
    <row r="596" spans="1:3" hidden="1" x14ac:dyDescent="0.3">
      <c r="A596" s="28"/>
      <c r="B596" s="28"/>
      <c r="C596" s="29">
        <f>[1]!thsiFinD("ths_constituent_ up_number_index",A596,"2025-7-28")</f>
        <v>0</v>
      </c>
    </row>
    <row r="597" spans="1:3" hidden="1" x14ac:dyDescent="0.3">
      <c r="A597" s="28"/>
      <c r="B597" s="28"/>
      <c r="C597" s="29">
        <f>[1]!thsiFinD("ths_constituent_ up_number_index",A597,"2025-7-28")</f>
        <v>0</v>
      </c>
    </row>
    <row r="598" spans="1:3" hidden="1" x14ac:dyDescent="0.3">
      <c r="A598" s="28"/>
      <c r="B598" s="28"/>
      <c r="C598" s="29">
        <f>[1]!thsiFinD("ths_constituent_ up_number_index",A598,"2025-7-28")</f>
        <v>0</v>
      </c>
    </row>
    <row r="599" spans="1:3" hidden="1" x14ac:dyDescent="0.3">
      <c r="A599" s="28"/>
      <c r="B599" s="28"/>
      <c r="C599" s="29">
        <f>[1]!thsiFinD("ths_constituent_ up_number_index",A599,"2025-7-28")</f>
        <v>0</v>
      </c>
    </row>
    <row r="600" spans="1:3" hidden="1" x14ac:dyDescent="0.3">
      <c r="A600" s="28"/>
      <c r="B600" s="28"/>
      <c r="C600" s="29">
        <f>[1]!thsiFinD("ths_constituent_ up_number_index",A600,"2025-7-28")</f>
        <v>0</v>
      </c>
    </row>
    <row r="601" spans="1:3" hidden="1" x14ac:dyDescent="0.3">
      <c r="A601" s="28"/>
      <c r="B601" s="28"/>
      <c r="C601" s="29">
        <f>[1]!thsiFinD("ths_constituent_ up_number_index",A601,"2025-7-28")</f>
        <v>0</v>
      </c>
    </row>
    <row r="602" spans="1:3" hidden="1" x14ac:dyDescent="0.3">
      <c r="A602" s="28"/>
      <c r="B602" s="28"/>
      <c r="C602" s="29">
        <f>[1]!thsiFinD("ths_constituent_ up_number_index",A602,"2025-7-28")</f>
        <v>0</v>
      </c>
    </row>
    <row r="603" spans="1:3" hidden="1" x14ac:dyDescent="0.3">
      <c r="A603" s="28"/>
      <c r="B603" s="28"/>
      <c r="C603" s="29">
        <f>[1]!thsiFinD("ths_constituent_ up_number_index",A603,"2025-7-28")</f>
        <v>0</v>
      </c>
    </row>
    <row r="604" spans="1:3" hidden="1" x14ac:dyDescent="0.3">
      <c r="A604" s="28"/>
      <c r="B604" s="28"/>
      <c r="C604" s="29">
        <f>[1]!thsiFinD("ths_constituent_ up_number_index",A604,"2025-7-28")</f>
        <v>0</v>
      </c>
    </row>
    <row r="605" spans="1:3" hidden="1" x14ac:dyDescent="0.3">
      <c r="A605" s="28"/>
      <c r="B605" s="28"/>
      <c r="C605" s="29">
        <f>[1]!thsiFinD("ths_constituent_ up_number_index",A605,"2025-7-28")</f>
        <v>0</v>
      </c>
    </row>
    <row r="606" spans="1:3" hidden="1" x14ac:dyDescent="0.3">
      <c r="A606" s="28"/>
      <c r="B606" s="28"/>
      <c r="C606" s="29">
        <f>[1]!thsiFinD("ths_constituent_ up_number_index",A606,"2025-7-28")</f>
        <v>0</v>
      </c>
    </row>
    <row r="607" spans="1:3" hidden="1" x14ac:dyDescent="0.3">
      <c r="A607" s="28"/>
      <c r="B607" s="28"/>
      <c r="C607" s="29">
        <f>[1]!thsiFinD("ths_constituent_ up_number_index",A607,"2025-7-28")</f>
        <v>0</v>
      </c>
    </row>
    <row r="608" spans="1:3" hidden="1" x14ac:dyDescent="0.3">
      <c r="A608" s="28"/>
      <c r="B608" s="28"/>
      <c r="C608" s="29">
        <f>[1]!thsiFinD("ths_constituent_ up_number_index",A608,"2025-7-28")</f>
        <v>0</v>
      </c>
    </row>
    <row r="609" spans="1:3" hidden="1" x14ac:dyDescent="0.3">
      <c r="A609" s="28"/>
      <c r="B609" s="28"/>
      <c r="C609" s="29">
        <f>[1]!thsiFinD("ths_constituent_ up_number_index",A609,"2025-7-28")</f>
        <v>0</v>
      </c>
    </row>
    <row r="610" spans="1:3" hidden="1" x14ac:dyDescent="0.3">
      <c r="A610" s="28"/>
      <c r="B610" s="28"/>
      <c r="C610" s="29">
        <f>[1]!thsiFinD("ths_constituent_ up_number_index",A610,"2025-7-28")</f>
        <v>0</v>
      </c>
    </row>
    <row r="611" spans="1:3" hidden="1" x14ac:dyDescent="0.3">
      <c r="A611" s="28"/>
      <c r="B611" s="28"/>
      <c r="C611" s="29">
        <f>[1]!thsiFinD("ths_constituent_ up_number_index",A611,"2025-7-28")</f>
        <v>0</v>
      </c>
    </row>
    <row r="612" spans="1:3" hidden="1" x14ac:dyDescent="0.3">
      <c r="A612" s="28"/>
      <c r="B612" s="28"/>
      <c r="C612" s="29">
        <f>[1]!thsiFinD("ths_constituent_ up_number_index",A612,"2025-7-28")</f>
        <v>0</v>
      </c>
    </row>
    <row r="613" spans="1:3" hidden="1" x14ac:dyDescent="0.3">
      <c r="A613" s="28"/>
      <c r="B613" s="28"/>
      <c r="C613" s="29">
        <f>[1]!thsiFinD("ths_constituent_ up_number_index",A613,"2025-7-28")</f>
        <v>0</v>
      </c>
    </row>
    <row r="614" spans="1:3" hidden="1" x14ac:dyDescent="0.3">
      <c r="A614" s="28"/>
      <c r="B614" s="28"/>
      <c r="C614" s="29">
        <f>[1]!thsiFinD("ths_constituent_ up_number_index",A614,"2025-7-28")</f>
        <v>0</v>
      </c>
    </row>
    <row r="615" spans="1:3" hidden="1" x14ac:dyDescent="0.3">
      <c r="A615" s="28"/>
      <c r="B615" s="28"/>
      <c r="C615" s="29">
        <f>[1]!thsiFinD("ths_constituent_ up_number_index",A615,"2025-7-28")</f>
        <v>0</v>
      </c>
    </row>
    <row r="616" spans="1:3" hidden="1" x14ac:dyDescent="0.3">
      <c r="A616" s="28"/>
      <c r="B616" s="28"/>
      <c r="C616" s="29">
        <f>[1]!thsiFinD("ths_constituent_ up_number_index",A616,"2025-7-28")</f>
        <v>0</v>
      </c>
    </row>
    <row r="617" spans="1:3" hidden="1" x14ac:dyDescent="0.3">
      <c r="A617" s="28"/>
      <c r="B617" s="28"/>
      <c r="C617" s="29">
        <f>[1]!thsiFinD("ths_constituent_ up_number_index",A617,"2025-7-28")</f>
        <v>0</v>
      </c>
    </row>
    <row r="618" spans="1:3" hidden="1" x14ac:dyDescent="0.3">
      <c r="A618" s="28"/>
      <c r="B618" s="28"/>
      <c r="C618" s="29">
        <f>[1]!thsiFinD("ths_constituent_ up_number_index",A618,"2025-7-28")</f>
        <v>0</v>
      </c>
    </row>
    <row r="619" spans="1:3" hidden="1" x14ac:dyDescent="0.3">
      <c r="A619" s="28"/>
      <c r="B619" s="28"/>
      <c r="C619" s="29">
        <f>[1]!thsiFinD("ths_constituent_ up_number_index",A619,"2025-7-28")</f>
        <v>0</v>
      </c>
    </row>
    <row r="620" spans="1:3" hidden="1" x14ac:dyDescent="0.3">
      <c r="A620" s="28"/>
      <c r="B620" s="28"/>
      <c r="C620" s="29">
        <f>[1]!thsiFinD("ths_constituent_ up_number_index",A620,"2025-7-28")</f>
        <v>0</v>
      </c>
    </row>
    <row r="621" spans="1:3" hidden="1" x14ac:dyDescent="0.3">
      <c r="A621" s="28"/>
      <c r="B621" s="28"/>
      <c r="C621" s="29">
        <f>[1]!thsiFinD("ths_constituent_ up_number_index",A621,"2025-7-28")</f>
        <v>0</v>
      </c>
    </row>
    <row r="622" spans="1:3" hidden="1" x14ac:dyDescent="0.3">
      <c r="A622" s="28"/>
      <c r="B622" s="28"/>
      <c r="C622" s="29">
        <f>[1]!thsiFinD("ths_constituent_ up_number_index",A622,"2025-7-28")</f>
        <v>0</v>
      </c>
    </row>
    <row r="623" spans="1:3" hidden="1" x14ac:dyDescent="0.3">
      <c r="A623" s="28"/>
      <c r="B623" s="28"/>
      <c r="C623" s="29">
        <f>[1]!thsiFinD("ths_constituent_ up_number_index",A623,"2025-7-28")</f>
        <v>0</v>
      </c>
    </row>
    <row r="624" spans="1:3" hidden="1" x14ac:dyDescent="0.3">
      <c r="A624" s="28"/>
      <c r="B624" s="28"/>
      <c r="C624" s="29">
        <f>[1]!thsiFinD("ths_constituent_ up_number_index",A624,"2025-7-28")</f>
        <v>0</v>
      </c>
    </row>
    <row r="625" spans="1:3" hidden="1" x14ac:dyDescent="0.3">
      <c r="A625" s="28"/>
      <c r="B625" s="28"/>
      <c r="C625" s="29">
        <f>[1]!thsiFinD("ths_constituent_ up_number_index",A625,"2025-7-28")</f>
        <v>0</v>
      </c>
    </row>
    <row r="626" spans="1:3" hidden="1" x14ac:dyDescent="0.3">
      <c r="A626" s="28"/>
      <c r="B626" s="28"/>
      <c r="C626" s="29">
        <f>[1]!thsiFinD("ths_constituent_ up_number_index",A626,"2025-7-28")</f>
        <v>0</v>
      </c>
    </row>
    <row r="627" spans="1:3" hidden="1" x14ac:dyDescent="0.3">
      <c r="A627" s="28"/>
      <c r="B627" s="28"/>
      <c r="C627" s="29">
        <f>[1]!thsiFinD("ths_constituent_ up_number_index",A627,"2025-7-28")</f>
        <v>0</v>
      </c>
    </row>
    <row r="628" spans="1:3" hidden="1" x14ac:dyDescent="0.3">
      <c r="A628" s="28"/>
      <c r="B628" s="28"/>
      <c r="C628" s="29">
        <f>[1]!thsiFinD("ths_constituent_ up_number_index",A628,"2025-7-28")</f>
        <v>0</v>
      </c>
    </row>
    <row r="629" spans="1:3" hidden="1" x14ac:dyDescent="0.3">
      <c r="A629" s="28"/>
      <c r="B629" s="28"/>
      <c r="C629" s="29">
        <f>[1]!thsiFinD("ths_constituent_ up_number_index",A629,"2025-7-28")</f>
        <v>0</v>
      </c>
    </row>
    <row r="630" spans="1:3" hidden="1" x14ac:dyDescent="0.3">
      <c r="A630" s="28"/>
      <c r="B630" s="28"/>
      <c r="C630" s="29">
        <f>[1]!thsiFinD("ths_constituent_ up_number_index",A630,"2025-7-28")</f>
        <v>0</v>
      </c>
    </row>
    <row r="631" spans="1:3" hidden="1" x14ac:dyDescent="0.3">
      <c r="A631" s="28"/>
      <c r="B631" s="28"/>
      <c r="C631" s="29">
        <f>[1]!thsiFinD("ths_constituent_ up_number_index",A631,"2025-7-28")</f>
        <v>0</v>
      </c>
    </row>
    <row r="632" spans="1:3" hidden="1" x14ac:dyDescent="0.3">
      <c r="A632" s="28"/>
      <c r="B632" s="28"/>
      <c r="C632" s="29">
        <f>[1]!thsiFinD("ths_constituent_ up_number_index",A632,"2025-7-28")</f>
        <v>0</v>
      </c>
    </row>
    <row r="633" spans="1:3" hidden="1" x14ac:dyDescent="0.3">
      <c r="A633" s="28"/>
      <c r="B633" s="28"/>
      <c r="C633" s="29">
        <f>[1]!thsiFinD("ths_constituent_ up_number_index",A633,"2025-7-28")</f>
        <v>0</v>
      </c>
    </row>
    <row r="634" spans="1:3" hidden="1" x14ac:dyDescent="0.3">
      <c r="A634" s="28"/>
      <c r="B634" s="28"/>
      <c r="C634" s="29">
        <f>[1]!thsiFinD("ths_constituent_ up_number_index",A634,"2025-7-28")</f>
        <v>0</v>
      </c>
    </row>
    <row r="635" spans="1:3" hidden="1" x14ac:dyDescent="0.3">
      <c r="A635" s="28"/>
      <c r="B635" s="28"/>
      <c r="C635" s="29">
        <f>[1]!thsiFinD("ths_constituent_ up_number_index",A635,"2025-7-28")</f>
        <v>0</v>
      </c>
    </row>
    <row r="636" spans="1:3" hidden="1" x14ac:dyDescent="0.3">
      <c r="A636" s="28"/>
      <c r="B636" s="28"/>
      <c r="C636" s="29">
        <f>[1]!thsiFinD("ths_constituent_ up_number_index",A636,"2025-7-28")</f>
        <v>0</v>
      </c>
    </row>
    <row r="637" spans="1:3" hidden="1" x14ac:dyDescent="0.3">
      <c r="A637" s="28"/>
      <c r="B637" s="28"/>
      <c r="C637" s="29">
        <f>[1]!thsiFinD("ths_constituent_ up_number_index",A637,"2025-7-28")</f>
        <v>0</v>
      </c>
    </row>
    <row r="638" spans="1:3" hidden="1" x14ac:dyDescent="0.3">
      <c r="A638" s="28"/>
      <c r="B638" s="28"/>
      <c r="C638" s="29">
        <f>[1]!thsiFinD("ths_constituent_ up_number_index",A638,"2025-7-28")</f>
        <v>0</v>
      </c>
    </row>
    <row r="639" spans="1:3" hidden="1" x14ac:dyDescent="0.3">
      <c r="A639" s="28"/>
      <c r="B639" s="28"/>
      <c r="C639" s="29">
        <f>[1]!thsiFinD("ths_constituent_ up_number_index",A639,"2025-7-28")</f>
        <v>0</v>
      </c>
    </row>
    <row r="640" spans="1:3" hidden="1" x14ac:dyDescent="0.3">
      <c r="A640" s="28"/>
      <c r="B640" s="28"/>
      <c r="C640" s="29">
        <f>[1]!thsiFinD("ths_constituent_ up_number_index",A640,"2025-7-28")</f>
        <v>0</v>
      </c>
    </row>
    <row r="641" spans="1:3" hidden="1" x14ac:dyDescent="0.3">
      <c r="A641" s="28"/>
      <c r="B641" s="28"/>
      <c r="C641" s="29">
        <f>[1]!thsiFinD("ths_constituent_ up_number_index",A641,"2025-7-28")</f>
        <v>0</v>
      </c>
    </row>
    <row r="642" spans="1:3" hidden="1" x14ac:dyDescent="0.3">
      <c r="A642" s="28"/>
      <c r="B642" s="28"/>
      <c r="C642" s="29">
        <f>[1]!thsiFinD("ths_constituent_ up_number_index",A642,"2025-7-28")</f>
        <v>0</v>
      </c>
    </row>
    <row r="643" spans="1:3" hidden="1" x14ac:dyDescent="0.3">
      <c r="A643" s="28"/>
      <c r="B643" s="28"/>
      <c r="C643" s="29">
        <f>[1]!thsiFinD("ths_constituent_ up_number_index",A643,"2025-7-28")</f>
        <v>0</v>
      </c>
    </row>
    <row r="644" spans="1:3" hidden="1" x14ac:dyDescent="0.3">
      <c r="A644" s="28"/>
      <c r="B644" s="28"/>
      <c r="C644" s="29">
        <f>[1]!thsiFinD("ths_constituent_ up_number_index",A644,"2025-7-28")</f>
        <v>0</v>
      </c>
    </row>
    <row r="645" spans="1:3" hidden="1" x14ac:dyDescent="0.3">
      <c r="A645" s="28"/>
      <c r="B645" s="28"/>
      <c r="C645" s="29">
        <f>[1]!thsiFinD("ths_constituent_ up_number_index",A645,"2025-7-28")</f>
        <v>0</v>
      </c>
    </row>
    <row r="646" spans="1:3" hidden="1" x14ac:dyDescent="0.3">
      <c r="A646" s="28"/>
      <c r="B646" s="28"/>
      <c r="C646" s="29">
        <f>[1]!thsiFinD("ths_constituent_ up_number_index",A646,"2025-7-28")</f>
        <v>0</v>
      </c>
    </row>
    <row r="647" spans="1:3" hidden="1" x14ac:dyDescent="0.3">
      <c r="A647" s="28"/>
      <c r="B647" s="28"/>
      <c r="C647" s="29">
        <f>[1]!thsiFinD("ths_constituent_ up_number_index",A647,"2025-7-28")</f>
        <v>0</v>
      </c>
    </row>
    <row r="648" spans="1:3" hidden="1" x14ac:dyDescent="0.3">
      <c r="A648" s="28"/>
      <c r="B648" s="28"/>
      <c r="C648" s="29">
        <f>[1]!thsiFinD("ths_constituent_ up_number_index",A648,"2025-7-28")</f>
        <v>0</v>
      </c>
    </row>
    <row r="649" spans="1:3" hidden="1" x14ac:dyDescent="0.3">
      <c r="A649" s="28"/>
      <c r="B649" s="28"/>
      <c r="C649" s="29">
        <f>[1]!thsiFinD("ths_constituent_ up_number_index",A649,"2025-7-28")</f>
        <v>0</v>
      </c>
    </row>
    <row r="650" spans="1:3" hidden="1" x14ac:dyDescent="0.3">
      <c r="A650" s="28"/>
      <c r="B650" s="28"/>
      <c r="C650" s="29">
        <f>[1]!thsiFinD("ths_constituent_ up_number_index",A650,"2025-7-28")</f>
        <v>0</v>
      </c>
    </row>
    <row r="651" spans="1:3" hidden="1" x14ac:dyDescent="0.3">
      <c r="A651" s="28"/>
      <c r="B651" s="28"/>
      <c r="C651" s="29">
        <f>[1]!thsiFinD("ths_constituent_ up_number_index",A651,"2025-7-28")</f>
        <v>0</v>
      </c>
    </row>
    <row r="652" spans="1:3" hidden="1" x14ac:dyDescent="0.3">
      <c r="A652" s="28"/>
      <c r="B652" s="28"/>
      <c r="C652" s="29">
        <f>[1]!thsiFinD("ths_constituent_ up_number_index",A652,"2025-7-28")</f>
        <v>0</v>
      </c>
    </row>
    <row r="653" spans="1:3" hidden="1" x14ac:dyDescent="0.3">
      <c r="A653" s="28"/>
      <c r="B653" s="28"/>
      <c r="C653" s="29">
        <f>[1]!thsiFinD("ths_constituent_ up_number_index",A653,"2025-7-28")</f>
        <v>0</v>
      </c>
    </row>
    <row r="654" spans="1:3" hidden="1" x14ac:dyDescent="0.3">
      <c r="A654" s="28"/>
      <c r="B654" s="28"/>
      <c r="C654" s="29">
        <f>[1]!thsiFinD("ths_constituent_ up_number_index",A654,"2025-7-28")</f>
        <v>0</v>
      </c>
    </row>
    <row r="655" spans="1:3" hidden="1" x14ac:dyDescent="0.3">
      <c r="A655" s="28"/>
      <c r="B655" s="28"/>
      <c r="C655" s="29">
        <f>[1]!thsiFinD("ths_constituent_ up_number_index",A655,"2025-7-28")</f>
        <v>0</v>
      </c>
    </row>
    <row r="656" spans="1:3" hidden="1" x14ac:dyDescent="0.3">
      <c r="A656" s="28"/>
      <c r="B656" s="28"/>
      <c r="C656" s="29">
        <f>[1]!thsiFinD("ths_constituent_ up_number_index",A656,"2025-7-28")</f>
        <v>0</v>
      </c>
    </row>
    <row r="657" spans="1:3" hidden="1" x14ac:dyDescent="0.3">
      <c r="A657" s="28"/>
      <c r="B657" s="28"/>
      <c r="C657" s="29">
        <f>[1]!thsiFinD("ths_constituent_ up_number_index",A657,"2025-7-28")</f>
        <v>0</v>
      </c>
    </row>
    <row r="658" spans="1:3" hidden="1" x14ac:dyDescent="0.3">
      <c r="A658" s="28"/>
      <c r="B658" s="28"/>
      <c r="C658" s="29">
        <f>[1]!thsiFinD("ths_constituent_ up_number_index",A658,"2025-7-28")</f>
        <v>0</v>
      </c>
    </row>
    <row r="659" spans="1:3" hidden="1" x14ac:dyDescent="0.3">
      <c r="A659" s="28"/>
      <c r="B659" s="28"/>
      <c r="C659" s="29">
        <f>[1]!thsiFinD("ths_constituent_ up_number_index",A659,"2025-7-28")</f>
        <v>0</v>
      </c>
    </row>
    <row r="660" spans="1:3" hidden="1" x14ac:dyDescent="0.3">
      <c r="A660" s="28"/>
      <c r="B660" s="28"/>
      <c r="C660" s="29">
        <f>[1]!thsiFinD("ths_constituent_ up_number_index",A660,"2025-7-28")</f>
        <v>0</v>
      </c>
    </row>
    <row r="661" spans="1:3" hidden="1" x14ac:dyDescent="0.3">
      <c r="A661" s="28"/>
      <c r="B661" s="28"/>
      <c r="C661" s="29">
        <f>[1]!thsiFinD("ths_constituent_ up_number_index",A661,"2025-7-28")</f>
        <v>0</v>
      </c>
    </row>
    <row r="662" spans="1:3" hidden="1" x14ac:dyDescent="0.3">
      <c r="A662" s="28"/>
      <c r="B662" s="28"/>
      <c r="C662" s="29">
        <f>[1]!thsiFinD("ths_constituent_ up_number_index",A662,"2025-7-28")</f>
        <v>0</v>
      </c>
    </row>
    <row r="663" spans="1:3" hidden="1" x14ac:dyDescent="0.3">
      <c r="A663" s="28"/>
      <c r="B663" s="28"/>
      <c r="C663" s="29">
        <f>[1]!thsiFinD("ths_constituent_ up_number_index",A663,"2025-7-28")</f>
        <v>0</v>
      </c>
    </row>
    <row r="664" spans="1:3" hidden="1" x14ac:dyDescent="0.3">
      <c r="A664" s="28"/>
      <c r="B664" s="28"/>
      <c r="C664" s="29">
        <f>[1]!thsiFinD("ths_constituent_ up_number_index",A664,"2025-7-28")</f>
        <v>0</v>
      </c>
    </row>
    <row r="665" spans="1:3" hidden="1" x14ac:dyDescent="0.3">
      <c r="A665" s="28"/>
      <c r="B665" s="28"/>
      <c r="C665" s="29">
        <f>[1]!thsiFinD("ths_constituent_ up_number_index",A665,"2025-7-28")</f>
        <v>0</v>
      </c>
    </row>
    <row r="666" spans="1:3" hidden="1" x14ac:dyDescent="0.3">
      <c r="A666" s="28"/>
      <c r="B666" s="28"/>
      <c r="C666" s="29">
        <f>[1]!thsiFinD("ths_constituent_ up_number_index",A666,"2025-7-28")</f>
        <v>0</v>
      </c>
    </row>
    <row r="667" spans="1:3" hidden="1" x14ac:dyDescent="0.3">
      <c r="A667" s="28"/>
      <c r="B667" s="28"/>
      <c r="C667" s="29">
        <f>[1]!thsiFinD("ths_constituent_ up_number_index",A667,"2025-7-28")</f>
        <v>0</v>
      </c>
    </row>
    <row r="668" spans="1:3" hidden="1" x14ac:dyDescent="0.3">
      <c r="A668" s="28"/>
      <c r="B668" s="28"/>
      <c r="C668" s="29">
        <f>[1]!thsiFinD("ths_constituent_ up_number_index",A668,"2025-7-28")</f>
        <v>0</v>
      </c>
    </row>
    <row r="669" spans="1:3" hidden="1" x14ac:dyDescent="0.3">
      <c r="A669" s="28"/>
      <c r="B669" s="28"/>
      <c r="C669" s="29">
        <f>[1]!thsiFinD("ths_constituent_ up_number_index",A669,"2025-7-28")</f>
        <v>0</v>
      </c>
    </row>
    <row r="670" spans="1:3" hidden="1" x14ac:dyDescent="0.3">
      <c r="A670" s="28"/>
      <c r="B670" s="28"/>
      <c r="C670" s="29">
        <f>[1]!thsiFinD("ths_constituent_ up_number_index",A670,"2025-7-28")</f>
        <v>0</v>
      </c>
    </row>
    <row r="671" spans="1:3" hidden="1" x14ac:dyDescent="0.3">
      <c r="A671" s="28"/>
      <c r="B671" s="28"/>
      <c r="C671" s="29">
        <f>[1]!thsiFinD("ths_constituent_ up_number_index",A671,"2025-7-28")</f>
        <v>0</v>
      </c>
    </row>
    <row r="672" spans="1:3" hidden="1" x14ac:dyDescent="0.3">
      <c r="A672" s="28"/>
      <c r="B672" s="28"/>
      <c r="C672" s="29">
        <f>[1]!thsiFinD("ths_constituent_ up_number_index",A672,"2025-7-28")</f>
        <v>0</v>
      </c>
    </row>
    <row r="673" spans="1:3" hidden="1" x14ac:dyDescent="0.3">
      <c r="A673" s="28"/>
      <c r="B673" s="28"/>
      <c r="C673" s="29">
        <f>[1]!thsiFinD("ths_constituent_ up_number_index",A673,"2025-7-28")</f>
        <v>0</v>
      </c>
    </row>
    <row r="674" spans="1:3" hidden="1" x14ac:dyDescent="0.3">
      <c r="A674" s="28"/>
      <c r="B674" s="28"/>
      <c r="C674" s="29">
        <f>[1]!thsiFinD("ths_constituent_ up_number_index",A674,"2025-7-28")</f>
        <v>0</v>
      </c>
    </row>
    <row r="675" spans="1:3" hidden="1" x14ac:dyDescent="0.3">
      <c r="A675" s="28"/>
      <c r="B675" s="28"/>
      <c r="C675" s="29">
        <f>[1]!thsiFinD("ths_constituent_ up_number_index",A675,"2025-7-28")</f>
        <v>0</v>
      </c>
    </row>
    <row r="676" spans="1:3" hidden="1" x14ac:dyDescent="0.3">
      <c r="A676" s="28"/>
      <c r="B676" s="28"/>
      <c r="C676" s="29">
        <f>[1]!thsiFinD("ths_constituent_ up_number_index",A676,"2025-7-28")</f>
        <v>0</v>
      </c>
    </row>
    <row r="677" spans="1:3" hidden="1" x14ac:dyDescent="0.3">
      <c r="A677" s="28"/>
      <c r="B677" s="28"/>
      <c r="C677" s="29">
        <f>[1]!thsiFinD("ths_constituent_ up_number_index",A677,"2025-7-28")</f>
        <v>0</v>
      </c>
    </row>
    <row r="678" spans="1:3" hidden="1" x14ac:dyDescent="0.3">
      <c r="A678" s="28"/>
      <c r="B678" s="28"/>
      <c r="C678" s="29">
        <f>[1]!thsiFinD("ths_constituent_ up_number_index",A678,"2025-7-28")</f>
        <v>0</v>
      </c>
    </row>
    <row r="679" spans="1:3" hidden="1" x14ac:dyDescent="0.3">
      <c r="A679" s="28"/>
      <c r="B679" s="28"/>
      <c r="C679" s="29">
        <f>[1]!thsiFinD("ths_constituent_ up_number_index",A679,"2025-7-28")</f>
        <v>0</v>
      </c>
    </row>
    <row r="680" spans="1:3" hidden="1" x14ac:dyDescent="0.3">
      <c r="A680" s="28"/>
      <c r="B680" s="28"/>
      <c r="C680" s="29">
        <f>[1]!thsiFinD("ths_constituent_ up_number_index",A680,"2025-7-28")</f>
        <v>0</v>
      </c>
    </row>
    <row r="681" spans="1:3" hidden="1" x14ac:dyDescent="0.3">
      <c r="A681" s="28"/>
      <c r="B681" s="28"/>
      <c r="C681" s="29">
        <f>[1]!thsiFinD("ths_constituent_ up_number_index",A681,"2025-7-28")</f>
        <v>0</v>
      </c>
    </row>
    <row r="682" spans="1:3" hidden="1" x14ac:dyDescent="0.3">
      <c r="A682" s="28"/>
      <c r="B682" s="28"/>
      <c r="C682" s="29">
        <f>[1]!thsiFinD("ths_constituent_ up_number_index",A682,"2025-7-28")</f>
        <v>0</v>
      </c>
    </row>
    <row r="683" spans="1:3" hidden="1" x14ac:dyDescent="0.3">
      <c r="A683" s="28"/>
      <c r="B683" s="28"/>
      <c r="C683" s="29">
        <f>[1]!thsiFinD("ths_constituent_ up_number_index",A683,"2025-7-28")</f>
        <v>0</v>
      </c>
    </row>
    <row r="684" spans="1:3" hidden="1" x14ac:dyDescent="0.3">
      <c r="A684" s="28"/>
      <c r="B684" s="28"/>
      <c r="C684" s="29">
        <f>[1]!thsiFinD("ths_constituent_ up_number_index",A684,"2025-7-28")</f>
        <v>0</v>
      </c>
    </row>
    <row r="685" spans="1:3" hidden="1" x14ac:dyDescent="0.3">
      <c r="A685" s="28"/>
      <c r="B685" s="28"/>
      <c r="C685" s="29">
        <f>[1]!thsiFinD("ths_constituent_ up_number_index",A685,"2025-7-28")</f>
        <v>0</v>
      </c>
    </row>
    <row r="686" spans="1:3" hidden="1" x14ac:dyDescent="0.3">
      <c r="A686" s="28"/>
      <c r="B686" s="28"/>
      <c r="C686" s="29">
        <f>[1]!thsiFinD("ths_constituent_ up_number_index",A686,"2025-7-28")</f>
        <v>0</v>
      </c>
    </row>
    <row r="687" spans="1:3" hidden="1" x14ac:dyDescent="0.3">
      <c r="A687" s="28"/>
      <c r="B687" s="28"/>
      <c r="C687" s="29">
        <f>[1]!thsiFinD("ths_constituent_ up_number_index",A687,"2025-7-28")</f>
        <v>0</v>
      </c>
    </row>
    <row r="688" spans="1:3" hidden="1" x14ac:dyDescent="0.3">
      <c r="A688" s="28"/>
      <c r="B688" s="28"/>
      <c r="C688" s="29">
        <f>[1]!thsiFinD("ths_constituent_ up_number_index",A688,"2025-7-28")</f>
        <v>0</v>
      </c>
    </row>
    <row r="689" spans="1:3" hidden="1" x14ac:dyDescent="0.3">
      <c r="A689" s="28"/>
      <c r="B689" s="28"/>
      <c r="C689" s="29">
        <f>[1]!thsiFinD("ths_constituent_ up_number_index",A689,"2025-7-28")</f>
        <v>0</v>
      </c>
    </row>
    <row r="690" spans="1:3" hidden="1" x14ac:dyDescent="0.3">
      <c r="A690" s="28"/>
      <c r="B690" s="28"/>
      <c r="C690" s="29">
        <f>[1]!thsiFinD("ths_constituent_ up_number_index",A690,"2025-7-28")</f>
        <v>0</v>
      </c>
    </row>
    <row r="691" spans="1:3" hidden="1" x14ac:dyDescent="0.3">
      <c r="A691" s="28"/>
      <c r="B691" s="28"/>
      <c r="C691" s="29">
        <f>[1]!thsiFinD("ths_constituent_ up_number_index",A691,"2025-7-28")</f>
        <v>0</v>
      </c>
    </row>
    <row r="692" spans="1:3" hidden="1" x14ac:dyDescent="0.3">
      <c r="A692" s="28"/>
      <c r="B692" s="28"/>
      <c r="C692" s="29">
        <f>[1]!thsiFinD("ths_constituent_ up_number_index",A692,"2025-7-28")</f>
        <v>0</v>
      </c>
    </row>
    <row r="693" spans="1:3" hidden="1" x14ac:dyDescent="0.3">
      <c r="A693" s="28"/>
      <c r="B693" s="28"/>
      <c r="C693" s="29">
        <f>[1]!thsiFinD("ths_constituent_ up_number_index",A693,"2025-7-28")</f>
        <v>0</v>
      </c>
    </row>
    <row r="694" spans="1:3" hidden="1" x14ac:dyDescent="0.3">
      <c r="A694" s="28"/>
      <c r="B694" s="28"/>
      <c r="C694" s="29">
        <f>[1]!thsiFinD("ths_constituent_ up_number_index",A694,"2025-7-28")</f>
        <v>0</v>
      </c>
    </row>
    <row r="695" spans="1:3" hidden="1" x14ac:dyDescent="0.3">
      <c r="A695" s="28"/>
      <c r="B695" s="28"/>
      <c r="C695" s="29">
        <f>[1]!thsiFinD("ths_constituent_ up_number_index",A695,"2025-7-28")</f>
        <v>0</v>
      </c>
    </row>
    <row r="696" spans="1:3" hidden="1" x14ac:dyDescent="0.3">
      <c r="A696" s="28"/>
      <c r="B696" s="28"/>
      <c r="C696" s="29">
        <f>[1]!thsiFinD("ths_constituent_ up_number_index",A696,"2025-7-28")</f>
        <v>0</v>
      </c>
    </row>
    <row r="697" spans="1:3" hidden="1" x14ac:dyDescent="0.3">
      <c r="A697" s="28"/>
      <c r="B697" s="28"/>
      <c r="C697" s="29">
        <f>[1]!thsiFinD("ths_constituent_ up_number_index",A697,"2025-7-28")</f>
        <v>0</v>
      </c>
    </row>
    <row r="698" spans="1:3" hidden="1" x14ac:dyDescent="0.3">
      <c r="A698" s="28"/>
      <c r="B698" s="28"/>
      <c r="C698" s="29">
        <f>[1]!thsiFinD("ths_constituent_ up_number_index",A698,"2025-7-28")</f>
        <v>0</v>
      </c>
    </row>
    <row r="699" spans="1:3" hidden="1" x14ac:dyDescent="0.3">
      <c r="A699" s="28"/>
      <c r="B699" s="28"/>
      <c r="C699" s="29">
        <f>[1]!thsiFinD("ths_constituent_ up_number_index",A699,"2025-7-28")</f>
        <v>0</v>
      </c>
    </row>
    <row r="700" spans="1:3" hidden="1" x14ac:dyDescent="0.3">
      <c r="A700" s="28"/>
      <c r="B700" s="28"/>
      <c r="C700" s="29">
        <f>[1]!thsiFinD("ths_constituent_ up_number_index",A700,"2025-7-28")</f>
        <v>0</v>
      </c>
    </row>
    <row r="701" spans="1:3" hidden="1" x14ac:dyDescent="0.3">
      <c r="A701" s="28"/>
      <c r="B701" s="28"/>
      <c r="C701" s="29">
        <f>[1]!thsiFinD("ths_constituent_ up_number_index",A701,"2025-7-28")</f>
        <v>0</v>
      </c>
    </row>
    <row r="702" spans="1:3" hidden="1" x14ac:dyDescent="0.3">
      <c r="A702" s="28"/>
      <c r="B702" s="28"/>
      <c r="C702" s="29">
        <f>[1]!thsiFinD("ths_constituent_ up_number_index",A702,"2025-7-28")</f>
        <v>0</v>
      </c>
    </row>
    <row r="703" spans="1:3" hidden="1" x14ac:dyDescent="0.3">
      <c r="A703" s="28"/>
      <c r="B703" s="28"/>
      <c r="C703" s="29">
        <f>[1]!thsiFinD("ths_constituent_ up_number_index",A703,"2025-7-28")</f>
        <v>0</v>
      </c>
    </row>
    <row r="704" spans="1:3" hidden="1" x14ac:dyDescent="0.3">
      <c r="A704" s="28"/>
      <c r="B704" s="28"/>
      <c r="C704" s="29">
        <f>[1]!thsiFinD("ths_constituent_ up_number_index",A704,"2025-7-28")</f>
        <v>0</v>
      </c>
    </row>
    <row r="705" spans="1:3" hidden="1" x14ac:dyDescent="0.3">
      <c r="A705" s="28"/>
      <c r="B705" s="28"/>
      <c r="C705" s="29">
        <f>[1]!thsiFinD("ths_constituent_ up_number_index",A705,"2025-7-28")</f>
        <v>0</v>
      </c>
    </row>
    <row r="706" spans="1:3" hidden="1" x14ac:dyDescent="0.3">
      <c r="A706" s="28"/>
      <c r="B706" s="28"/>
      <c r="C706" s="29">
        <f>[1]!thsiFinD("ths_constituent_ up_number_index",A706,"2025-7-28")</f>
        <v>0</v>
      </c>
    </row>
    <row r="707" spans="1:3" hidden="1" x14ac:dyDescent="0.3">
      <c r="A707" s="28"/>
      <c r="B707" s="28"/>
      <c r="C707" s="29">
        <f>[1]!thsiFinD("ths_constituent_ up_number_index",A707,"2025-7-28")</f>
        <v>0</v>
      </c>
    </row>
    <row r="708" spans="1:3" hidden="1" x14ac:dyDescent="0.3">
      <c r="A708" s="28"/>
      <c r="B708" s="28"/>
      <c r="C708" s="29">
        <f>[1]!thsiFinD("ths_constituent_ up_number_index",A708,"2025-7-28")</f>
        <v>0</v>
      </c>
    </row>
    <row r="709" spans="1:3" hidden="1" x14ac:dyDescent="0.3">
      <c r="A709" s="28"/>
      <c r="B709" s="28"/>
      <c r="C709" s="29">
        <f>[1]!thsiFinD("ths_constituent_ up_number_index",A709,"2025-7-28")</f>
        <v>0</v>
      </c>
    </row>
    <row r="710" spans="1:3" hidden="1" x14ac:dyDescent="0.3">
      <c r="A710" s="28"/>
      <c r="B710" s="28"/>
      <c r="C710" s="29">
        <f>[1]!thsiFinD("ths_constituent_ up_number_index",A710,"2025-7-28")</f>
        <v>0</v>
      </c>
    </row>
    <row r="711" spans="1:3" hidden="1" x14ac:dyDescent="0.3">
      <c r="A711" s="28"/>
      <c r="B711" s="28"/>
      <c r="C711" s="29">
        <f>[1]!thsiFinD("ths_constituent_ up_number_index",A711,"2025-7-28")</f>
        <v>0</v>
      </c>
    </row>
    <row r="712" spans="1:3" hidden="1" x14ac:dyDescent="0.3">
      <c r="A712" s="28"/>
      <c r="B712" s="28"/>
      <c r="C712" s="29">
        <f>[1]!thsiFinD("ths_constituent_ up_number_index",A712,"2025-7-28")</f>
        <v>0</v>
      </c>
    </row>
    <row r="713" spans="1:3" hidden="1" x14ac:dyDescent="0.3">
      <c r="A713" s="28"/>
      <c r="B713" s="28"/>
      <c r="C713" s="29">
        <f>[1]!thsiFinD("ths_constituent_ up_number_index",A713,"2025-7-28")</f>
        <v>0</v>
      </c>
    </row>
    <row r="714" spans="1:3" hidden="1" x14ac:dyDescent="0.3">
      <c r="A714" s="28"/>
      <c r="B714" s="28"/>
      <c r="C714" s="29">
        <f>[1]!thsiFinD("ths_constituent_ up_number_index",A714,"2025-7-28")</f>
        <v>0</v>
      </c>
    </row>
    <row r="715" spans="1:3" hidden="1" x14ac:dyDescent="0.3">
      <c r="A715" s="28"/>
      <c r="B715" s="28"/>
      <c r="C715" s="29">
        <f>[1]!thsiFinD("ths_constituent_ up_number_index",A715,"2025-7-28")</f>
        <v>0</v>
      </c>
    </row>
    <row r="716" spans="1:3" hidden="1" x14ac:dyDescent="0.3">
      <c r="A716" s="28"/>
      <c r="B716" s="28"/>
      <c r="C716" s="29">
        <f>[1]!thsiFinD("ths_constituent_ up_number_index",A716,"2025-7-28")</f>
        <v>0</v>
      </c>
    </row>
    <row r="717" spans="1:3" hidden="1" x14ac:dyDescent="0.3">
      <c r="A717" s="28"/>
      <c r="B717" s="28"/>
      <c r="C717" s="29">
        <f>[1]!thsiFinD("ths_constituent_ up_number_index",A717,"2025-7-28")</f>
        <v>0</v>
      </c>
    </row>
    <row r="718" spans="1:3" hidden="1" x14ac:dyDescent="0.3">
      <c r="A718" s="28"/>
      <c r="B718" s="28"/>
      <c r="C718" s="29">
        <f>[1]!thsiFinD("ths_constituent_ up_number_index",A718,"2025-7-28")</f>
        <v>0</v>
      </c>
    </row>
    <row r="719" spans="1:3" hidden="1" x14ac:dyDescent="0.3">
      <c r="A719" s="28"/>
      <c r="B719" s="28"/>
      <c r="C719" s="29">
        <f>[1]!thsiFinD("ths_constituent_ up_number_index",A719,"2025-7-28")</f>
        <v>0</v>
      </c>
    </row>
    <row r="720" spans="1:3" hidden="1" x14ac:dyDescent="0.3">
      <c r="A720" s="28"/>
      <c r="B720" s="28"/>
      <c r="C720" s="29">
        <f>[1]!thsiFinD("ths_constituent_ up_number_index",A720,"2025-7-28")</f>
        <v>0</v>
      </c>
    </row>
    <row r="721" spans="1:3" hidden="1" x14ac:dyDescent="0.3">
      <c r="A721" s="28"/>
      <c r="B721" s="28"/>
      <c r="C721" s="29">
        <f>[1]!thsiFinD("ths_constituent_ up_number_index",A721,"2025-7-28")</f>
        <v>0</v>
      </c>
    </row>
    <row r="722" spans="1:3" hidden="1" x14ac:dyDescent="0.3">
      <c r="A722" s="28"/>
      <c r="B722" s="28"/>
      <c r="C722" s="29">
        <f>[1]!thsiFinD("ths_constituent_ up_number_index",A722,"2025-7-28")</f>
        <v>0</v>
      </c>
    </row>
    <row r="723" spans="1:3" hidden="1" x14ac:dyDescent="0.3">
      <c r="A723" s="28"/>
      <c r="B723" s="28"/>
      <c r="C723" s="29">
        <f>[1]!thsiFinD("ths_constituent_ up_number_index",A723,"2025-7-28")</f>
        <v>0</v>
      </c>
    </row>
    <row r="724" spans="1:3" hidden="1" x14ac:dyDescent="0.3">
      <c r="A724" s="28"/>
      <c r="B724" s="28"/>
      <c r="C724" s="29">
        <f>[1]!thsiFinD("ths_constituent_ up_number_index",A724,"2025-7-28")</f>
        <v>0</v>
      </c>
    </row>
    <row r="725" spans="1:3" hidden="1" x14ac:dyDescent="0.3">
      <c r="A725" s="28"/>
      <c r="B725" s="28"/>
      <c r="C725" s="29">
        <f>[1]!thsiFinD("ths_constituent_ up_number_index",A725,"2025-7-28")</f>
        <v>0</v>
      </c>
    </row>
    <row r="726" spans="1:3" hidden="1" x14ac:dyDescent="0.3">
      <c r="A726" s="28"/>
      <c r="B726" s="28"/>
      <c r="C726" s="29">
        <f>[1]!thsiFinD("ths_constituent_ up_number_index",A726,"2025-7-28")</f>
        <v>0</v>
      </c>
    </row>
    <row r="727" spans="1:3" hidden="1" x14ac:dyDescent="0.3">
      <c r="A727" s="28"/>
      <c r="B727" s="28"/>
      <c r="C727" s="29">
        <f>[1]!thsiFinD("ths_constituent_ up_number_index",A727,"2025-7-28")</f>
        <v>0</v>
      </c>
    </row>
    <row r="728" spans="1:3" hidden="1" x14ac:dyDescent="0.3">
      <c r="A728" s="28"/>
      <c r="B728" s="28"/>
      <c r="C728" s="29">
        <f>[1]!thsiFinD("ths_constituent_ up_number_index",A728,"2025-7-28")</f>
        <v>0</v>
      </c>
    </row>
    <row r="729" spans="1:3" hidden="1" x14ac:dyDescent="0.3">
      <c r="A729" s="28"/>
      <c r="B729" s="28"/>
      <c r="C729" s="29">
        <f>[1]!thsiFinD("ths_constituent_ up_number_index",A729,"2025-7-28")</f>
        <v>0</v>
      </c>
    </row>
    <row r="730" spans="1:3" hidden="1" x14ac:dyDescent="0.3">
      <c r="A730" s="28"/>
      <c r="B730" s="28"/>
      <c r="C730" s="29">
        <f>[1]!thsiFinD("ths_constituent_ up_number_index",A730,"2025-7-28")</f>
        <v>0</v>
      </c>
    </row>
    <row r="731" spans="1:3" hidden="1" x14ac:dyDescent="0.3">
      <c r="A731" s="28"/>
      <c r="B731" s="28"/>
      <c r="C731" s="29">
        <f>[1]!thsiFinD("ths_constituent_ up_number_index",A731,"2025-7-28")</f>
        <v>0</v>
      </c>
    </row>
    <row r="732" spans="1:3" hidden="1" x14ac:dyDescent="0.3">
      <c r="A732" s="28"/>
      <c r="B732" s="28"/>
      <c r="C732" s="29">
        <f>[1]!thsiFinD("ths_constituent_ up_number_index",A732,"2025-7-28")</f>
        <v>0</v>
      </c>
    </row>
    <row r="733" spans="1:3" hidden="1" x14ac:dyDescent="0.3">
      <c r="A733" s="28"/>
      <c r="B733" s="28"/>
      <c r="C733" s="29">
        <f>[1]!thsiFinD("ths_constituent_ up_number_index",A733,"2025-7-28")</f>
        <v>0</v>
      </c>
    </row>
    <row r="734" spans="1:3" hidden="1" x14ac:dyDescent="0.3">
      <c r="A734" s="28"/>
      <c r="B734" s="28"/>
      <c r="C734" s="29">
        <f>[1]!thsiFinD("ths_constituent_ up_number_index",A734,"2025-7-28")</f>
        <v>0</v>
      </c>
    </row>
    <row r="735" spans="1:3" hidden="1" x14ac:dyDescent="0.3">
      <c r="A735" s="28"/>
      <c r="B735" s="28"/>
      <c r="C735" s="29">
        <f>[1]!thsiFinD("ths_constituent_ up_number_index",A735,"2025-7-28")</f>
        <v>0</v>
      </c>
    </row>
    <row r="736" spans="1:3" hidden="1" x14ac:dyDescent="0.3">
      <c r="A736" s="28"/>
      <c r="B736" s="28"/>
      <c r="C736" s="29">
        <f>[1]!thsiFinD("ths_constituent_ up_number_index",A736,"2025-7-28")</f>
        <v>0</v>
      </c>
    </row>
    <row r="737" spans="1:3" hidden="1" x14ac:dyDescent="0.3">
      <c r="A737" s="28"/>
      <c r="B737" s="28"/>
      <c r="C737" s="29">
        <f>[1]!thsiFinD("ths_constituent_ up_number_index",A737,"2025-7-28")</f>
        <v>0</v>
      </c>
    </row>
    <row r="738" spans="1:3" hidden="1" x14ac:dyDescent="0.3">
      <c r="A738" s="28"/>
      <c r="B738" s="28"/>
      <c r="C738" s="29">
        <f>[1]!thsiFinD("ths_constituent_ up_number_index",A738,"2025-7-28")</f>
        <v>0</v>
      </c>
    </row>
    <row r="739" spans="1:3" hidden="1" x14ac:dyDescent="0.3">
      <c r="A739" s="28"/>
      <c r="B739" s="28"/>
      <c r="C739" s="29">
        <f>[1]!thsiFinD("ths_constituent_ up_number_index",A739,"2025-7-28")</f>
        <v>0</v>
      </c>
    </row>
    <row r="740" spans="1:3" hidden="1" x14ac:dyDescent="0.3">
      <c r="A740" s="28"/>
      <c r="B740" s="28"/>
      <c r="C740" s="29">
        <f>[1]!thsiFinD("ths_constituent_ up_number_index",A740,"2025-7-28")</f>
        <v>0</v>
      </c>
    </row>
    <row r="741" spans="1:3" hidden="1" x14ac:dyDescent="0.3">
      <c r="A741" s="28"/>
      <c r="B741" s="28"/>
      <c r="C741" s="29">
        <f>[1]!thsiFinD("ths_constituent_ up_number_index",A741,"2025-7-28")</f>
        <v>0</v>
      </c>
    </row>
    <row r="742" spans="1:3" hidden="1" x14ac:dyDescent="0.3">
      <c r="A742" s="28"/>
      <c r="B742" s="28"/>
      <c r="C742" s="29">
        <f>[1]!thsiFinD("ths_constituent_ up_number_index",A742,"2025-7-28")</f>
        <v>0</v>
      </c>
    </row>
    <row r="743" spans="1:3" hidden="1" x14ac:dyDescent="0.3">
      <c r="A743" s="28"/>
      <c r="B743" s="28"/>
      <c r="C743" s="29">
        <f>[1]!thsiFinD("ths_constituent_ up_number_index",A743,"2025-7-28")</f>
        <v>0</v>
      </c>
    </row>
    <row r="744" spans="1:3" hidden="1" x14ac:dyDescent="0.3">
      <c r="A744" s="28"/>
      <c r="B744" s="28"/>
      <c r="C744" s="29">
        <f>[1]!thsiFinD("ths_constituent_ up_number_index",A744,"2025-7-28")</f>
        <v>0</v>
      </c>
    </row>
    <row r="745" spans="1:3" hidden="1" x14ac:dyDescent="0.3">
      <c r="A745" s="28"/>
      <c r="B745" s="28"/>
      <c r="C745" s="29">
        <f>[1]!thsiFinD("ths_constituent_ up_number_index",A745,"2025-7-28")</f>
        <v>0</v>
      </c>
    </row>
    <row r="746" spans="1:3" hidden="1" x14ac:dyDescent="0.3">
      <c r="A746" s="28"/>
      <c r="B746" s="28"/>
      <c r="C746" s="29">
        <f>[1]!thsiFinD("ths_constituent_ up_number_index",A746,"2025-7-28")</f>
        <v>0</v>
      </c>
    </row>
    <row r="747" spans="1:3" hidden="1" x14ac:dyDescent="0.3">
      <c r="A747" s="28"/>
      <c r="B747" s="28"/>
      <c r="C747" s="29">
        <f>[1]!thsiFinD("ths_constituent_ up_number_index",A747,"2025-7-28")</f>
        <v>0</v>
      </c>
    </row>
    <row r="748" spans="1:3" hidden="1" x14ac:dyDescent="0.3">
      <c r="A748" s="28"/>
      <c r="B748" s="28"/>
      <c r="C748" s="29">
        <f>[1]!thsiFinD("ths_constituent_ up_number_index",A748,"2025-7-28")</f>
        <v>0</v>
      </c>
    </row>
    <row r="749" spans="1:3" hidden="1" x14ac:dyDescent="0.3">
      <c r="A749" s="28"/>
      <c r="B749" s="28"/>
      <c r="C749" s="29">
        <f>[1]!thsiFinD("ths_constituent_ up_number_index",A749,"2025-7-28")</f>
        <v>0</v>
      </c>
    </row>
    <row r="750" spans="1:3" hidden="1" x14ac:dyDescent="0.3">
      <c r="A750" s="28"/>
      <c r="B750" s="28"/>
      <c r="C750" s="29">
        <f>[1]!thsiFinD("ths_constituent_ up_number_index",A750,"2025-7-28")</f>
        <v>0</v>
      </c>
    </row>
    <row r="751" spans="1:3" hidden="1" x14ac:dyDescent="0.3">
      <c r="A751" s="28"/>
      <c r="B751" s="28"/>
      <c r="C751" s="29">
        <f>[1]!thsiFinD("ths_constituent_ up_number_index",A751,"2025-7-28")</f>
        <v>0</v>
      </c>
    </row>
    <row r="752" spans="1:3" hidden="1" x14ac:dyDescent="0.3">
      <c r="A752" s="28"/>
      <c r="B752" s="28"/>
      <c r="C752" s="29">
        <f>[1]!thsiFinD("ths_constituent_ up_number_index",A752,"2025-7-28")</f>
        <v>0</v>
      </c>
    </row>
    <row r="753" spans="1:3" hidden="1" x14ac:dyDescent="0.3">
      <c r="A753" s="28"/>
      <c r="B753" s="28"/>
      <c r="C753" s="29">
        <f>[1]!thsiFinD("ths_constituent_ up_number_index",A753,"2025-7-28")</f>
        <v>0</v>
      </c>
    </row>
    <row r="754" spans="1:3" hidden="1" x14ac:dyDescent="0.3">
      <c r="A754" s="28"/>
      <c r="B754" s="28"/>
      <c r="C754" s="29">
        <f>[1]!thsiFinD("ths_constituent_ up_number_index",A754,"2025-7-28")</f>
        <v>0</v>
      </c>
    </row>
    <row r="755" spans="1:3" hidden="1" x14ac:dyDescent="0.3">
      <c r="A755" s="28"/>
      <c r="B755" s="28"/>
      <c r="C755" s="29">
        <f>[1]!thsiFinD("ths_constituent_ up_number_index",A755,"2025-7-28")</f>
        <v>0</v>
      </c>
    </row>
    <row r="756" spans="1:3" hidden="1" x14ac:dyDescent="0.3">
      <c r="A756" s="28"/>
      <c r="B756" s="28"/>
      <c r="C756" s="29">
        <f>[1]!thsiFinD("ths_constituent_ up_number_index",A756,"2025-7-28")</f>
        <v>0</v>
      </c>
    </row>
    <row r="757" spans="1:3" hidden="1" x14ac:dyDescent="0.3">
      <c r="A757" s="28"/>
      <c r="B757" s="28"/>
      <c r="C757" s="29">
        <f>[1]!thsiFinD("ths_constituent_ up_number_index",A757,"2025-7-28")</f>
        <v>0</v>
      </c>
    </row>
    <row r="758" spans="1:3" hidden="1" x14ac:dyDescent="0.3">
      <c r="A758" s="28"/>
      <c r="B758" s="28"/>
      <c r="C758" s="29">
        <f>[1]!thsiFinD("ths_constituent_ up_number_index",A758,"2025-7-28")</f>
        <v>0</v>
      </c>
    </row>
    <row r="759" spans="1:3" hidden="1" x14ac:dyDescent="0.3">
      <c r="A759" s="28"/>
      <c r="B759" s="28"/>
      <c r="C759" s="29">
        <f>[1]!thsiFinD("ths_constituent_ up_number_index",A759,"2025-7-28")</f>
        <v>0</v>
      </c>
    </row>
    <row r="760" spans="1:3" hidden="1" x14ac:dyDescent="0.3">
      <c r="A760" s="28"/>
      <c r="B760" s="28"/>
      <c r="C760" s="29">
        <f>[1]!thsiFinD("ths_constituent_ up_number_index",A760,"2025-7-28")</f>
        <v>0</v>
      </c>
    </row>
    <row r="761" spans="1:3" hidden="1" x14ac:dyDescent="0.3">
      <c r="A761" s="28"/>
      <c r="B761" s="28"/>
      <c r="C761" s="29">
        <f>[1]!thsiFinD("ths_constituent_ up_number_index",A761,"2025-7-28")</f>
        <v>0</v>
      </c>
    </row>
    <row r="762" spans="1:3" hidden="1" x14ac:dyDescent="0.3">
      <c r="A762" s="28"/>
      <c r="B762" s="28"/>
      <c r="C762" s="29">
        <f>[1]!thsiFinD("ths_constituent_ up_number_index",A762,"2025-7-28")</f>
        <v>0</v>
      </c>
    </row>
    <row r="763" spans="1:3" hidden="1" x14ac:dyDescent="0.3">
      <c r="A763" s="28"/>
      <c r="B763" s="28"/>
      <c r="C763" s="29">
        <f>[1]!thsiFinD("ths_constituent_ up_number_index",A763,"2025-7-28")</f>
        <v>0</v>
      </c>
    </row>
    <row r="764" spans="1:3" hidden="1" x14ac:dyDescent="0.3">
      <c r="A764" s="28"/>
      <c r="B764" s="28"/>
      <c r="C764" s="29">
        <f>[1]!thsiFinD("ths_constituent_ up_number_index",A764,"2025-7-28")</f>
        <v>0</v>
      </c>
    </row>
    <row r="765" spans="1:3" hidden="1" x14ac:dyDescent="0.3">
      <c r="A765" s="28"/>
      <c r="B765" s="28"/>
      <c r="C765" s="29">
        <f>[1]!thsiFinD("ths_constituent_ up_number_index",A765,"2025-7-28")</f>
        <v>0</v>
      </c>
    </row>
    <row r="766" spans="1:3" hidden="1" x14ac:dyDescent="0.3">
      <c r="A766" s="28"/>
      <c r="B766" s="28"/>
      <c r="C766" s="29">
        <f>[1]!thsiFinD("ths_constituent_ up_number_index",A766,"2025-7-28")</f>
        <v>0</v>
      </c>
    </row>
    <row r="767" spans="1:3" hidden="1" x14ac:dyDescent="0.3">
      <c r="A767" s="28"/>
      <c r="B767" s="28"/>
      <c r="C767" s="29">
        <f>[1]!thsiFinD("ths_constituent_ up_number_index",A767,"2025-7-28")</f>
        <v>0</v>
      </c>
    </row>
    <row r="768" spans="1:3" hidden="1" x14ac:dyDescent="0.3">
      <c r="A768" s="28"/>
      <c r="B768" s="28"/>
      <c r="C768" s="29">
        <f>[1]!thsiFinD("ths_constituent_ up_number_index",A768,"2025-7-28")</f>
        <v>0</v>
      </c>
    </row>
    <row r="769" spans="1:3" hidden="1" x14ac:dyDescent="0.3">
      <c r="A769" s="28"/>
      <c r="B769" s="28"/>
      <c r="C769" s="29">
        <f>[1]!thsiFinD("ths_constituent_ up_number_index",A769,"2025-7-28")</f>
        <v>0</v>
      </c>
    </row>
    <row r="770" spans="1:3" hidden="1" x14ac:dyDescent="0.3">
      <c r="A770" s="28"/>
      <c r="B770" s="28"/>
      <c r="C770" s="29">
        <f>[1]!thsiFinD("ths_constituent_ up_number_index",A770,"2025-7-28")</f>
        <v>0</v>
      </c>
    </row>
    <row r="771" spans="1:3" hidden="1" x14ac:dyDescent="0.3">
      <c r="A771" s="28"/>
      <c r="B771" s="28"/>
      <c r="C771" s="29">
        <f>[1]!thsiFinD("ths_constituent_ up_number_index",A771,"2025-7-28")</f>
        <v>0</v>
      </c>
    </row>
    <row r="772" spans="1:3" hidden="1" x14ac:dyDescent="0.3">
      <c r="A772" s="28"/>
      <c r="B772" s="28"/>
      <c r="C772" s="29">
        <f>[1]!thsiFinD("ths_constituent_ up_number_index",A772,"2025-7-28")</f>
        <v>0</v>
      </c>
    </row>
    <row r="773" spans="1:3" hidden="1" x14ac:dyDescent="0.3">
      <c r="A773" s="28"/>
      <c r="B773" s="28"/>
      <c r="C773" s="29">
        <f>[1]!thsiFinD("ths_constituent_ up_number_index",A773,"2025-7-28")</f>
        <v>0</v>
      </c>
    </row>
    <row r="774" spans="1:3" hidden="1" x14ac:dyDescent="0.3">
      <c r="A774" s="28"/>
      <c r="B774" s="28"/>
      <c r="C774" s="29">
        <f>[1]!thsiFinD("ths_constituent_ up_number_index",A774,"2025-7-28")</f>
        <v>0</v>
      </c>
    </row>
    <row r="775" spans="1:3" hidden="1" x14ac:dyDescent="0.3">
      <c r="A775" s="28"/>
      <c r="B775" s="28"/>
      <c r="C775" s="29">
        <f>[1]!thsiFinD("ths_constituent_ up_number_index",A775,"2025-7-28")</f>
        <v>0</v>
      </c>
    </row>
    <row r="776" spans="1:3" hidden="1" x14ac:dyDescent="0.3">
      <c r="A776" s="28"/>
      <c r="B776" s="28"/>
      <c r="C776" s="29">
        <f>[1]!thsiFinD("ths_constituent_ up_number_index",A776,"2025-7-28")</f>
        <v>0</v>
      </c>
    </row>
    <row r="777" spans="1:3" hidden="1" x14ac:dyDescent="0.3">
      <c r="A777" s="28"/>
      <c r="B777" s="28"/>
      <c r="C777" s="29">
        <f>[1]!thsiFinD("ths_constituent_ up_number_index",A777,"2025-7-28")</f>
        <v>0</v>
      </c>
    </row>
    <row r="778" spans="1:3" hidden="1" x14ac:dyDescent="0.3">
      <c r="A778" s="28"/>
      <c r="B778" s="28"/>
      <c r="C778" s="29">
        <f>[1]!thsiFinD("ths_constituent_ up_number_index",A778,"2025-7-28")</f>
        <v>0</v>
      </c>
    </row>
    <row r="779" spans="1:3" hidden="1" x14ac:dyDescent="0.3">
      <c r="A779" s="28"/>
      <c r="B779" s="28"/>
      <c r="C779" s="29">
        <f>[1]!thsiFinD("ths_constituent_ up_number_index",A779,"2025-7-28")</f>
        <v>0</v>
      </c>
    </row>
    <row r="780" spans="1:3" hidden="1" x14ac:dyDescent="0.3">
      <c r="A780" s="28"/>
      <c r="B780" s="28"/>
      <c r="C780" s="29">
        <f>[1]!thsiFinD("ths_constituent_ up_number_index",A780,"2025-7-28")</f>
        <v>0</v>
      </c>
    </row>
    <row r="781" spans="1:3" hidden="1" x14ac:dyDescent="0.3">
      <c r="A781" s="28"/>
      <c r="B781" s="28"/>
      <c r="C781" s="29">
        <f>[1]!thsiFinD("ths_constituent_ up_number_index",A781,"2025-7-28")</f>
        <v>0</v>
      </c>
    </row>
    <row r="782" spans="1:3" hidden="1" x14ac:dyDescent="0.3">
      <c r="A782" s="28"/>
      <c r="B782" s="28"/>
      <c r="C782" s="29">
        <f>[1]!thsiFinD("ths_constituent_ up_number_index",A782,"2025-7-28")</f>
        <v>0</v>
      </c>
    </row>
    <row r="783" spans="1:3" hidden="1" x14ac:dyDescent="0.3">
      <c r="A783" s="28"/>
      <c r="B783" s="28"/>
      <c r="C783" s="29">
        <f>[1]!thsiFinD("ths_constituent_ up_number_index",A783,"2025-7-28")</f>
        <v>0</v>
      </c>
    </row>
    <row r="784" spans="1:3" hidden="1" x14ac:dyDescent="0.3">
      <c r="A784" s="28"/>
      <c r="B784" s="28"/>
      <c r="C784" s="29">
        <f>[1]!thsiFinD("ths_constituent_ up_number_index",A784,"2025-7-28")</f>
        <v>0</v>
      </c>
    </row>
    <row r="785" spans="1:3" hidden="1" x14ac:dyDescent="0.3">
      <c r="A785" s="28"/>
      <c r="B785" s="28"/>
      <c r="C785" s="29">
        <f>[1]!thsiFinD("ths_constituent_ up_number_index",A785,"2025-7-28")</f>
        <v>0</v>
      </c>
    </row>
    <row r="786" spans="1:3" hidden="1" x14ac:dyDescent="0.3">
      <c r="A786" s="28"/>
      <c r="B786" s="28"/>
      <c r="C786" s="29">
        <f>[1]!thsiFinD("ths_constituent_ up_number_index",A786,"2025-7-28")</f>
        <v>0</v>
      </c>
    </row>
    <row r="787" spans="1:3" hidden="1" x14ac:dyDescent="0.3">
      <c r="A787" s="28"/>
      <c r="B787" s="28"/>
      <c r="C787" s="29">
        <f>[1]!thsiFinD("ths_constituent_ up_number_index",A787,"2025-7-28")</f>
        <v>0</v>
      </c>
    </row>
    <row r="788" spans="1:3" hidden="1" x14ac:dyDescent="0.3">
      <c r="A788" s="28"/>
      <c r="B788" s="28"/>
      <c r="C788" s="29">
        <f>[1]!thsiFinD("ths_constituent_ up_number_index",A788,"2025-7-28")</f>
        <v>0</v>
      </c>
    </row>
    <row r="789" spans="1:3" hidden="1" x14ac:dyDescent="0.3">
      <c r="A789" s="28"/>
      <c r="B789" s="28"/>
      <c r="C789" s="29">
        <f>[1]!thsiFinD("ths_constituent_ up_number_index",A789,"2025-7-28")</f>
        <v>0</v>
      </c>
    </row>
    <row r="790" spans="1:3" hidden="1" x14ac:dyDescent="0.3">
      <c r="A790" s="28"/>
      <c r="B790" s="28"/>
      <c r="C790" s="29">
        <f>[1]!thsiFinD("ths_constituent_ up_number_index",A790,"2025-7-28")</f>
        <v>0</v>
      </c>
    </row>
    <row r="791" spans="1:3" hidden="1" x14ac:dyDescent="0.3">
      <c r="A791" s="28"/>
      <c r="B791" s="28"/>
      <c r="C791" s="29">
        <f>[1]!thsiFinD("ths_constituent_ up_number_index",A791,"2025-7-28")</f>
        <v>0</v>
      </c>
    </row>
    <row r="792" spans="1:3" hidden="1" x14ac:dyDescent="0.3">
      <c r="A792" s="28"/>
      <c r="B792" s="28"/>
      <c r="C792" s="29">
        <f>[1]!thsiFinD("ths_constituent_ up_number_index",A792,"2025-7-28")</f>
        <v>0</v>
      </c>
    </row>
    <row r="793" spans="1:3" hidden="1" x14ac:dyDescent="0.3">
      <c r="A793" s="28"/>
      <c r="B793" s="28"/>
      <c r="C793" s="29">
        <f>[1]!thsiFinD("ths_constituent_ up_number_index",A793,"2025-7-28")</f>
        <v>0</v>
      </c>
    </row>
    <row r="794" spans="1:3" hidden="1" x14ac:dyDescent="0.3">
      <c r="A794" s="28"/>
      <c r="B794" s="28"/>
      <c r="C794" s="29">
        <f>[1]!thsiFinD("ths_constituent_ up_number_index",A794,"2025-7-28")</f>
        <v>0</v>
      </c>
    </row>
    <row r="795" spans="1:3" hidden="1" x14ac:dyDescent="0.3">
      <c r="A795" s="28"/>
      <c r="B795" s="28"/>
      <c r="C795" s="29">
        <f>[1]!thsiFinD("ths_constituent_ up_number_index",A795,"2025-7-28")</f>
        <v>0</v>
      </c>
    </row>
    <row r="796" spans="1:3" hidden="1" x14ac:dyDescent="0.3">
      <c r="A796" s="28"/>
      <c r="B796" s="28"/>
      <c r="C796" s="29">
        <f>[1]!thsiFinD("ths_constituent_ up_number_index",A796,"2025-7-28")</f>
        <v>0</v>
      </c>
    </row>
    <row r="797" spans="1:3" hidden="1" x14ac:dyDescent="0.3">
      <c r="A797" s="28"/>
      <c r="B797" s="28"/>
      <c r="C797" s="29">
        <f>[1]!thsiFinD("ths_constituent_ up_number_index",A797,"2025-7-28")</f>
        <v>0</v>
      </c>
    </row>
    <row r="798" spans="1:3" hidden="1" x14ac:dyDescent="0.3">
      <c r="A798" s="28"/>
      <c r="B798" s="28"/>
      <c r="C798" s="29">
        <f>[1]!thsiFinD("ths_constituent_ up_number_index",A798,"2025-7-28")</f>
        <v>0</v>
      </c>
    </row>
    <row r="799" spans="1:3" hidden="1" x14ac:dyDescent="0.3">
      <c r="A799" s="28"/>
      <c r="B799" s="28"/>
      <c r="C799" s="29">
        <f>[1]!thsiFinD("ths_constituent_ up_number_index",A799,"2025-7-28")</f>
        <v>0</v>
      </c>
    </row>
    <row r="800" spans="1:3" hidden="1" x14ac:dyDescent="0.3">
      <c r="A800" s="28"/>
      <c r="B800" s="28"/>
      <c r="C800" s="29">
        <f>[1]!thsiFinD("ths_constituent_ up_number_index",A800,"2025-7-28")</f>
        <v>0</v>
      </c>
    </row>
    <row r="801" spans="1:3" hidden="1" x14ac:dyDescent="0.3">
      <c r="A801" s="28"/>
      <c r="B801" s="28"/>
      <c r="C801" s="29">
        <f>[1]!thsiFinD("ths_constituent_ up_number_index",A801,"2025-7-28")</f>
        <v>0</v>
      </c>
    </row>
    <row r="802" spans="1:3" hidden="1" x14ac:dyDescent="0.3">
      <c r="A802" s="28"/>
      <c r="B802" s="28"/>
      <c r="C802" s="29">
        <f>[1]!thsiFinD("ths_constituent_ up_number_index",A802,"2025-7-28")</f>
        <v>0</v>
      </c>
    </row>
    <row r="803" spans="1:3" hidden="1" x14ac:dyDescent="0.3">
      <c r="A803" s="28"/>
      <c r="B803" s="28"/>
      <c r="C803" s="29">
        <f>[1]!thsiFinD("ths_constituent_ up_number_index",A803,"2025-7-28")</f>
        <v>0</v>
      </c>
    </row>
    <row r="804" spans="1:3" hidden="1" x14ac:dyDescent="0.3">
      <c r="A804" s="28"/>
      <c r="B804" s="28"/>
      <c r="C804" s="29">
        <f>[1]!thsiFinD("ths_constituent_ up_number_index",A804,"2025-7-28")</f>
        <v>0</v>
      </c>
    </row>
    <row r="805" spans="1:3" hidden="1" x14ac:dyDescent="0.3">
      <c r="A805" s="28"/>
      <c r="B805" s="28"/>
      <c r="C805" s="29">
        <f>[1]!thsiFinD("ths_constituent_ up_number_index",A805,"2025-7-28")</f>
        <v>0</v>
      </c>
    </row>
    <row r="806" spans="1:3" hidden="1" x14ac:dyDescent="0.3">
      <c r="A806" s="28"/>
      <c r="B806" s="28"/>
      <c r="C806" s="29">
        <f>[1]!thsiFinD("ths_constituent_ up_number_index",A806,"2025-7-28")</f>
        <v>0</v>
      </c>
    </row>
    <row r="807" spans="1:3" hidden="1" x14ac:dyDescent="0.3">
      <c r="A807" s="28"/>
      <c r="B807" s="28"/>
      <c r="C807" s="29">
        <f>[1]!thsiFinD("ths_constituent_ up_number_index",A807,"2025-7-28")</f>
        <v>0</v>
      </c>
    </row>
    <row r="808" spans="1:3" hidden="1" x14ac:dyDescent="0.3">
      <c r="A808" s="28"/>
      <c r="B808" s="28"/>
      <c r="C808" s="29">
        <f>[1]!thsiFinD("ths_constituent_ up_number_index",A808,"2025-7-28")</f>
        <v>0</v>
      </c>
    </row>
    <row r="809" spans="1:3" hidden="1" x14ac:dyDescent="0.3">
      <c r="A809" s="28"/>
      <c r="B809" s="28"/>
      <c r="C809" s="29">
        <f>[1]!thsiFinD("ths_constituent_ up_number_index",A809,"2025-7-28")</f>
        <v>0</v>
      </c>
    </row>
    <row r="810" spans="1:3" hidden="1" x14ac:dyDescent="0.3">
      <c r="A810" s="28"/>
      <c r="B810" s="28"/>
      <c r="C810" s="29">
        <f>[1]!thsiFinD("ths_constituent_ up_number_index",A810,"2025-7-28")</f>
        <v>0</v>
      </c>
    </row>
    <row r="811" spans="1:3" hidden="1" x14ac:dyDescent="0.3">
      <c r="A811" s="28"/>
      <c r="B811" s="28"/>
      <c r="C811" s="29">
        <f>[1]!thsiFinD("ths_constituent_ up_number_index",A811,"2025-7-28")</f>
        <v>0</v>
      </c>
    </row>
    <row r="812" spans="1:3" hidden="1" x14ac:dyDescent="0.3">
      <c r="A812" s="28"/>
      <c r="B812" s="28"/>
      <c r="C812" s="29">
        <f>[1]!thsiFinD("ths_constituent_ up_number_index",A812,"2025-7-28")</f>
        <v>0</v>
      </c>
    </row>
    <row r="813" spans="1:3" hidden="1" x14ac:dyDescent="0.3">
      <c r="A813" s="28"/>
      <c r="B813" s="28"/>
      <c r="C813" s="29">
        <f>[1]!thsiFinD("ths_constituent_ up_number_index",A813,"2025-7-28")</f>
        <v>0</v>
      </c>
    </row>
    <row r="814" spans="1:3" hidden="1" x14ac:dyDescent="0.3">
      <c r="A814" s="28"/>
      <c r="B814" s="28"/>
      <c r="C814" s="29">
        <f>[1]!thsiFinD("ths_constituent_ up_number_index",A814,"2025-7-28")</f>
        <v>0</v>
      </c>
    </row>
    <row r="815" spans="1:3" hidden="1" x14ac:dyDescent="0.3">
      <c r="A815" s="28"/>
      <c r="B815" s="28"/>
      <c r="C815" s="29">
        <f>[1]!thsiFinD("ths_constituent_ up_number_index",A815,"2025-7-28")</f>
        <v>0</v>
      </c>
    </row>
    <row r="816" spans="1:3" hidden="1" x14ac:dyDescent="0.3">
      <c r="A816" s="28"/>
      <c r="B816" s="28"/>
      <c r="C816" s="29">
        <f>[1]!thsiFinD("ths_constituent_ up_number_index",A816,"2025-7-28")</f>
        <v>0</v>
      </c>
    </row>
    <row r="817" spans="1:3" hidden="1" x14ac:dyDescent="0.3">
      <c r="A817" s="28"/>
      <c r="B817" s="28"/>
      <c r="C817" s="29">
        <f>[1]!thsiFinD("ths_constituent_ up_number_index",A817,"2025-7-28")</f>
        <v>0</v>
      </c>
    </row>
    <row r="818" spans="1:3" hidden="1" x14ac:dyDescent="0.3">
      <c r="A818" s="28"/>
      <c r="B818" s="28"/>
      <c r="C818" s="29">
        <f>[1]!thsiFinD("ths_constituent_ up_number_index",A818,"2025-7-28")</f>
        <v>0</v>
      </c>
    </row>
    <row r="819" spans="1:3" hidden="1" x14ac:dyDescent="0.3">
      <c r="A819" s="28"/>
      <c r="B819" s="28"/>
      <c r="C819" s="29">
        <f>[1]!thsiFinD("ths_constituent_ up_number_index",A819,"2025-7-28")</f>
        <v>0</v>
      </c>
    </row>
    <row r="820" spans="1:3" hidden="1" x14ac:dyDescent="0.3">
      <c r="A820" s="28"/>
      <c r="B820" s="28"/>
      <c r="C820" s="29">
        <f>[1]!thsiFinD("ths_constituent_ up_number_index",A820,"2025-7-28")</f>
        <v>0</v>
      </c>
    </row>
    <row r="821" spans="1:3" hidden="1" x14ac:dyDescent="0.3">
      <c r="A821" s="28"/>
      <c r="B821" s="28"/>
      <c r="C821" s="29">
        <f>[1]!thsiFinD("ths_constituent_ up_number_index",A821,"2025-7-28")</f>
        <v>0</v>
      </c>
    </row>
    <row r="822" spans="1:3" hidden="1" x14ac:dyDescent="0.3">
      <c r="A822" s="28"/>
      <c r="B822" s="28"/>
      <c r="C822" s="29">
        <f>[1]!thsiFinD("ths_constituent_ up_number_index",A822,"2025-7-28")</f>
        <v>0</v>
      </c>
    </row>
    <row r="823" spans="1:3" hidden="1" x14ac:dyDescent="0.3">
      <c r="A823" s="28"/>
      <c r="B823" s="28"/>
      <c r="C823" s="29">
        <f>[1]!thsiFinD("ths_constituent_ up_number_index",A823,"2025-7-28")</f>
        <v>0</v>
      </c>
    </row>
    <row r="824" spans="1:3" hidden="1" x14ac:dyDescent="0.3">
      <c r="A824" s="28"/>
      <c r="B824" s="28"/>
      <c r="C824" s="29">
        <f>[1]!thsiFinD("ths_constituent_ up_number_index",A824,"2025-7-28")</f>
        <v>0</v>
      </c>
    </row>
    <row r="825" spans="1:3" hidden="1" x14ac:dyDescent="0.3">
      <c r="A825" s="28"/>
      <c r="B825" s="28"/>
      <c r="C825" s="29">
        <f>[1]!thsiFinD("ths_constituent_ up_number_index",A825,"2025-7-28")</f>
        <v>0</v>
      </c>
    </row>
    <row r="826" spans="1:3" hidden="1" x14ac:dyDescent="0.3">
      <c r="A826" s="28"/>
      <c r="B826" s="28"/>
      <c r="C826" s="29">
        <f>[1]!thsiFinD("ths_constituent_ up_number_index",A826,"2025-7-28")</f>
        <v>0</v>
      </c>
    </row>
    <row r="827" spans="1:3" hidden="1" x14ac:dyDescent="0.3">
      <c r="A827" s="28"/>
      <c r="B827" s="28"/>
      <c r="C827" s="29">
        <f>[1]!thsiFinD("ths_constituent_ up_number_index",A827,"2025-7-28")</f>
        <v>0</v>
      </c>
    </row>
    <row r="828" spans="1:3" hidden="1" x14ac:dyDescent="0.3">
      <c r="A828" s="28"/>
      <c r="B828" s="28"/>
      <c r="C828" s="29">
        <f>[1]!thsiFinD("ths_constituent_ up_number_index",A828,"2025-7-28")</f>
        <v>0</v>
      </c>
    </row>
    <row r="829" spans="1:3" hidden="1" x14ac:dyDescent="0.3">
      <c r="A829" s="28"/>
      <c r="B829" s="28"/>
      <c r="C829" s="29">
        <f>[1]!thsiFinD("ths_constituent_ up_number_index",A829,"2025-7-28")</f>
        <v>0</v>
      </c>
    </row>
    <row r="830" spans="1:3" hidden="1" x14ac:dyDescent="0.3">
      <c r="A830" s="28"/>
      <c r="B830" s="28"/>
      <c r="C830" s="29">
        <f>[1]!thsiFinD("ths_constituent_ up_number_index",A830,"2025-7-28")</f>
        <v>0</v>
      </c>
    </row>
    <row r="831" spans="1:3" hidden="1" x14ac:dyDescent="0.3">
      <c r="A831" s="28"/>
      <c r="B831" s="28"/>
      <c r="C831" s="29">
        <f>[1]!thsiFinD("ths_constituent_ up_number_index",A831,"2025-7-28")</f>
        <v>0</v>
      </c>
    </row>
    <row r="832" spans="1:3" hidden="1" x14ac:dyDescent="0.3">
      <c r="A832" s="28"/>
      <c r="B832" s="28"/>
      <c r="C832" s="29">
        <f>[1]!thsiFinD("ths_constituent_ up_number_index",A832,"2025-7-28")</f>
        <v>0</v>
      </c>
    </row>
    <row r="833" spans="1:3" hidden="1" x14ac:dyDescent="0.3">
      <c r="A833" s="28"/>
      <c r="B833" s="28"/>
      <c r="C833" s="29">
        <f>[1]!thsiFinD("ths_constituent_ up_number_index",A833,"2025-7-28")</f>
        <v>0</v>
      </c>
    </row>
    <row r="834" spans="1:3" hidden="1" x14ac:dyDescent="0.3">
      <c r="A834" s="28"/>
      <c r="B834" s="28"/>
      <c r="C834" s="29">
        <f>[1]!thsiFinD("ths_constituent_ up_number_index",A834,"2025-7-28")</f>
        <v>0</v>
      </c>
    </row>
    <row r="835" spans="1:3" hidden="1" x14ac:dyDescent="0.3">
      <c r="A835" s="28"/>
      <c r="B835" s="28"/>
      <c r="C835" s="29">
        <f>[1]!thsiFinD("ths_constituent_ up_number_index",A835,"2025-7-28")</f>
        <v>0</v>
      </c>
    </row>
    <row r="836" spans="1:3" hidden="1" x14ac:dyDescent="0.3">
      <c r="A836" s="28"/>
      <c r="B836" s="28"/>
      <c r="C836" s="29">
        <f>[1]!thsiFinD("ths_constituent_ up_number_index",A836,"2025-7-28")</f>
        <v>0</v>
      </c>
    </row>
    <row r="837" spans="1:3" hidden="1" x14ac:dyDescent="0.3">
      <c r="A837" s="28"/>
      <c r="B837" s="28"/>
      <c r="C837" s="29">
        <f>[1]!thsiFinD("ths_constituent_ up_number_index",A837,"2025-7-28")</f>
        <v>0</v>
      </c>
    </row>
    <row r="838" spans="1:3" hidden="1" x14ac:dyDescent="0.3">
      <c r="A838" s="28"/>
      <c r="B838" s="28"/>
      <c r="C838" s="29">
        <f>[1]!thsiFinD("ths_constituent_ up_number_index",A838,"2025-7-28")</f>
        <v>0</v>
      </c>
    </row>
    <row r="839" spans="1:3" hidden="1" x14ac:dyDescent="0.3">
      <c r="A839" s="28"/>
      <c r="B839" s="28"/>
      <c r="C839" s="29">
        <f>[1]!thsiFinD("ths_constituent_ up_number_index",A839,"2025-7-28")</f>
        <v>0</v>
      </c>
    </row>
    <row r="840" spans="1:3" hidden="1" x14ac:dyDescent="0.3">
      <c r="A840" s="28"/>
      <c r="B840" s="28"/>
      <c r="C840" s="29">
        <f>[1]!thsiFinD("ths_constituent_ up_number_index",A840,"2025-7-28")</f>
        <v>0</v>
      </c>
    </row>
    <row r="841" spans="1:3" hidden="1" x14ac:dyDescent="0.3">
      <c r="A841" s="28"/>
      <c r="B841" s="28"/>
      <c r="C841" s="29">
        <f>[1]!thsiFinD("ths_constituent_ up_number_index",A841,"2025-7-28")</f>
        <v>0</v>
      </c>
    </row>
    <row r="842" spans="1:3" hidden="1" x14ac:dyDescent="0.3">
      <c r="A842" s="28"/>
      <c r="B842" s="28"/>
      <c r="C842" s="29">
        <f>[1]!thsiFinD("ths_constituent_ up_number_index",A842,"2025-7-28")</f>
        <v>0</v>
      </c>
    </row>
    <row r="843" spans="1:3" hidden="1" x14ac:dyDescent="0.3">
      <c r="A843" s="28"/>
      <c r="B843" s="28"/>
      <c r="C843" s="29">
        <f>[1]!thsiFinD("ths_constituent_ up_number_index",A843,"2025-7-28")</f>
        <v>0</v>
      </c>
    </row>
    <row r="844" spans="1:3" hidden="1" x14ac:dyDescent="0.3">
      <c r="A844" s="28"/>
      <c r="B844" s="28"/>
      <c r="C844" s="29">
        <f>[1]!thsiFinD("ths_constituent_ up_number_index",A844,"2025-7-28")</f>
        <v>0</v>
      </c>
    </row>
    <row r="845" spans="1:3" hidden="1" x14ac:dyDescent="0.3">
      <c r="A845" s="28"/>
      <c r="B845" s="28"/>
      <c r="C845" s="29">
        <f>[1]!thsiFinD("ths_constituent_ up_number_index",A845,"2025-7-28")</f>
        <v>0</v>
      </c>
    </row>
    <row r="846" spans="1:3" hidden="1" x14ac:dyDescent="0.3">
      <c r="A846" s="28"/>
      <c r="B846" s="28"/>
      <c r="C846" s="29">
        <f>[1]!thsiFinD("ths_constituent_ up_number_index",A846,"2025-7-28")</f>
        <v>0</v>
      </c>
    </row>
    <row r="847" spans="1:3" hidden="1" x14ac:dyDescent="0.3">
      <c r="A847" s="28"/>
      <c r="B847" s="28"/>
      <c r="C847" s="29">
        <f>[1]!thsiFinD("ths_constituent_ up_number_index",A847,"2025-7-28")</f>
        <v>0</v>
      </c>
    </row>
    <row r="848" spans="1:3" hidden="1" x14ac:dyDescent="0.3">
      <c r="A848" s="28"/>
      <c r="B848" s="28"/>
      <c r="C848" s="29">
        <f>[1]!thsiFinD("ths_constituent_ up_number_index",A848,"2025-7-28")</f>
        <v>0</v>
      </c>
    </row>
    <row r="849" spans="1:3" hidden="1" x14ac:dyDescent="0.3">
      <c r="A849" s="28"/>
      <c r="B849" s="28"/>
      <c r="C849" s="29">
        <f>[1]!thsiFinD("ths_constituent_ up_number_index",A849,"2025-7-28")</f>
        <v>0</v>
      </c>
    </row>
    <row r="850" spans="1:3" hidden="1" x14ac:dyDescent="0.3">
      <c r="A850" s="28"/>
      <c r="B850" s="28"/>
      <c r="C850" s="29">
        <f>[1]!thsiFinD("ths_constituent_ up_number_index",A850,"2025-7-28")</f>
        <v>0</v>
      </c>
    </row>
    <row r="851" spans="1:3" hidden="1" x14ac:dyDescent="0.3">
      <c r="A851" s="28"/>
      <c r="B851" s="28"/>
      <c r="C851" s="29">
        <f>[1]!thsiFinD("ths_constituent_ up_number_index",A851,"2025-7-28")</f>
        <v>0</v>
      </c>
    </row>
    <row r="852" spans="1:3" hidden="1" x14ac:dyDescent="0.3">
      <c r="A852" s="28"/>
      <c r="B852" s="28"/>
      <c r="C852" s="29">
        <f>[1]!thsiFinD("ths_constituent_ up_number_index",A852,"2025-7-28")</f>
        <v>0</v>
      </c>
    </row>
    <row r="853" spans="1:3" hidden="1" x14ac:dyDescent="0.3">
      <c r="A853" s="28"/>
      <c r="B853" s="28"/>
      <c r="C853" s="29">
        <f>[1]!thsiFinD("ths_constituent_ up_number_index",A853,"2025-7-28")</f>
        <v>0</v>
      </c>
    </row>
    <row r="854" spans="1:3" hidden="1" x14ac:dyDescent="0.3">
      <c r="A854" s="28"/>
      <c r="B854" s="28"/>
      <c r="C854" s="29">
        <f>[1]!thsiFinD("ths_constituent_ up_number_index",A854,"2025-7-28")</f>
        <v>0</v>
      </c>
    </row>
    <row r="855" spans="1:3" hidden="1" x14ac:dyDescent="0.3">
      <c r="A855" s="28"/>
      <c r="B855" s="28"/>
      <c r="C855" s="29">
        <f>[1]!thsiFinD("ths_constituent_ up_number_index",A855,"2025-7-28")</f>
        <v>0</v>
      </c>
    </row>
    <row r="856" spans="1:3" hidden="1" x14ac:dyDescent="0.3">
      <c r="A856" s="28"/>
      <c r="B856" s="28"/>
      <c r="C856" s="29">
        <f>[1]!thsiFinD("ths_constituent_ up_number_index",A856,"2025-7-28")</f>
        <v>0</v>
      </c>
    </row>
    <row r="857" spans="1:3" hidden="1" x14ac:dyDescent="0.3">
      <c r="A857" s="28"/>
      <c r="B857" s="28"/>
      <c r="C857" s="29">
        <f>[1]!thsiFinD("ths_constituent_ up_number_index",A857,"2025-7-28")</f>
        <v>0</v>
      </c>
    </row>
    <row r="858" spans="1:3" hidden="1" x14ac:dyDescent="0.3">
      <c r="A858" s="28"/>
      <c r="B858" s="28"/>
      <c r="C858" s="29">
        <f>[1]!thsiFinD("ths_constituent_ up_number_index",A858,"2025-7-28")</f>
        <v>0</v>
      </c>
    </row>
    <row r="859" spans="1:3" hidden="1" x14ac:dyDescent="0.3">
      <c r="A859" s="28"/>
      <c r="B859" s="28"/>
      <c r="C859" s="29">
        <f>[1]!thsiFinD("ths_constituent_ up_number_index",A859,"2025-7-28")</f>
        <v>0</v>
      </c>
    </row>
    <row r="860" spans="1:3" hidden="1" x14ac:dyDescent="0.3">
      <c r="A860" s="28"/>
      <c r="B860" s="28"/>
      <c r="C860" s="29">
        <f>[1]!thsiFinD("ths_constituent_ up_number_index",A860,"2025-7-28")</f>
        <v>0</v>
      </c>
    </row>
    <row r="861" spans="1:3" hidden="1" x14ac:dyDescent="0.3">
      <c r="A861" s="28"/>
      <c r="B861" s="28"/>
      <c r="C861" s="29">
        <f>[1]!thsiFinD("ths_constituent_ up_number_index",A861,"2025-7-28")</f>
        <v>0</v>
      </c>
    </row>
    <row r="862" spans="1:3" hidden="1" x14ac:dyDescent="0.3">
      <c r="A862" s="28"/>
      <c r="B862" s="28"/>
      <c r="C862" s="29">
        <f>[1]!thsiFinD("ths_constituent_ up_number_index",A862,"2025-7-28")</f>
        <v>0</v>
      </c>
    </row>
    <row r="863" spans="1:3" hidden="1" x14ac:dyDescent="0.3">
      <c r="A863" s="28"/>
      <c r="B863" s="28"/>
      <c r="C863" s="29">
        <f>[1]!thsiFinD("ths_constituent_ up_number_index",A863,"2025-7-28")</f>
        <v>0</v>
      </c>
    </row>
    <row r="864" spans="1:3" hidden="1" x14ac:dyDescent="0.3">
      <c r="A864" s="28"/>
      <c r="B864" s="28"/>
      <c r="C864" s="29">
        <f>[1]!thsiFinD("ths_constituent_ up_number_index",A864,"2025-7-28")</f>
        <v>0</v>
      </c>
    </row>
    <row r="865" spans="1:3" hidden="1" x14ac:dyDescent="0.3">
      <c r="A865" s="28"/>
      <c r="B865" s="28"/>
      <c r="C865" s="29">
        <f>[1]!thsiFinD("ths_constituent_ up_number_index",A865,"2025-7-28")</f>
        <v>0</v>
      </c>
    </row>
    <row r="866" spans="1:3" hidden="1" x14ac:dyDescent="0.3">
      <c r="A866" s="28"/>
      <c r="B866" s="28"/>
      <c r="C866" s="29">
        <f>[1]!thsiFinD("ths_constituent_ up_number_index",A866,"2025-7-28")</f>
        <v>0</v>
      </c>
    </row>
    <row r="867" spans="1:3" hidden="1" x14ac:dyDescent="0.3">
      <c r="A867" s="28"/>
      <c r="B867" s="28"/>
      <c r="C867" s="29">
        <f>[1]!thsiFinD("ths_constituent_ up_number_index",A867,"2025-7-28")</f>
        <v>0</v>
      </c>
    </row>
    <row r="868" spans="1:3" hidden="1" x14ac:dyDescent="0.3">
      <c r="A868" s="28"/>
      <c r="B868" s="28"/>
      <c r="C868" s="29">
        <f>[1]!thsiFinD("ths_constituent_ up_number_index",A868,"2025-7-28")</f>
        <v>0</v>
      </c>
    </row>
    <row r="869" spans="1:3" hidden="1" x14ac:dyDescent="0.3">
      <c r="A869" s="28"/>
      <c r="B869" s="28"/>
      <c r="C869" s="29">
        <f>[1]!thsiFinD("ths_constituent_ up_number_index",A869,"2025-7-28")</f>
        <v>0</v>
      </c>
    </row>
    <row r="870" spans="1:3" hidden="1" x14ac:dyDescent="0.3">
      <c r="A870" s="28"/>
      <c r="B870" s="28"/>
      <c r="C870" s="29">
        <f>[1]!thsiFinD("ths_constituent_ up_number_index",A870,"2025-7-28")</f>
        <v>0</v>
      </c>
    </row>
    <row r="871" spans="1:3" hidden="1" x14ac:dyDescent="0.3">
      <c r="A871" s="28"/>
      <c r="B871" s="28"/>
      <c r="C871" s="29">
        <f>[1]!thsiFinD("ths_constituent_ up_number_index",A871,"2025-7-28")</f>
        <v>0</v>
      </c>
    </row>
    <row r="872" spans="1:3" hidden="1" x14ac:dyDescent="0.3">
      <c r="A872" s="28"/>
      <c r="B872" s="28"/>
      <c r="C872" s="29">
        <f>[1]!thsiFinD("ths_constituent_ up_number_index",A872,"2025-7-28")</f>
        <v>0</v>
      </c>
    </row>
    <row r="873" spans="1:3" hidden="1" x14ac:dyDescent="0.3">
      <c r="A873" s="28"/>
      <c r="B873" s="28"/>
      <c r="C873" s="29">
        <f>[1]!thsiFinD("ths_constituent_ up_number_index",A873,"2025-7-28")</f>
        <v>0</v>
      </c>
    </row>
    <row r="874" spans="1:3" hidden="1" x14ac:dyDescent="0.3">
      <c r="A874" s="28"/>
      <c r="B874" s="28"/>
      <c r="C874" s="29">
        <f>[1]!thsiFinD("ths_constituent_ up_number_index",A874,"2025-7-28")</f>
        <v>0</v>
      </c>
    </row>
    <row r="875" spans="1:3" hidden="1" x14ac:dyDescent="0.3">
      <c r="A875" s="28"/>
      <c r="B875" s="28"/>
      <c r="C875" s="29">
        <f>[1]!thsiFinD("ths_constituent_ up_number_index",A875,"2025-7-28")</f>
        <v>0</v>
      </c>
    </row>
    <row r="876" spans="1:3" hidden="1" x14ac:dyDescent="0.3">
      <c r="A876" s="28"/>
      <c r="B876" s="28"/>
      <c r="C876" s="29">
        <f>[1]!thsiFinD("ths_constituent_ up_number_index",A876,"2025-7-28")</f>
        <v>0</v>
      </c>
    </row>
    <row r="877" spans="1:3" hidden="1" x14ac:dyDescent="0.3">
      <c r="A877" s="28"/>
      <c r="B877" s="28"/>
      <c r="C877" s="29">
        <f>[1]!thsiFinD("ths_constituent_ up_number_index",A877,"2025-7-28")</f>
        <v>0</v>
      </c>
    </row>
    <row r="878" spans="1:3" hidden="1" x14ac:dyDescent="0.3">
      <c r="A878" s="28"/>
      <c r="B878" s="28"/>
      <c r="C878" s="29">
        <f>[1]!thsiFinD("ths_constituent_ up_number_index",A878,"2025-7-28")</f>
        <v>0</v>
      </c>
    </row>
    <row r="879" spans="1:3" hidden="1" x14ac:dyDescent="0.3">
      <c r="A879" s="28"/>
      <c r="B879" s="28"/>
      <c r="C879" s="29">
        <f>[1]!thsiFinD("ths_constituent_ up_number_index",A879,"2025-7-28")</f>
        <v>0</v>
      </c>
    </row>
    <row r="880" spans="1:3" hidden="1" x14ac:dyDescent="0.3">
      <c r="A880" s="28"/>
      <c r="B880" s="28"/>
      <c r="C880" s="29">
        <f>[1]!thsiFinD("ths_constituent_ up_number_index",A880,"2025-7-28")</f>
        <v>0</v>
      </c>
    </row>
    <row r="881" spans="1:3" hidden="1" x14ac:dyDescent="0.3">
      <c r="A881" s="28"/>
      <c r="B881" s="28"/>
      <c r="C881" s="29">
        <f>[1]!thsiFinD("ths_constituent_ up_number_index",A881,"2025-7-28")</f>
        <v>0</v>
      </c>
    </row>
    <row r="882" spans="1:3" hidden="1" x14ac:dyDescent="0.3">
      <c r="A882" s="28"/>
      <c r="B882" s="28"/>
      <c r="C882" s="29">
        <f>[1]!thsiFinD("ths_constituent_ up_number_index",A882,"2025-7-28")</f>
        <v>0</v>
      </c>
    </row>
    <row r="883" spans="1:3" hidden="1" x14ac:dyDescent="0.3">
      <c r="A883" s="28"/>
      <c r="B883" s="28"/>
      <c r="C883" s="29">
        <f>[1]!thsiFinD("ths_constituent_ up_number_index",A883,"2025-7-28")</f>
        <v>0</v>
      </c>
    </row>
    <row r="884" spans="1:3" hidden="1" x14ac:dyDescent="0.3">
      <c r="A884" s="28"/>
      <c r="B884" s="28"/>
      <c r="C884" s="29">
        <f>[1]!thsiFinD("ths_constituent_ up_number_index",A884,"2025-7-28")</f>
        <v>0</v>
      </c>
    </row>
    <row r="885" spans="1:3" hidden="1" x14ac:dyDescent="0.3">
      <c r="A885" s="28"/>
      <c r="B885" s="28"/>
      <c r="C885" s="29">
        <f>[1]!thsiFinD("ths_constituent_ up_number_index",A885,"2025-7-28")</f>
        <v>0</v>
      </c>
    </row>
    <row r="886" spans="1:3" hidden="1" x14ac:dyDescent="0.3">
      <c r="A886" s="28"/>
      <c r="B886" s="28"/>
      <c r="C886" s="29">
        <f>[1]!thsiFinD("ths_constituent_ up_number_index",A886,"2025-7-28")</f>
        <v>0</v>
      </c>
    </row>
    <row r="887" spans="1:3" hidden="1" x14ac:dyDescent="0.3">
      <c r="A887" s="28"/>
      <c r="B887" s="28"/>
      <c r="C887" s="29">
        <f>[1]!thsiFinD("ths_constituent_ up_number_index",A887,"2025-7-28")</f>
        <v>0</v>
      </c>
    </row>
    <row r="888" spans="1:3" hidden="1" x14ac:dyDescent="0.3">
      <c r="A888" s="28"/>
      <c r="B888" s="28"/>
      <c r="C888" s="29">
        <f>[1]!thsiFinD("ths_constituent_ up_number_index",A888,"2025-7-28")</f>
        <v>0</v>
      </c>
    </row>
    <row r="889" spans="1:3" hidden="1" x14ac:dyDescent="0.3">
      <c r="A889" s="28"/>
      <c r="B889" s="28"/>
      <c r="C889" s="29">
        <f>[1]!thsiFinD("ths_constituent_ up_number_index",A889,"2025-7-28")</f>
        <v>0</v>
      </c>
    </row>
    <row r="890" spans="1:3" hidden="1" x14ac:dyDescent="0.3">
      <c r="A890" s="28"/>
      <c r="B890" s="28"/>
      <c r="C890" s="29">
        <f>[1]!thsiFinD("ths_constituent_ up_number_index",A890,"2025-7-28")</f>
        <v>0</v>
      </c>
    </row>
    <row r="891" spans="1:3" hidden="1" x14ac:dyDescent="0.3">
      <c r="A891" s="28"/>
      <c r="B891" s="28"/>
      <c r="C891" s="29">
        <f>[1]!thsiFinD("ths_constituent_ up_number_index",A891,"2025-7-28")</f>
        <v>0</v>
      </c>
    </row>
    <row r="892" spans="1:3" hidden="1" x14ac:dyDescent="0.3">
      <c r="A892" s="28"/>
      <c r="B892" s="28"/>
      <c r="C892" s="29">
        <f>[1]!thsiFinD("ths_constituent_ up_number_index",A892,"2025-7-28")</f>
        <v>0</v>
      </c>
    </row>
    <row r="893" spans="1:3" hidden="1" x14ac:dyDescent="0.3">
      <c r="A893" s="28"/>
      <c r="B893" s="28"/>
      <c r="C893" s="29">
        <f>[1]!thsiFinD("ths_constituent_ up_number_index",A893,"2025-7-28")</f>
        <v>0</v>
      </c>
    </row>
    <row r="894" spans="1:3" hidden="1" x14ac:dyDescent="0.3">
      <c r="A894" s="28"/>
      <c r="B894" s="28"/>
      <c r="C894" s="29">
        <f>[1]!thsiFinD("ths_constituent_ up_number_index",A894,"2025-7-28")</f>
        <v>0</v>
      </c>
    </row>
    <row r="895" spans="1:3" hidden="1" x14ac:dyDescent="0.3">
      <c r="A895" s="28"/>
      <c r="B895" s="28"/>
      <c r="C895" s="29">
        <f>[1]!thsiFinD("ths_constituent_ up_number_index",A895,"2025-7-28")</f>
        <v>0</v>
      </c>
    </row>
    <row r="896" spans="1:3" hidden="1" x14ac:dyDescent="0.3">
      <c r="A896" s="28"/>
      <c r="B896" s="28"/>
      <c r="C896" s="29">
        <f>[1]!thsiFinD("ths_constituent_ up_number_index",A896,"2025-7-28")</f>
        <v>0</v>
      </c>
    </row>
    <row r="897" spans="1:3" hidden="1" x14ac:dyDescent="0.3">
      <c r="A897" s="28"/>
      <c r="B897" s="28"/>
      <c r="C897" s="29">
        <f>[1]!thsiFinD("ths_constituent_ up_number_index",A897,"2025-7-28")</f>
        <v>0</v>
      </c>
    </row>
    <row r="898" spans="1:3" hidden="1" x14ac:dyDescent="0.3">
      <c r="A898" s="28"/>
      <c r="B898" s="28"/>
      <c r="C898" s="29">
        <f>[1]!thsiFinD("ths_constituent_ up_number_index",A898,"2025-7-28")</f>
        <v>0</v>
      </c>
    </row>
    <row r="899" spans="1:3" hidden="1" x14ac:dyDescent="0.3">
      <c r="A899" s="28"/>
      <c r="B899" s="28"/>
      <c r="C899" s="29">
        <f>[1]!thsiFinD("ths_constituent_ up_number_index",A899,"2025-7-28")</f>
        <v>0</v>
      </c>
    </row>
    <row r="900" spans="1:3" hidden="1" x14ac:dyDescent="0.3">
      <c r="A900" s="28"/>
      <c r="B900" s="28"/>
      <c r="C900" s="29">
        <f>[1]!thsiFinD("ths_constituent_ up_number_index",A900,"2025-7-28")</f>
        <v>0</v>
      </c>
    </row>
    <row r="901" spans="1:3" hidden="1" x14ac:dyDescent="0.3">
      <c r="A901" s="28"/>
      <c r="B901" s="28"/>
      <c r="C901" s="29">
        <f>[1]!thsiFinD("ths_constituent_ up_number_index",A901,"2025-7-28")</f>
        <v>0</v>
      </c>
    </row>
    <row r="902" spans="1:3" hidden="1" x14ac:dyDescent="0.3">
      <c r="A902" s="28"/>
      <c r="B902" s="28"/>
      <c r="C902" s="29">
        <f>[1]!thsiFinD("ths_constituent_ up_number_index",A902,"2025-7-28")</f>
        <v>0</v>
      </c>
    </row>
    <row r="903" spans="1:3" hidden="1" x14ac:dyDescent="0.3">
      <c r="A903" s="28"/>
      <c r="B903" s="28"/>
      <c r="C903" s="29">
        <f>[1]!thsiFinD("ths_constituent_ up_number_index",A903,"2025-7-28")</f>
        <v>0</v>
      </c>
    </row>
    <row r="904" spans="1:3" hidden="1" x14ac:dyDescent="0.3">
      <c r="A904" s="28"/>
      <c r="B904" s="28"/>
      <c r="C904" s="29">
        <f>[1]!thsiFinD("ths_constituent_ up_number_index",A904,"2025-7-28")</f>
        <v>0</v>
      </c>
    </row>
    <row r="905" spans="1:3" hidden="1" x14ac:dyDescent="0.3">
      <c r="A905" s="28"/>
      <c r="B905" s="28"/>
      <c r="C905" s="29">
        <f>[1]!thsiFinD("ths_constituent_ up_number_index",A905,"2025-7-28")</f>
        <v>0</v>
      </c>
    </row>
    <row r="906" spans="1:3" hidden="1" x14ac:dyDescent="0.3">
      <c r="A906" s="28"/>
      <c r="B906" s="28"/>
      <c r="C906" s="29">
        <f>[1]!thsiFinD("ths_constituent_ up_number_index",A906,"2025-7-28")</f>
        <v>0</v>
      </c>
    </row>
    <row r="907" spans="1:3" hidden="1" x14ac:dyDescent="0.3">
      <c r="A907" s="28"/>
      <c r="B907" s="28"/>
      <c r="C907" s="29">
        <f>[1]!thsiFinD("ths_constituent_ up_number_index",A907,"2025-7-28")</f>
        <v>0</v>
      </c>
    </row>
    <row r="908" spans="1:3" hidden="1" x14ac:dyDescent="0.3">
      <c r="A908" s="28"/>
      <c r="B908" s="28"/>
      <c r="C908" s="29">
        <f>[1]!thsiFinD("ths_constituent_ up_number_index",A908,"2025-7-28")</f>
        <v>0</v>
      </c>
    </row>
    <row r="909" spans="1:3" hidden="1" x14ac:dyDescent="0.3">
      <c r="A909" s="28"/>
      <c r="B909" s="28"/>
      <c r="C909" s="29">
        <f>[1]!thsiFinD("ths_constituent_ up_number_index",A909,"2025-7-28")</f>
        <v>0</v>
      </c>
    </row>
    <row r="910" spans="1:3" hidden="1" x14ac:dyDescent="0.3">
      <c r="A910" s="28"/>
      <c r="B910" s="28"/>
      <c r="C910" s="29">
        <f>[1]!thsiFinD("ths_constituent_ up_number_index",A910,"2025-7-28")</f>
        <v>0</v>
      </c>
    </row>
    <row r="911" spans="1:3" hidden="1" x14ac:dyDescent="0.3">
      <c r="A911" s="28"/>
      <c r="B911" s="28"/>
      <c r="C911" s="29">
        <f>[1]!thsiFinD("ths_constituent_ up_number_index",A911,"2025-7-28")</f>
        <v>0</v>
      </c>
    </row>
    <row r="912" spans="1:3" hidden="1" x14ac:dyDescent="0.3">
      <c r="A912" s="28"/>
      <c r="B912" s="28"/>
      <c r="C912" s="29">
        <f>[1]!thsiFinD("ths_constituent_ up_number_index",A912,"2025-7-28")</f>
        <v>0</v>
      </c>
    </row>
    <row r="913" spans="1:3" hidden="1" x14ac:dyDescent="0.3">
      <c r="A913" s="28"/>
      <c r="B913" s="28"/>
      <c r="C913" s="29">
        <f>[1]!thsiFinD("ths_constituent_ up_number_index",A913,"2025-7-28")</f>
        <v>0</v>
      </c>
    </row>
    <row r="914" spans="1:3" hidden="1" x14ac:dyDescent="0.3">
      <c r="A914" s="28"/>
      <c r="B914" s="28"/>
      <c r="C914" s="29">
        <f>[1]!thsiFinD("ths_constituent_ up_number_index",A914,"2025-7-28")</f>
        <v>0</v>
      </c>
    </row>
    <row r="915" spans="1:3" hidden="1" x14ac:dyDescent="0.3">
      <c r="A915" s="28"/>
      <c r="B915" s="28"/>
      <c r="C915" s="29">
        <f>[1]!thsiFinD("ths_constituent_ up_number_index",A915,"2025-7-28")</f>
        <v>0</v>
      </c>
    </row>
    <row r="916" spans="1:3" hidden="1" x14ac:dyDescent="0.3">
      <c r="A916" s="28"/>
      <c r="B916" s="28"/>
      <c r="C916" s="29">
        <f>[1]!thsiFinD("ths_constituent_ up_number_index",A916,"2025-7-28")</f>
        <v>0</v>
      </c>
    </row>
    <row r="917" spans="1:3" hidden="1" x14ac:dyDescent="0.3">
      <c r="A917" s="28"/>
      <c r="B917" s="28"/>
      <c r="C917" s="29">
        <f>[1]!thsiFinD("ths_constituent_ up_number_index",A917,"2025-7-28")</f>
        <v>0</v>
      </c>
    </row>
    <row r="918" spans="1:3" hidden="1" x14ac:dyDescent="0.3">
      <c r="A918" s="28"/>
      <c r="B918" s="28"/>
      <c r="C918" s="29">
        <f>[1]!thsiFinD("ths_constituent_ up_number_index",A918,"2025-7-28")</f>
        <v>0</v>
      </c>
    </row>
    <row r="919" spans="1:3" hidden="1" x14ac:dyDescent="0.3">
      <c r="A919" s="28"/>
      <c r="B919" s="28"/>
      <c r="C919" s="29">
        <f>[1]!thsiFinD("ths_constituent_ up_number_index",A919,"2025-7-28")</f>
        <v>0</v>
      </c>
    </row>
    <row r="920" spans="1:3" hidden="1" x14ac:dyDescent="0.3">
      <c r="A920" s="28"/>
      <c r="B920" s="28"/>
      <c r="C920" s="29">
        <f>[1]!thsiFinD("ths_constituent_ up_number_index",A920,"2025-7-28")</f>
        <v>0</v>
      </c>
    </row>
    <row r="921" spans="1:3" hidden="1" x14ac:dyDescent="0.3">
      <c r="A921" s="28"/>
      <c r="B921" s="28"/>
      <c r="C921" s="29">
        <f>[1]!thsiFinD("ths_constituent_ up_number_index",A921,"2025-7-28")</f>
        <v>0</v>
      </c>
    </row>
    <row r="922" spans="1:3" hidden="1" x14ac:dyDescent="0.3">
      <c r="A922" s="28"/>
      <c r="B922" s="28"/>
      <c r="C922" s="29">
        <f>[1]!thsiFinD("ths_constituent_ up_number_index",A922,"2025-7-28")</f>
        <v>0</v>
      </c>
    </row>
    <row r="923" spans="1:3" hidden="1" x14ac:dyDescent="0.3">
      <c r="A923" s="28"/>
      <c r="B923" s="28"/>
      <c r="C923" s="29">
        <f>[1]!thsiFinD("ths_constituent_ up_number_index",A923,"2025-7-28")</f>
        <v>0</v>
      </c>
    </row>
    <row r="924" spans="1:3" hidden="1" x14ac:dyDescent="0.3">
      <c r="A924" s="28"/>
      <c r="B924" s="28"/>
      <c r="C924" s="29">
        <f>[1]!thsiFinD("ths_constituent_ up_number_index",A924,"2025-7-28")</f>
        <v>0</v>
      </c>
    </row>
    <row r="925" spans="1:3" hidden="1" x14ac:dyDescent="0.3">
      <c r="A925" s="28"/>
      <c r="B925" s="28"/>
      <c r="C925" s="29">
        <f>[1]!thsiFinD("ths_constituent_ up_number_index",A925,"2025-7-28")</f>
        <v>0</v>
      </c>
    </row>
    <row r="926" spans="1:3" hidden="1" x14ac:dyDescent="0.3">
      <c r="A926" s="28"/>
      <c r="B926" s="28"/>
      <c r="C926" s="29">
        <f>[1]!thsiFinD("ths_constituent_ up_number_index",A926,"2025-7-28")</f>
        <v>0</v>
      </c>
    </row>
    <row r="927" spans="1:3" hidden="1" x14ac:dyDescent="0.3">
      <c r="A927" s="28"/>
      <c r="B927" s="28"/>
      <c r="C927" s="29">
        <f>[1]!thsiFinD("ths_constituent_ up_number_index",A927,"2025-7-28")</f>
        <v>0</v>
      </c>
    </row>
    <row r="928" spans="1:3" hidden="1" x14ac:dyDescent="0.3">
      <c r="A928" s="28"/>
      <c r="B928" s="28"/>
      <c r="C928" s="29">
        <f>[1]!thsiFinD("ths_constituent_ up_number_index",A928,"2025-7-28")</f>
        <v>0</v>
      </c>
    </row>
    <row r="929" spans="1:3" hidden="1" x14ac:dyDescent="0.3">
      <c r="A929" s="28"/>
      <c r="B929" s="28"/>
      <c r="C929" s="29">
        <f>[1]!thsiFinD("ths_constituent_ up_number_index",A929,"2025-7-28")</f>
        <v>0</v>
      </c>
    </row>
    <row r="930" spans="1:3" hidden="1" x14ac:dyDescent="0.3">
      <c r="A930" s="28"/>
      <c r="B930" s="28"/>
      <c r="C930" s="29">
        <f>[1]!thsiFinD("ths_constituent_ up_number_index",A930,"2025-7-28")</f>
        <v>0</v>
      </c>
    </row>
    <row r="931" spans="1:3" hidden="1" x14ac:dyDescent="0.3">
      <c r="A931" s="28"/>
      <c r="B931" s="28"/>
      <c r="C931" s="29">
        <f>[1]!thsiFinD("ths_constituent_ up_number_index",A931,"2025-7-28")</f>
        <v>0</v>
      </c>
    </row>
    <row r="932" spans="1:3" hidden="1" x14ac:dyDescent="0.3">
      <c r="A932" s="28"/>
      <c r="B932" s="28"/>
      <c r="C932" s="29">
        <f>[1]!thsiFinD("ths_constituent_ up_number_index",A932,"2025-7-28")</f>
        <v>0</v>
      </c>
    </row>
    <row r="933" spans="1:3" hidden="1" x14ac:dyDescent="0.3">
      <c r="A933" s="28"/>
      <c r="B933" s="28"/>
      <c r="C933" s="29">
        <f>[1]!thsiFinD("ths_constituent_ up_number_index",A933,"2025-7-28")</f>
        <v>0</v>
      </c>
    </row>
    <row r="934" spans="1:3" hidden="1" x14ac:dyDescent="0.3">
      <c r="A934" s="28"/>
      <c r="B934" s="28"/>
      <c r="C934" s="29">
        <f>[1]!thsiFinD("ths_constituent_ up_number_index",A934,"2025-7-28")</f>
        <v>0</v>
      </c>
    </row>
    <row r="935" spans="1:3" hidden="1" x14ac:dyDescent="0.3">
      <c r="A935" s="28"/>
      <c r="B935" s="28"/>
      <c r="C935" s="29">
        <f>[1]!thsiFinD("ths_constituent_ up_number_index",A935,"2025-7-28")</f>
        <v>0</v>
      </c>
    </row>
    <row r="936" spans="1:3" hidden="1" x14ac:dyDescent="0.3">
      <c r="A936" s="28"/>
      <c r="B936" s="28"/>
      <c r="C936" s="29">
        <f>[1]!thsiFinD("ths_constituent_ up_number_index",A936,"2025-7-28")</f>
        <v>0</v>
      </c>
    </row>
    <row r="937" spans="1:3" hidden="1" x14ac:dyDescent="0.3">
      <c r="A937" s="28"/>
      <c r="B937" s="28"/>
      <c r="C937" s="29">
        <f>[1]!thsiFinD("ths_constituent_ up_number_index",A937,"2025-7-28")</f>
        <v>0</v>
      </c>
    </row>
    <row r="938" spans="1:3" hidden="1" x14ac:dyDescent="0.3">
      <c r="A938" s="28"/>
      <c r="B938" s="28"/>
      <c r="C938" s="29">
        <f>[1]!thsiFinD("ths_constituent_ up_number_index",A938,"2025-7-28")</f>
        <v>0</v>
      </c>
    </row>
    <row r="939" spans="1:3" hidden="1" x14ac:dyDescent="0.3">
      <c r="A939" s="28"/>
      <c r="B939" s="28"/>
      <c r="C939" s="29">
        <f>[1]!thsiFinD("ths_constituent_ up_number_index",A939,"2025-7-28")</f>
        <v>0</v>
      </c>
    </row>
    <row r="940" spans="1:3" hidden="1" x14ac:dyDescent="0.3">
      <c r="A940" s="28"/>
      <c r="B940" s="28"/>
      <c r="C940" s="29">
        <f>[1]!thsiFinD("ths_constituent_ up_number_index",A940,"2025-7-28")</f>
        <v>0</v>
      </c>
    </row>
    <row r="941" spans="1:3" hidden="1" x14ac:dyDescent="0.3">
      <c r="A941" s="28"/>
      <c r="B941" s="28"/>
      <c r="C941" s="29">
        <f>[1]!thsiFinD("ths_constituent_ up_number_index",A941,"2025-7-28")</f>
        <v>0</v>
      </c>
    </row>
    <row r="942" spans="1:3" hidden="1" x14ac:dyDescent="0.3">
      <c r="A942" s="28"/>
      <c r="B942" s="28"/>
      <c r="C942" s="29">
        <f>[1]!thsiFinD("ths_constituent_ up_number_index",A942,"2025-7-28")</f>
        <v>0</v>
      </c>
    </row>
    <row r="943" spans="1:3" hidden="1" x14ac:dyDescent="0.3">
      <c r="A943" s="28"/>
      <c r="B943" s="28"/>
      <c r="C943" s="29">
        <f>[1]!thsiFinD("ths_constituent_ up_number_index",A943,"2025-7-28")</f>
        <v>0</v>
      </c>
    </row>
    <row r="944" spans="1:3" hidden="1" x14ac:dyDescent="0.3">
      <c r="A944" s="28"/>
      <c r="B944" s="28"/>
      <c r="C944" s="29">
        <f>[1]!thsiFinD("ths_constituent_ up_number_index",A944,"2025-7-28")</f>
        <v>0</v>
      </c>
    </row>
    <row r="945" spans="1:3" hidden="1" x14ac:dyDescent="0.3">
      <c r="A945" s="28"/>
      <c r="B945" s="28"/>
      <c r="C945" s="29">
        <f>[1]!thsiFinD("ths_constituent_ up_number_index",A945,"2025-7-28")</f>
        <v>0</v>
      </c>
    </row>
    <row r="946" spans="1:3" hidden="1" x14ac:dyDescent="0.3">
      <c r="A946" s="28"/>
      <c r="B946" s="28"/>
      <c r="C946" s="29">
        <f>[1]!thsiFinD("ths_constituent_ up_number_index",A946,"2025-7-28")</f>
        <v>0</v>
      </c>
    </row>
    <row r="947" spans="1:3" hidden="1" x14ac:dyDescent="0.3">
      <c r="A947" s="28"/>
      <c r="B947" s="28"/>
      <c r="C947" s="29">
        <f>[1]!thsiFinD("ths_constituent_ up_number_index",A947,"2025-7-28")</f>
        <v>0</v>
      </c>
    </row>
    <row r="948" spans="1:3" hidden="1" x14ac:dyDescent="0.3">
      <c r="A948" s="28"/>
      <c r="B948" s="28"/>
      <c r="C948" s="29">
        <f>[1]!thsiFinD("ths_constituent_ up_number_index",A948,"2025-7-28")</f>
        <v>0</v>
      </c>
    </row>
    <row r="949" spans="1:3" hidden="1" x14ac:dyDescent="0.3">
      <c r="A949" s="28"/>
      <c r="B949" s="28"/>
      <c r="C949" s="29">
        <f>[1]!thsiFinD("ths_constituent_ up_number_index",A949,"2025-7-28")</f>
        <v>0</v>
      </c>
    </row>
    <row r="950" spans="1:3" hidden="1" x14ac:dyDescent="0.3">
      <c r="A950" s="28"/>
      <c r="B950" s="28"/>
      <c r="C950" s="29">
        <f>[1]!thsiFinD("ths_constituent_ up_number_index",A950,"2025-7-28")</f>
        <v>0</v>
      </c>
    </row>
    <row r="951" spans="1:3" hidden="1" x14ac:dyDescent="0.3">
      <c r="A951" s="28"/>
      <c r="B951" s="28"/>
      <c r="C951" s="29">
        <f>[1]!thsiFinD("ths_constituent_ up_number_index",A951,"2025-7-28")</f>
        <v>0</v>
      </c>
    </row>
    <row r="952" spans="1:3" hidden="1" x14ac:dyDescent="0.3">
      <c r="A952" s="28"/>
      <c r="B952" s="28"/>
      <c r="C952" s="29">
        <f>[1]!thsiFinD("ths_constituent_ up_number_index",A952,"2025-7-28")</f>
        <v>0</v>
      </c>
    </row>
    <row r="953" spans="1:3" hidden="1" x14ac:dyDescent="0.3">
      <c r="A953" s="28"/>
      <c r="B953" s="28"/>
      <c r="C953" s="29">
        <f>[1]!thsiFinD("ths_constituent_ up_number_index",A953,"2025-7-28")</f>
        <v>0</v>
      </c>
    </row>
    <row r="954" spans="1:3" hidden="1" x14ac:dyDescent="0.3">
      <c r="A954" s="28"/>
      <c r="B954" s="28"/>
      <c r="C954" s="29">
        <f>[1]!thsiFinD("ths_constituent_ up_number_index",A954,"2025-7-28")</f>
        <v>0</v>
      </c>
    </row>
    <row r="955" spans="1:3" hidden="1" x14ac:dyDescent="0.3">
      <c r="A955" s="28"/>
      <c r="B955" s="28"/>
      <c r="C955" s="29">
        <f>[1]!thsiFinD("ths_constituent_ up_number_index",A955,"2025-7-28")</f>
        <v>0</v>
      </c>
    </row>
    <row r="956" spans="1:3" hidden="1" x14ac:dyDescent="0.3">
      <c r="A956" s="28"/>
      <c r="B956" s="28"/>
      <c r="C956" s="29">
        <f>[1]!thsiFinD("ths_constituent_ up_number_index",A956,"2025-7-28")</f>
        <v>0</v>
      </c>
    </row>
    <row r="957" spans="1:3" hidden="1" x14ac:dyDescent="0.3">
      <c r="A957" s="28"/>
      <c r="B957" s="28"/>
      <c r="C957" s="29">
        <f>[1]!thsiFinD("ths_constituent_ up_number_index",A957,"2025-7-28")</f>
        <v>0</v>
      </c>
    </row>
    <row r="958" spans="1:3" hidden="1" x14ac:dyDescent="0.3">
      <c r="A958" s="28"/>
      <c r="B958" s="28"/>
      <c r="C958" s="29">
        <f>[1]!thsiFinD("ths_constituent_ up_number_index",A958,"2025-7-28")</f>
        <v>0</v>
      </c>
    </row>
    <row r="959" spans="1:3" hidden="1" x14ac:dyDescent="0.3">
      <c r="A959" s="28"/>
      <c r="B959" s="28"/>
      <c r="C959" s="29">
        <f>[1]!thsiFinD("ths_constituent_ up_number_index",A959,"2025-7-28")</f>
        <v>0</v>
      </c>
    </row>
    <row r="960" spans="1:3" hidden="1" x14ac:dyDescent="0.3">
      <c r="A960" s="28"/>
      <c r="B960" s="28"/>
      <c r="C960" s="29">
        <f>[1]!thsiFinD("ths_constituent_ up_number_index",A960,"2025-7-28")</f>
        <v>0</v>
      </c>
    </row>
    <row r="961" spans="1:3" hidden="1" x14ac:dyDescent="0.3">
      <c r="A961" s="28"/>
      <c r="B961" s="28"/>
      <c r="C961" s="29">
        <f>[1]!thsiFinD("ths_constituent_ up_number_index",A961,"2025-7-28")</f>
        <v>0</v>
      </c>
    </row>
    <row r="962" spans="1:3" hidden="1" x14ac:dyDescent="0.3">
      <c r="A962" s="28"/>
      <c r="B962" s="28"/>
      <c r="C962" s="29">
        <f>[1]!thsiFinD("ths_constituent_ up_number_index",A962,"2025-7-28")</f>
        <v>0</v>
      </c>
    </row>
    <row r="963" spans="1:3" hidden="1" x14ac:dyDescent="0.3">
      <c r="A963" s="28"/>
      <c r="B963" s="28"/>
      <c r="C963" s="29">
        <f>[1]!thsiFinD("ths_constituent_ up_number_index",A963,"2025-7-28")</f>
        <v>0</v>
      </c>
    </row>
    <row r="964" spans="1:3" hidden="1" x14ac:dyDescent="0.3">
      <c r="A964" s="28"/>
      <c r="B964" s="28"/>
      <c r="C964" s="29">
        <f>[1]!thsiFinD("ths_constituent_ up_number_index",A964,"2025-7-28")</f>
        <v>0</v>
      </c>
    </row>
    <row r="965" spans="1:3" hidden="1" x14ac:dyDescent="0.3">
      <c r="A965" s="28"/>
      <c r="B965" s="28"/>
      <c r="C965" s="29">
        <f>[1]!thsiFinD("ths_constituent_ up_number_index",A965,"2025-7-28")</f>
        <v>0</v>
      </c>
    </row>
    <row r="966" spans="1:3" hidden="1" x14ac:dyDescent="0.3">
      <c r="A966" s="28"/>
      <c r="B966" s="28"/>
      <c r="C966" s="29">
        <f>[1]!thsiFinD("ths_constituent_ up_number_index",A966,"2025-7-28")</f>
        <v>0</v>
      </c>
    </row>
    <row r="967" spans="1:3" hidden="1" x14ac:dyDescent="0.3">
      <c r="A967" s="28"/>
      <c r="B967" s="28"/>
      <c r="C967" s="29">
        <f>[1]!thsiFinD("ths_constituent_ up_number_index",A967,"2025-7-28")</f>
        <v>0</v>
      </c>
    </row>
    <row r="968" spans="1:3" hidden="1" x14ac:dyDescent="0.3">
      <c r="A968" s="28"/>
      <c r="B968" s="28"/>
      <c r="C968" s="29">
        <f>[1]!thsiFinD("ths_constituent_ up_number_index",A968,"2025-7-28")</f>
        <v>0</v>
      </c>
    </row>
    <row r="969" spans="1:3" hidden="1" x14ac:dyDescent="0.3">
      <c r="A969" s="28"/>
      <c r="B969" s="28"/>
      <c r="C969" s="29">
        <f>[1]!thsiFinD("ths_constituent_ up_number_index",A969,"2025-7-28")</f>
        <v>0</v>
      </c>
    </row>
    <row r="970" spans="1:3" hidden="1" x14ac:dyDescent="0.3">
      <c r="A970" s="28"/>
      <c r="B970" s="28"/>
      <c r="C970" s="29">
        <f>[1]!thsiFinD("ths_constituent_ up_number_index",A970,"2025-7-28")</f>
        <v>0</v>
      </c>
    </row>
    <row r="971" spans="1:3" hidden="1" x14ac:dyDescent="0.3">
      <c r="A971" s="28"/>
      <c r="B971" s="28"/>
      <c r="C971" s="29">
        <f>[1]!thsiFinD("ths_constituent_ up_number_index",A971,"2025-7-28")</f>
        <v>0</v>
      </c>
    </row>
    <row r="972" spans="1:3" hidden="1" x14ac:dyDescent="0.3">
      <c r="A972" s="28"/>
      <c r="B972" s="28"/>
      <c r="C972" s="29">
        <f>[1]!thsiFinD("ths_constituent_ up_number_index",A972,"2025-7-28")</f>
        <v>0</v>
      </c>
    </row>
    <row r="973" spans="1:3" hidden="1" x14ac:dyDescent="0.3">
      <c r="A973" s="28"/>
      <c r="B973" s="28"/>
      <c r="C973" s="29">
        <f>[1]!thsiFinD("ths_constituent_ up_number_index",A973,"2025-7-28")</f>
        <v>0</v>
      </c>
    </row>
    <row r="974" spans="1:3" hidden="1" x14ac:dyDescent="0.3">
      <c r="A974" s="28"/>
      <c r="B974" s="28"/>
      <c r="C974" s="29">
        <f>[1]!thsiFinD("ths_constituent_ up_number_index",A974,"2025-7-28")</f>
        <v>0</v>
      </c>
    </row>
    <row r="975" spans="1:3" hidden="1" x14ac:dyDescent="0.3">
      <c r="A975" s="28"/>
      <c r="B975" s="28"/>
      <c r="C975" s="29">
        <f>[1]!thsiFinD("ths_constituent_ up_number_index",A975,"2025-7-28")</f>
        <v>0</v>
      </c>
    </row>
    <row r="976" spans="1:3" hidden="1" x14ac:dyDescent="0.3">
      <c r="A976" s="28"/>
      <c r="B976" s="28"/>
      <c r="C976" s="29">
        <f>[1]!thsiFinD("ths_constituent_ up_number_index",A976,"2025-7-28")</f>
        <v>0</v>
      </c>
    </row>
    <row r="977" spans="1:3" hidden="1" x14ac:dyDescent="0.3">
      <c r="A977" s="28"/>
      <c r="B977" s="28"/>
      <c r="C977" s="29">
        <f>[1]!thsiFinD("ths_constituent_ up_number_index",A977,"2025-7-28")</f>
        <v>0</v>
      </c>
    </row>
    <row r="978" spans="1:3" hidden="1" x14ac:dyDescent="0.3">
      <c r="A978" s="28"/>
      <c r="B978" s="28"/>
      <c r="C978" s="29">
        <f>[1]!thsiFinD("ths_constituent_ up_number_index",A978,"2025-7-28")</f>
        <v>0</v>
      </c>
    </row>
    <row r="979" spans="1:3" hidden="1" x14ac:dyDescent="0.3">
      <c r="A979" s="28"/>
      <c r="B979" s="28"/>
      <c r="C979" s="29">
        <f>[1]!thsiFinD("ths_constituent_ up_number_index",A979,"2025-7-28")</f>
        <v>0</v>
      </c>
    </row>
    <row r="980" spans="1:3" hidden="1" x14ac:dyDescent="0.3">
      <c r="A980" s="28"/>
      <c r="B980" s="28"/>
      <c r="C980" s="29">
        <f>[1]!thsiFinD("ths_constituent_ up_number_index",A980,"2025-7-28")</f>
        <v>0</v>
      </c>
    </row>
    <row r="981" spans="1:3" hidden="1" x14ac:dyDescent="0.3">
      <c r="A981" s="28"/>
      <c r="B981" s="28"/>
      <c r="C981" s="29">
        <f>[1]!thsiFinD("ths_constituent_ up_number_index",A981,"2025-7-28")</f>
        <v>0</v>
      </c>
    </row>
    <row r="982" spans="1:3" hidden="1" x14ac:dyDescent="0.3">
      <c r="A982" s="28"/>
      <c r="B982" s="28"/>
      <c r="C982" s="29">
        <f>[1]!thsiFinD("ths_constituent_ up_number_index",A982,"2025-7-28")</f>
        <v>0</v>
      </c>
    </row>
    <row r="983" spans="1:3" hidden="1" x14ac:dyDescent="0.3">
      <c r="A983" s="28"/>
      <c r="B983" s="28"/>
      <c r="C983" s="29">
        <f>[1]!thsiFinD("ths_constituent_ up_number_index",A983,"2025-7-28")</f>
        <v>0</v>
      </c>
    </row>
    <row r="984" spans="1:3" hidden="1" x14ac:dyDescent="0.3">
      <c r="A984" s="28"/>
      <c r="B984" s="28"/>
      <c r="C984" s="29">
        <f>[1]!thsiFinD("ths_constituent_ up_number_index",A984,"2025-7-28")</f>
        <v>0</v>
      </c>
    </row>
    <row r="985" spans="1:3" hidden="1" x14ac:dyDescent="0.3">
      <c r="A985" s="28"/>
      <c r="B985" s="28"/>
      <c r="C985" s="29">
        <f>[1]!thsiFinD("ths_constituent_ up_number_index",A985,"2025-7-28")</f>
        <v>0</v>
      </c>
    </row>
    <row r="986" spans="1:3" hidden="1" x14ac:dyDescent="0.3">
      <c r="A986" s="28"/>
      <c r="B986" s="28"/>
      <c r="C986" s="29">
        <f>[1]!thsiFinD("ths_constituent_ up_number_index",A986,"2025-7-28")</f>
        <v>0</v>
      </c>
    </row>
    <row r="987" spans="1:3" hidden="1" x14ac:dyDescent="0.3">
      <c r="A987" s="28"/>
      <c r="B987" s="28"/>
      <c r="C987" s="29">
        <f>[1]!thsiFinD("ths_constituent_ up_number_index",A987,"2025-7-28")</f>
        <v>0</v>
      </c>
    </row>
    <row r="988" spans="1:3" hidden="1" x14ac:dyDescent="0.3">
      <c r="A988" s="28"/>
      <c r="B988" s="28"/>
      <c r="C988" s="29">
        <f>[1]!thsiFinD("ths_constituent_ up_number_index",A988,"2025-7-28")</f>
        <v>0</v>
      </c>
    </row>
    <row r="989" spans="1:3" hidden="1" x14ac:dyDescent="0.3">
      <c r="A989" s="28"/>
      <c r="B989" s="28"/>
      <c r="C989" s="29">
        <f>[1]!thsiFinD("ths_constituent_ up_number_index",A989,"2025-7-28")</f>
        <v>0</v>
      </c>
    </row>
    <row r="990" spans="1:3" hidden="1" x14ac:dyDescent="0.3">
      <c r="A990" s="28"/>
      <c r="B990" s="28"/>
      <c r="C990" s="29">
        <f>[1]!thsiFinD("ths_constituent_ up_number_index",A990,"2025-7-28")</f>
        <v>0</v>
      </c>
    </row>
    <row r="991" spans="1:3" hidden="1" x14ac:dyDescent="0.3">
      <c r="A991" s="28"/>
      <c r="B991" s="28"/>
      <c r="C991" s="29">
        <f>[1]!thsiFinD("ths_constituent_ up_number_index",A991,"2025-7-28")</f>
        <v>0</v>
      </c>
    </row>
    <row r="992" spans="1:3" hidden="1" x14ac:dyDescent="0.3">
      <c r="A992" s="28"/>
      <c r="B992" s="28"/>
      <c r="C992" s="29">
        <f>[1]!thsiFinD("ths_constituent_ up_number_index",A992,"2025-7-28")</f>
        <v>0</v>
      </c>
    </row>
    <row r="993" spans="1:3" hidden="1" x14ac:dyDescent="0.3">
      <c r="A993" s="28"/>
      <c r="B993" s="28"/>
      <c r="C993" s="29">
        <f>[1]!thsiFinD("ths_constituent_ up_number_index",A993,"2025-7-28")</f>
        <v>0</v>
      </c>
    </row>
    <row r="994" spans="1:3" hidden="1" x14ac:dyDescent="0.3">
      <c r="A994" s="28"/>
      <c r="B994" s="28"/>
      <c r="C994" s="29">
        <f>[1]!thsiFinD("ths_constituent_ up_number_index",A994,"2025-7-28")</f>
        <v>0</v>
      </c>
    </row>
    <row r="995" spans="1:3" hidden="1" x14ac:dyDescent="0.3">
      <c r="A995" s="28"/>
      <c r="B995" s="28"/>
      <c r="C995" s="29">
        <f>[1]!thsiFinD("ths_constituent_ up_number_index",A995,"2025-7-28")</f>
        <v>0</v>
      </c>
    </row>
    <row r="996" spans="1:3" hidden="1" x14ac:dyDescent="0.3">
      <c r="A996" s="28"/>
      <c r="B996" s="28"/>
      <c r="C996" s="29">
        <f>[1]!thsiFinD("ths_constituent_ up_number_index",A996,"2025-7-28")</f>
        <v>0</v>
      </c>
    </row>
    <row r="997" spans="1:3" hidden="1" x14ac:dyDescent="0.3">
      <c r="A997" s="28"/>
      <c r="B997" s="28"/>
      <c r="C997" s="29">
        <f>[1]!thsiFinD("ths_constituent_ up_number_index",A997,"2025-7-28")</f>
        <v>0</v>
      </c>
    </row>
    <row r="998" spans="1:3" hidden="1" x14ac:dyDescent="0.3">
      <c r="A998" s="28"/>
      <c r="B998" s="28"/>
      <c r="C998" s="29">
        <f>[1]!thsiFinD("ths_constituent_ up_number_index",A998,"2025-7-28")</f>
        <v>0</v>
      </c>
    </row>
    <row r="999" spans="1:3" hidden="1" x14ac:dyDescent="0.3">
      <c r="A999" s="28"/>
      <c r="B999" s="28"/>
      <c r="C999" s="29">
        <f>[1]!thsiFinD("ths_constituent_ up_number_index",A999,"2025-7-28")</f>
        <v>0</v>
      </c>
    </row>
    <row r="1000" spans="1:3" hidden="1" x14ac:dyDescent="0.3">
      <c r="A1000" s="28"/>
      <c r="B1000" s="28"/>
      <c r="C1000" s="29">
        <f>[1]!thsiFinD("ths_constituent_ up_number_index",A1000,"2025-7-28")</f>
        <v>0</v>
      </c>
    </row>
    <row r="1001" spans="1:3" hidden="1" x14ac:dyDescent="0.3">
      <c r="A1001" s="28"/>
      <c r="B1001" s="28"/>
      <c r="C1001" s="29">
        <f>[1]!thsiFinD("ths_constituent_ up_number_index",A1001,"2025-7-28")</f>
        <v>0</v>
      </c>
    </row>
    <row r="1002" spans="1:3" hidden="1" x14ac:dyDescent="0.3">
      <c r="A1002" s="28"/>
      <c r="B1002" s="28"/>
      <c r="C1002" s="29">
        <f>[1]!thsiFinD("ths_constituent_ up_number_index",A1002,"2025-7-28")</f>
        <v>0</v>
      </c>
    </row>
    <row r="1003" spans="1:3" hidden="1" x14ac:dyDescent="0.3">
      <c r="A1003" s="28"/>
      <c r="B1003" s="28"/>
      <c r="C1003" s="29">
        <f>[1]!thsiFinD("ths_constituent_ up_number_index",A1003,"2025-7-28")</f>
        <v>0</v>
      </c>
    </row>
    <row r="1004" spans="1:3" hidden="1" x14ac:dyDescent="0.3">
      <c r="A1004" s="28"/>
      <c r="B1004" s="28"/>
      <c r="C1004" s="29">
        <f>[1]!thsiFinD("ths_constituent_ up_number_index",A1004,"2025-7-28")</f>
        <v>0</v>
      </c>
    </row>
    <row r="1005" spans="1:3" hidden="1" x14ac:dyDescent="0.3">
      <c r="A1005" s="28"/>
      <c r="B1005" s="28"/>
      <c r="C1005" s="29">
        <f>[1]!thsiFinD("ths_constituent_ up_number_index",A1005,"2025-7-28")</f>
        <v>0</v>
      </c>
    </row>
    <row r="1006" spans="1:3" hidden="1" x14ac:dyDescent="0.3">
      <c r="A1006" s="28"/>
      <c r="B1006" s="28"/>
      <c r="C1006" s="29">
        <f>[1]!thsiFinD("ths_constituent_ up_number_index",A1006,"2025-7-28")</f>
        <v>0</v>
      </c>
    </row>
    <row r="1007" spans="1:3" hidden="1" x14ac:dyDescent="0.3">
      <c r="A1007" s="28"/>
      <c r="B1007" s="28"/>
      <c r="C1007" s="29">
        <f>[1]!thsiFinD("ths_constituent_ up_number_index",A1007,"2025-7-28")</f>
        <v>0</v>
      </c>
    </row>
    <row r="1008" spans="1:3" hidden="1" x14ac:dyDescent="0.3">
      <c r="A1008" s="28"/>
      <c r="B1008" s="28"/>
      <c r="C1008" s="29">
        <f>[1]!thsiFinD("ths_constituent_ up_number_index",A1008,"2025-7-28")</f>
        <v>0</v>
      </c>
    </row>
    <row r="1009" spans="1:3" hidden="1" x14ac:dyDescent="0.3">
      <c r="A1009" s="28"/>
      <c r="B1009" s="28"/>
      <c r="C1009" s="29">
        <f>[1]!thsiFinD("ths_constituent_ up_number_index",A1009,"2025-7-28")</f>
        <v>0</v>
      </c>
    </row>
    <row r="1010" spans="1:3" hidden="1" x14ac:dyDescent="0.3">
      <c r="A1010" s="28"/>
      <c r="B1010" s="28"/>
      <c r="C1010" s="29">
        <f>[1]!thsiFinD("ths_constituent_ up_number_index",A1010,"2025-7-28")</f>
        <v>0</v>
      </c>
    </row>
    <row r="1011" spans="1:3" hidden="1" x14ac:dyDescent="0.3">
      <c r="A1011" s="28"/>
      <c r="B1011" s="28"/>
      <c r="C1011" s="29">
        <f>[1]!thsiFinD("ths_constituent_ up_number_index",A1011,"2025-7-28")</f>
        <v>0</v>
      </c>
    </row>
    <row r="1012" spans="1:3" hidden="1" x14ac:dyDescent="0.3">
      <c r="A1012" s="28"/>
      <c r="B1012" s="28"/>
      <c r="C1012" s="29">
        <f>[1]!thsiFinD("ths_constituent_ up_number_index",A1012,"2025-7-28")</f>
        <v>0</v>
      </c>
    </row>
    <row r="1013" spans="1:3" hidden="1" x14ac:dyDescent="0.3">
      <c r="A1013" s="28"/>
      <c r="B1013" s="28"/>
      <c r="C1013" s="29">
        <f>[1]!thsiFinD("ths_constituent_ up_number_index",A1013,"2025-7-28")</f>
        <v>0</v>
      </c>
    </row>
    <row r="1014" spans="1:3" hidden="1" x14ac:dyDescent="0.3">
      <c r="A1014" s="28"/>
      <c r="B1014" s="28"/>
      <c r="C1014" s="29">
        <f>[1]!thsiFinD("ths_constituent_ up_number_index",A1014,"2025-7-28")</f>
        <v>0</v>
      </c>
    </row>
    <row r="1015" spans="1:3" hidden="1" x14ac:dyDescent="0.3">
      <c r="A1015" s="28"/>
      <c r="B1015" s="28"/>
      <c r="C1015" s="29">
        <f>[1]!thsiFinD("ths_constituent_ up_number_index",A1015,"2025-7-28")</f>
        <v>0</v>
      </c>
    </row>
    <row r="1016" spans="1:3" hidden="1" x14ac:dyDescent="0.3">
      <c r="A1016" s="28"/>
      <c r="B1016" s="28"/>
      <c r="C1016" s="29">
        <f>[1]!thsiFinD("ths_constituent_ up_number_index",A1016,"2025-7-28")</f>
        <v>0</v>
      </c>
    </row>
    <row r="1017" spans="1:3" hidden="1" x14ac:dyDescent="0.3">
      <c r="A1017" s="28"/>
      <c r="B1017" s="28"/>
      <c r="C1017" s="29">
        <f>[1]!thsiFinD("ths_constituent_ up_number_index",A1017,"2025-7-28")</f>
        <v>0</v>
      </c>
    </row>
    <row r="1018" spans="1:3" hidden="1" x14ac:dyDescent="0.3">
      <c r="A1018" s="28"/>
      <c r="B1018" s="28"/>
      <c r="C1018" s="29">
        <f>[1]!thsiFinD("ths_constituent_ up_number_index",A1018,"2025-7-28")</f>
        <v>0</v>
      </c>
    </row>
    <row r="1019" spans="1:3" hidden="1" x14ac:dyDescent="0.3">
      <c r="A1019" s="28"/>
      <c r="B1019" s="28"/>
      <c r="C1019" s="29">
        <f>[1]!thsiFinD("ths_constituent_ up_number_index",A1019,"2025-7-28")</f>
        <v>0</v>
      </c>
    </row>
    <row r="1020" spans="1:3" hidden="1" x14ac:dyDescent="0.3">
      <c r="A1020" s="28"/>
      <c r="B1020" s="28"/>
      <c r="C1020" s="29">
        <f>[1]!thsiFinD("ths_constituent_ up_number_index",A1020,"2025-7-28")</f>
        <v>0</v>
      </c>
    </row>
    <row r="1021" spans="1:3" hidden="1" x14ac:dyDescent="0.3">
      <c r="A1021" s="28"/>
      <c r="B1021" s="28"/>
      <c r="C1021" s="29">
        <f>[1]!thsiFinD("ths_constituent_ up_number_index",A1021,"2025-7-28")</f>
        <v>0</v>
      </c>
    </row>
    <row r="1022" spans="1:3" hidden="1" x14ac:dyDescent="0.3">
      <c r="A1022" s="28"/>
      <c r="B1022" s="28"/>
      <c r="C1022" s="29">
        <f>[1]!thsiFinD("ths_constituent_ up_number_index",A1022,"2025-7-28")</f>
        <v>0</v>
      </c>
    </row>
    <row r="1023" spans="1:3" hidden="1" x14ac:dyDescent="0.3">
      <c r="A1023" s="28"/>
      <c r="B1023" s="28"/>
      <c r="C1023" s="29">
        <f>[1]!thsiFinD("ths_constituent_ up_number_index",A1023,"2025-7-28")</f>
        <v>0</v>
      </c>
    </row>
    <row r="1024" spans="1:3" hidden="1" x14ac:dyDescent="0.3">
      <c r="A1024" s="28"/>
      <c r="B1024" s="28"/>
      <c r="C1024" s="29">
        <f>[1]!thsiFinD("ths_constituent_ up_number_index",A1024,"2025-7-28")</f>
        <v>0</v>
      </c>
    </row>
    <row r="1025" spans="1:3" hidden="1" x14ac:dyDescent="0.3">
      <c r="A1025" s="28"/>
      <c r="B1025" s="28"/>
      <c r="C1025" s="29">
        <f>[1]!thsiFinD("ths_constituent_ up_number_index",A1025,"2025-7-28")</f>
        <v>0</v>
      </c>
    </row>
    <row r="1026" spans="1:3" hidden="1" x14ac:dyDescent="0.3">
      <c r="A1026" s="28"/>
      <c r="B1026" s="28"/>
      <c r="C1026" s="29">
        <f>[1]!thsiFinD("ths_constituent_ up_number_index",A1026,"2025-7-28")</f>
        <v>0</v>
      </c>
    </row>
    <row r="1027" spans="1:3" hidden="1" x14ac:dyDescent="0.3">
      <c r="A1027" s="28"/>
      <c r="B1027" s="28"/>
      <c r="C1027" s="29">
        <f>[1]!thsiFinD("ths_constituent_ up_number_index",A1027,"2025-7-28")</f>
        <v>0</v>
      </c>
    </row>
    <row r="1028" spans="1:3" hidden="1" x14ac:dyDescent="0.3">
      <c r="A1028" s="28"/>
      <c r="B1028" s="28"/>
      <c r="C1028" s="29">
        <f>[1]!thsiFinD("ths_constituent_ up_number_index",A1028,"2025-7-28")</f>
        <v>0</v>
      </c>
    </row>
    <row r="1029" spans="1:3" hidden="1" x14ac:dyDescent="0.3">
      <c r="A1029" s="28"/>
      <c r="B1029" s="28"/>
      <c r="C1029" s="29">
        <f>[1]!thsiFinD("ths_constituent_ up_number_index",A1029,"2025-7-28")</f>
        <v>0</v>
      </c>
    </row>
    <row r="1030" spans="1:3" hidden="1" x14ac:dyDescent="0.3">
      <c r="A1030" s="28"/>
      <c r="B1030" s="28"/>
      <c r="C1030" s="29">
        <f>[1]!thsiFinD("ths_constituent_ up_number_index",A1030,"2025-7-28")</f>
        <v>0</v>
      </c>
    </row>
    <row r="1031" spans="1:3" hidden="1" x14ac:dyDescent="0.3">
      <c r="A1031" s="28"/>
      <c r="B1031" s="28"/>
      <c r="C1031" s="29">
        <f>[1]!thsiFinD("ths_constituent_ up_number_index",A1031,"2025-7-28")</f>
        <v>0</v>
      </c>
    </row>
    <row r="1032" spans="1:3" hidden="1" x14ac:dyDescent="0.3">
      <c r="A1032" s="28"/>
      <c r="B1032" s="28"/>
      <c r="C1032" s="29">
        <f>[1]!thsiFinD("ths_constituent_ up_number_index",A1032,"2025-7-28")</f>
        <v>0</v>
      </c>
    </row>
    <row r="1033" spans="1:3" hidden="1" x14ac:dyDescent="0.3">
      <c r="A1033" s="28"/>
      <c r="B1033" s="28"/>
      <c r="C1033" s="29">
        <f>[1]!thsiFinD("ths_constituent_ up_number_index",A1033,"2025-7-28")</f>
        <v>0</v>
      </c>
    </row>
    <row r="1034" spans="1:3" hidden="1" x14ac:dyDescent="0.3">
      <c r="A1034" s="28"/>
      <c r="B1034" s="28"/>
      <c r="C1034" s="29">
        <f>[1]!thsiFinD("ths_constituent_ up_number_index",A1034,"2025-7-28")</f>
        <v>0</v>
      </c>
    </row>
    <row r="1035" spans="1:3" hidden="1" x14ac:dyDescent="0.3">
      <c r="A1035" s="28"/>
      <c r="B1035" s="28"/>
      <c r="C1035" s="29">
        <f>[1]!thsiFinD("ths_constituent_ up_number_index",A1035,"2025-7-28")</f>
        <v>0</v>
      </c>
    </row>
    <row r="1036" spans="1:3" hidden="1" x14ac:dyDescent="0.3">
      <c r="A1036" s="28"/>
      <c r="B1036" s="28"/>
      <c r="C1036" s="29">
        <f>[1]!thsiFinD("ths_constituent_ up_number_index",A1036,"2025-7-28")</f>
        <v>0</v>
      </c>
    </row>
    <row r="1037" spans="1:3" hidden="1" x14ac:dyDescent="0.3">
      <c r="A1037" s="28"/>
      <c r="B1037" s="28"/>
      <c r="C1037" s="29">
        <f>[1]!thsiFinD("ths_constituent_ up_number_index",A1037,"2025-7-28")</f>
        <v>0</v>
      </c>
    </row>
    <row r="1038" spans="1:3" hidden="1" x14ac:dyDescent="0.3">
      <c r="A1038" s="28"/>
      <c r="B1038" s="28"/>
      <c r="C1038" s="29">
        <f>[1]!thsiFinD("ths_constituent_ up_number_index",A1038,"2025-7-28")</f>
        <v>0</v>
      </c>
    </row>
    <row r="1039" spans="1:3" hidden="1" x14ac:dyDescent="0.3">
      <c r="A1039" s="28"/>
      <c r="B1039" s="28"/>
      <c r="C1039" s="29">
        <f>[1]!thsiFinD("ths_constituent_ up_number_index",A1039,"2025-7-28")</f>
        <v>0</v>
      </c>
    </row>
    <row r="1040" spans="1:3" hidden="1" x14ac:dyDescent="0.3">
      <c r="A1040" s="28"/>
      <c r="B1040" s="28"/>
      <c r="C1040" s="29">
        <f>[1]!thsiFinD("ths_constituent_ up_number_index",A1040,"2025-7-28")</f>
        <v>0</v>
      </c>
    </row>
    <row r="1041" spans="1:3" hidden="1" x14ac:dyDescent="0.3">
      <c r="A1041" s="28"/>
      <c r="B1041" s="28"/>
      <c r="C1041" s="29">
        <f>[1]!thsiFinD("ths_constituent_ up_number_index",A1041,"2025-7-28")</f>
        <v>0</v>
      </c>
    </row>
    <row r="1042" spans="1:3" hidden="1" x14ac:dyDescent="0.3">
      <c r="A1042" s="28"/>
      <c r="B1042" s="28"/>
      <c r="C1042" s="29">
        <f>[1]!thsiFinD("ths_constituent_ up_number_index",A1042,"2025-7-28")</f>
        <v>0</v>
      </c>
    </row>
    <row r="1043" spans="1:3" hidden="1" x14ac:dyDescent="0.3">
      <c r="A1043" s="28"/>
      <c r="B1043" s="28"/>
      <c r="C1043" s="29">
        <f>[1]!thsiFinD("ths_constituent_ up_number_index",A1043,"2025-7-28")</f>
        <v>0</v>
      </c>
    </row>
    <row r="1044" spans="1:3" hidden="1" x14ac:dyDescent="0.3">
      <c r="A1044" s="28"/>
      <c r="B1044" s="28"/>
      <c r="C1044" s="29">
        <f>[1]!thsiFinD("ths_constituent_ up_number_index",A1044,"2025-7-28")</f>
        <v>0</v>
      </c>
    </row>
    <row r="1045" spans="1:3" hidden="1" x14ac:dyDescent="0.3">
      <c r="A1045" s="28"/>
      <c r="B1045" s="28"/>
      <c r="C1045" s="29">
        <f>[1]!thsiFinD("ths_constituent_ up_number_index",A1045,"2025-7-28")</f>
        <v>0</v>
      </c>
    </row>
    <row r="1046" spans="1:3" hidden="1" x14ac:dyDescent="0.3">
      <c r="A1046" s="28"/>
      <c r="B1046" s="28"/>
      <c r="C1046" s="29">
        <f>[1]!thsiFinD("ths_constituent_ up_number_index",A1046,"2025-7-28")</f>
        <v>0</v>
      </c>
    </row>
    <row r="1047" spans="1:3" hidden="1" x14ac:dyDescent="0.3">
      <c r="A1047" s="28"/>
      <c r="B1047" s="28"/>
      <c r="C1047" s="29">
        <f>[1]!thsiFinD("ths_constituent_ up_number_index",A1047,"2025-7-28")</f>
        <v>0</v>
      </c>
    </row>
    <row r="1048" spans="1:3" hidden="1" x14ac:dyDescent="0.3">
      <c r="A1048" s="28"/>
      <c r="B1048" s="28"/>
      <c r="C1048" s="29">
        <f>[1]!thsiFinD("ths_constituent_ up_number_index",A1048,"2025-7-28")</f>
        <v>0</v>
      </c>
    </row>
    <row r="1049" spans="1:3" hidden="1" x14ac:dyDescent="0.3">
      <c r="A1049" s="28"/>
      <c r="B1049" s="28"/>
      <c r="C1049" s="29">
        <f>[1]!thsiFinD("ths_constituent_ up_number_index",A1049,"2025-7-28")</f>
        <v>0</v>
      </c>
    </row>
    <row r="1050" spans="1:3" hidden="1" x14ac:dyDescent="0.3">
      <c r="A1050" s="28"/>
      <c r="B1050" s="28"/>
      <c r="C1050" s="29">
        <f>[1]!thsiFinD("ths_constituent_ up_number_index",A1050,"2025-7-28")</f>
        <v>0</v>
      </c>
    </row>
    <row r="1051" spans="1:3" hidden="1" x14ac:dyDescent="0.3">
      <c r="A1051" s="28"/>
      <c r="B1051" s="28"/>
      <c r="C1051" s="29">
        <f>[1]!thsiFinD("ths_constituent_ up_number_index",A1051,"2025-7-28")</f>
        <v>0</v>
      </c>
    </row>
    <row r="1052" spans="1:3" hidden="1" x14ac:dyDescent="0.3">
      <c r="A1052" s="28"/>
      <c r="B1052" s="28"/>
      <c r="C1052" s="29">
        <f>[1]!thsiFinD("ths_constituent_ up_number_index",A1052,"2025-7-28")</f>
        <v>0</v>
      </c>
    </row>
    <row r="1053" spans="1:3" hidden="1" x14ac:dyDescent="0.3">
      <c r="A1053" s="28"/>
      <c r="B1053" s="28"/>
      <c r="C1053" s="29">
        <f>[1]!thsiFinD("ths_constituent_ up_number_index",A1053,"2025-7-28")</f>
        <v>0</v>
      </c>
    </row>
    <row r="1054" spans="1:3" hidden="1" x14ac:dyDescent="0.3">
      <c r="A1054" s="28"/>
      <c r="B1054" s="28"/>
      <c r="C1054" s="29">
        <f>[1]!thsiFinD("ths_constituent_ up_number_index",A1054,"2025-7-28")</f>
        <v>0</v>
      </c>
    </row>
    <row r="1055" spans="1:3" hidden="1" x14ac:dyDescent="0.3">
      <c r="A1055" s="28"/>
      <c r="B1055" s="28"/>
      <c r="C1055" s="29">
        <f>[1]!thsiFinD("ths_constituent_ up_number_index",A1055,"2025-7-28")</f>
        <v>0</v>
      </c>
    </row>
    <row r="1056" spans="1:3" hidden="1" x14ac:dyDescent="0.3">
      <c r="A1056" s="28"/>
      <c r="B1056" s="28"/>
      <c r="C1056" s="29">
        <f>[1]!thsiFinD("ths_constituent_ up_number_index",A1056,"2025-7-28")</f>
        <v>0</v>
      </c>
    </row>
    <row r="1057" spans="1:3" hidden="1" x14ac:dyDescent="0.3">
      <c r="A1057" s="28"/>
      <c r="B1057" s="28"/>
      <c r="C1057" s="29">
        <f>[1]!thsiFinD("ths_constituent_ up_number_index",A1057,"2025-7-28")</f>
        <v>0</v>
      </c>
    </row>
    <row r="1058" spans="1:3" hidden="1" x14ac:dyDescent="0.3">
      <c r="A1058" s="28"/>
      <c r="B1058" s="28"/>
      <c r="C1058" s="29">
        <f>[1]!thsiFinD("ths_constituent_ up_number_index",A1058,"2025-7-28")</f>
        <v>0</v>
      </c>
    </row>
    <row r="1059" spans="1:3" hidden="1" x14ac:dyDescent="0.3">
      <c r="A1059" s="28"/>
      <c r="B1059" s="28"/>
      <c r="C1059" s="29">
        <f>[1]!thsiFinD("ths_constituent_ up_number_index",A1059,"2025-7-28")</f>
        <v>0</v>
      </c>
    </row>
    <row r="1060" spans="1:3" hidden="1" x14ac:dyDescent="0.3">
      <c r="A1060" s="28"/>
      <c r="B1060" s="28"/>
      <c r="C1060" s="29">
        <f>[1]!thsiFinD("ths_constituent_ up_number_index",A1060,"2025-7-28")</f>
        <v>0</v>
      </c>
    </row>
    <row r="1061" spans="1:3" hidden="1" x14ac:dyDescent="0.3">
      <c r="A1061" s="28"/>
      <c r="B1061" s="28"/>
      <c r="C1061" s="29">
        <f>[1]!thsiFinD("ths_constituent_ up_number_index",A1061,"2025-7-28")</f>
        <v>0</v>
      </c>
    </row>
    <row r="1062" spans="1:3" hidden="1" x14ac:dyDescent="0.3">
      <c r="A1062" s="28"/>
      <c r="B1062" s="28"/>
      <c r="C1062" s="29">
        <f>[1]!thsiFinD("ths_constituent_ up_number_index",A1062,"2025-7-28")</f>
        <v>0</v>
      </c>
    </row>
    <row r="1063" spans="1:3" hidden="1" x14ac:dyDescent="0.3">
      <c r="A1063" s="28"/>
      <c r="B1063" s="28"/>
      <c r="C1063" s="29">
        <f>[1]!thsiFinD("ths_constituent_ up_number_index",A1063,"2025-7-28")</f>
        <v>0</v>
      </c>
    </row>
    <row r="1064" spans="1:3" hidden="1" x14ac:dyDescent="0.3">
      <c r="A1064" s="28"/>
      <c r="B1064" s="28"/>
      <c r="C1064" s="29">
        <f>[1]!thsiFinD("ths_constituent_ up_number_index",A1064,"2025-7-28")</f>
        <v>0</v>
      </c>
    </row>
    <row r="1065" spans="1:3" hidden="1" x14ac:dyDescent="0.3">
      <c r="A1065" s="28"/>
      <c r="B1065" s="28"/>
      <c r="C1065" s="29">
        <f>[1]!thsiFinD("ths_constituent_ up_number_index",A1065,"2025-7-28")</f>
        <v>0</v>
      </c>
    </row>
    <row r="1066" spans="1:3" hidden="1" x14ac:dyDescent="0.3">
      <c r="A1066" s="28"/>
      <c r="B1066" s="28"/>
      <c r="C1066" s="29">
        <f>[1]!thsiFinD("ths_constituent_ up_number_index",A1066,"2025-7-28")</f>
        <v>0</v>
      </c>
    </row>
    <row r="1067" spans="1:3" hidden="1" x14ac:dyDescent="0.3">
      <c r="A1067" s="28"/>
      <c r="B1067" s="28"/>
      <c r="C1067" s="29">
        <f>[1]!thsiFinD("ths_constituent_ up_number_index",A1067,"2025-7-28")</f>
        <v>0</v>
      </c>
    </row>
    <row r="1068" spans="1:3" hidden="1" x14ac:dyDescent="0.3">
      <c r="A1068" s="28"/>
      <c r="B1068" s="28"/>
      <c r="C1068" s="29">
        <f>[1]!thsiFinD("ths_constituent_ up_number_index",A1068,"2025-7-28")</f>
        <v>0</v>
      </c>
    </row>
    <row r="1069" spans="1:3" hidden="1" x14ac:dyDescent="0.3">
      <c r="A1069" s="28"/>
      <c r="B1069" s="28"/>
      <c r="C1069" s="29">
        <f>[1]!thsiFinD("ths_constituent_ up_number_index",A1069,"2025-7-28")</f>
        <v>0</v>
      </c>
    </row>
    <row r="1070" spans="1:3" hidden="1" x14ac:dyDescent="0.3">
      <c r="A1070" s="28"/>
      <c r="B1070" s="28"/>
      <c r="C1070" s="29">
        <f>[1]!thsiFinD("ths_constituent_ up_number_index",A1070,"2025-7-28")</f>
        <v>0</v>
      </c>
    </row>
    <row r="1071" spans="1:3" hidden="1" x14ac:dyDescent="0.3">
      <c r="A1071" s="28"/>
      <c r="B1071" s="28"/>
      <c r="C1071" s="29">
        <f>[1]!thsiFinD("ths_constituent_ up_number_index",A1071,"2025-7-28")</f>
        <v>0</v>
      </c>
    </row>
    <row r="1072" spans="1:3" hidden="1" x14ac:dyDescent="0.3">
      <c r="A1072" s="28"/>
      <c r="B1072" s="28"/>
      <c r="C1072" s="29">
        <f>[1]!thsiFinD("ths_constituent_ up_number_index",A1072,"2025-7-28")</f>
        <v>0</v>
      </c>
    </row>
    <row r="1073" spans="1:3" hidden="1" x14ac:dyDescent="0.3">
      <c r="A1073" s="28"/>
      <c r="B1073" s="28"/>
      <c r="C1073" s="29">
        <f>[1]!thsiFinD("ths_constituent_ up_number_index",A1073,"2025-7-28")</f>
        <v>0</v>
      </c>
    </row>
    <row r="1074" spans="1:3" hidden="1" x14ac:dyDescent="0.3">
      <c r="A1074" s="28"/>
      <c r="B1074" s="28"/>
      <c r="C1074" s="29">
        <f>[1]!thsiFinD("ths_constituent_ up_number_index",A1074,"2025-7-28")</f>
        <v>0</v>
      </c>
    </row>
    <row r="1075" spans="1:3" hidden="1" x14ac:dyDescent="0.3">
      <c r="A1075" s="28"/>
      <c r="B1075" s="28"/>
      <c r="C1075" s="29">
        <f>[1]!thsiFinD("ths_constituent_ up_number_index",A1075,"2025-7-28")</f>
        <v>0</v>
      </c>
    </row>
  </sheetData>
  <phoneticPr fontId="9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60"/>
  <sheetViews>
    <sheetView tabSelected="1" zoomScale="57" zoomScaleNormal="57" workbookViewId="0">
      <selection activeCell="T27" sqref="T27"/>
    </sheetView>
  </sheetViews>
  <sheetFormatPr defaultColWidth="8.9140625" defaultRowHeight="14" x14ac:dyDescent="0.3"/>
  <cols>
    <col min="1" max="1" width="12.08203125" style="13" customWidth="1"/>
    <col min="2" max="5" width="13.9140625" style="13" customWidth="1"/>
    <col min="6" max="6" width="12.08203125" style="13" customWidth="1"/>
    <col min="7" max="9" width="17.4140625" style="14" customWidth="1"/>
    <col min="10" max="22" width="8.9140625" style="13"/>
    <col min="23" max="23" width="12.58203125" style="13" customWidth="1"/>
    <col min="24" max="24" width="11" style="13" customWidth="1"/>
    <col min="25" max="27" width="10.75" style="13" customWidth="1"/>
    <col min="28" max="16384" width="8.9140625" style="13"/>
  </cols>
  <sheetData>
    <row r="1" spans="1:27" x14ac:dyDescent="0.3">
      <c r="A1" s="15" t="str">
        <f>[1]!HX_HisQuote("[000016.SH,399852.SZ,399370.SZ,399371.SZ]","[close]","1","2024-11-14","2026-5-8",-1,"-1",1,2,1,1,1,1,1,1,1,"1","1900-1-1","YSHB;Tradedays")</f>
        <v>同花顺iFinD</v>
      </c>
      <c r="B1" s="16" t="s">
        <v>364</v>
      </c>
      <c r="C1" s="16" t="s">
        <v>365</v>
      </c>
      <c r="D1" s="16" t="s">
        <v>366</v>
      </c>
      <c r="E1" s="16" t="s">
        <v>367</v>
      </c>
      <c r="F1" s="15"/>
      <c r="G1" s="17" t="s">
        <v>333</v>
      </c>
      <c r="H1" s="17" t="s">
        <v>334</v>
      </c>
      <c r="I1" s="17" t="s">
        <v>335</v>
      </c>
      <c r="J1" s="17" t="s">
        <v>334</v>
      </c>
      <c r="K1" s="16" t="s">
        <v>329</v>
      </c>
      <c r="X1" s="23"/>
      <c r="Y1" s="23"/>
      <c r="Z1" s="23"/>
      <c r="AA1" s="23"/>
    </row>
    <row r="2" spans="1:27" x14ac:dyDescent="0.3">
      <c r="B2" s="18" t="s">
        <v>370</v>
      </c>
      <c r="C2" s="18" t="s">
        <v>371</v>
      </c>
      <c r="D2" s="18" t="s">
        <v>372</v>
      </c>
      <c r="E2" s="18" t="s">
        <v>373</v>
      </c>
      <c r="F2" s="19" t="s">
        <v>302</v>
      </c>
      <c r="G2" s="17"/>
      <c r="H2" s="17"/>
      <c r="I2" s="17"/>
      <c r="J2" s="16"/>
      <c r="K2" s="16" t="s">
        <v>330</v>
      </c>
    </row>
    <row r="3" spans="1:27" x14ac:dyDescent="0.3">
      <c r="A3" s="37" t="s">
        <v>363</v>
      </c>
      <c r="B3" s="18" t="s">
        <v>368</v>
      </c>
      <c r="C3" s="18" t="s">
        <v>368</v>
      </c>
      <c r="D3" s="18" t="s">
        <v>368</v>
      </c>
      <c r="E3" s="18" t="s">
        <v>368</v>
      </c>
      <c r="F3" s="19"/>
      <c r="G3" s="20"/>
      <c r="H3" s="20"/>
      <c r="I3" s="20"/>
      <c r="J3" s="22"/>
      <c r="K3" s="16" t="s">
        <v>331</v>
      </c>
    </row>
    <row r="4" spans="1:27" x14ac:dyDescent="0.3">
      <c r="A4" s="37">
        <v>45610</v>
      </c>
      <c r="B4" s="21">
        <v>2704.1520999999998</v>
      </c>
      <c r="C4" s="21">
        <v>6272.1911</v>
      </c>
      <c r="D4" s="21">
        <v>4140.2916999999998</v>
      </c>
      <c r="E4" s="21">
        <v>6473.7385999999997</v>
      </c>
      <c r="F4" s="19">
        <f>A4</f>
        <v>45610</v>
      </c>
      <c r="G4" s="20">
        <f>C4/B4</f>
        <v>2.3194668302866543</v>
      </c>
      <c r="H4" s="20">
        <f>AVERAGE(G1:G4)</f>
        <v>2.3194668302866543</v>
      </c>
      <c r="I4" s="20">
        <f>D4/E4</f>
        <v>0.63955188119582096</v>
      </c>
      <c r="J4" s="22">
        <f>AVERAGE(I1:I4)</f>
        <v>0.63955188119582096</v>
      </c>
      <c r="K4" s="16" t="s">
        <v>332</v>
      </c>
    </row>
    <row r="5" spans="1:27" x14ac:dyDescent="0.3">
      <c r="A5" s="37">
        <v>45611</v>
      </c>
      <c r="B5" s="21">
        <v>2671.4515000000001</v>
      </c>
      <c r="C5" s="21">
        <v>6125.5126</v>
      </c>
      <c r="D5" s="21">
        <v>4035.1102000000001</v>
      </c>
      <c r="E5" s="21">
        <v>6415.0898999999999</v>
      </c>
      <c r="F5" s="19">
        <f t="shared" ref="F5:F68" si="0">A5</f>
        <v>45611</v>
      </c>
      <c r="G5" s="20">
        <f t="shared" ref="G5:G68" si="1">C5/B5</f>
        <v>2.2929529508583628</v>
      </c>
      <c r="H5" s="20">
        <f>AVERAGE(G1:G5)</f>
        <v>2.3062098905725086</v>
      </c>
      <c r="I5" s="20">
        <f t="shared" ref="I5:I68" si="2">D5/E5</f>
        <v>0.62900290765995348</v>
      </c>
      <c r="J5" s="22">
        <f>AVERAGE(I1:I5)</f>
        <v>0.63427739442788722</v>
      </c>
    </row>
    <row r="6" spans="1:27" x14ac:dyDescent="0.3">
      <c r="A6" s="37">
        <v>45614</v>
      </c>
      <c r="B6" s="21">
        <v>2678.2734999999998</v>
      </c>
      <c r="C6" s="21">
        <v>5974.5576000000001</v>
      </c>
      <c r="D6" s="21">
        <v>3986.4832999999999</v>
      </c>
      <c r="E6" s="21">
        <v>6466.7903999999999</v>
      </c>
      <c r="F6" s="19">
        <f t="shared" si="0"/>
        <v>45614</v>
      </c>
      <c r="G6" s="20">
        <f t="shared" si="1"/>
        <v>2.230749622844717</v>
      </c>
      <c r="H6" s="20">
        <f>AVERAGE(G1:G6)</f>
        <v>2.2810564679965779</v>
      </c>
      <c r="I6" s="20">
        <f t="shared" si="2"/>
        <v>0.6164546944338879</v>
      </c>
      <c r="J6" s="22">
        <f>AVERAGE(I1:I6)</f>
        <v>0.62833649442988737</v>
      </c>
    </row>
    <row r="7" spans="1:27" x14ac:dyDescent="0.3">
      <c r="A7" s="37">
        <v>45615</v>
      </c>
      <c r="B7" s="21">
        <v>2671.1887000000002</v>
      </c>
      <c r="C7" s="21">
        <v>6130.2848000000004</v>
      </c>
      <c r="D7" s="21">
        <v>4061.5868</v>
      </c>
      <c r="E7" s="21">
        <v>6459.8063000000002</v>
      </c>
      <c r="F7" s="19">
        <f t="shared" si="0"/>
        <v>45615</v>
      </c>
      <c r="G7" s="20">
        <f t="shared" si="1"/>
        <v>2.2949650842712832</v>
      </c>
      <c r="H7" s="20">
        <f>AVERAGE(G1:G7)</f>
        <v>2.2845336220652541</v>
      </c>
      <c r="I7" s="20">
        <f t="shared" si="2"/>
        <v>0.62874745950199773</v>
      </c>
      <c r="J7" s="22">
        <f>AVERAGE(I1:I7)</f>
        <v>0.62843923569791493</v>
      </c>
    </row>
    <row r="8" spans="1:27" x14ac:dyDescent="0.3">
      <c r="A8" s="37">
        <v>45616</v>
      </c>
      <c r="B8" s="21">
        <v>2676.2067999999999</v>
      </c>
      <c r="C8" s="21">
        <v>6250.8028999999997</v>
      </c>
      <c r="D8" s="21">
        <v>4075.0221000000001</v>
      </c>
      <c r="E8" s="21">
        <v>6471.5672000000004</v>
      </c>
      <c r="F8" s="19">
        <f t="shared" si="0"/>
        <v>45616</v>
      </c>
      <c r="G8" s="20">
        <f t="shared" si="1"/>
        <v>2.3356950217748493</v>
      </c>
      <c r="H8" s="20">
        <f>AVERAGE(G1:G8)</f>
        <v>2.2947659020071733</v>
      </c>
      <c r="I8" s="20">
        <f t="shared" si="2"/>
        <v>0.62968087544544082</v>
      </c>
      <c r="J8" s="22">
        <f>AVERAGE(I1:I8)</f>
        <v>0.62868756364742018</v>
      </c>
    </row>
    <row r="9" spans="1:27" x14ac:dyDescent="0.3">
      <c r="A9" s="37">
        <v>45617</v>
      </c>
      <c r="B9" s="21">
        <v>2680.7979999999998</v>
      </c>
      <c r="C9" s="21">
        <v>6262.1643999999997</v>
      </c>
      <c r="D9" s="21">
        <v>4077.8227000000002</v>
      </c>
      <c r="E9" s="21">
        <v>6462.9138999999996</v>
      </c>
      <c r="F9" s="19">
        <f t="shared" si="0"/>
        <v>45617</v>
      </c>
      <c r="G9" s="20">
        <f t="shared" si="1"/>
        <v>2.3359329572761545</v>
      </c>
      <c r="H9" s="20">
        <f>AVERAGE(G1:G9)</f>
        <v>2.3016270778853367</v>
      </c>
      <c r="I9" s="20">
        <f t="shared" si="2"/>
        <v>0.63095729930736044</v>
      </c>
      <c r="J9" s="22">
        <f>AVERAGE(I1:I9)</f>
        <v>0.62906585292407691</v>
      </c>
    </row>
    <row r="10" spans="1:27" x14ac:dyDescent="0.3">
      <c r="A10" s="37">
        <v>45618</v>
      </c>
      <c r="B10" s="21">
        <v>2601.5572999999999</v>
      </c>
      <c r="C10" s="21">
        <v>6030.4881999999998</v>
      </c>
      <c r="D10" s="21">
        <v>3934.7012</v>
      </c>
      <c r="E10" s="21">
        <v>6281.6927999999998</v>
      </c>
      <c r="F10" s="19">
        <f t="shared" si="0"/>
        <v>45618</v>
      </c>
      <c r="G10" s="20">
        <f t="shared" si="1"/>
        <v>2.3180301275701289</v>
      </c>
      <c r="H10" s="20">
        <f>AVERAGE(G1:G10)</f>
        <v>2.3039703706974501</v>
      </c>
      <c r="I10" s="20">
        <f t="shared" si="2"/>
        <v>0.62637593484355047</v>
      </c>
      <c r="J10" s="22">
        <f>AVERAGE(I1:I10)</f>
        <v>0.62868157891257315</v>
      </c>
    </row>
    <row r="11" spans="1:27" x14ac:dyDescent="0.3">
      <c r="A11" s="37">
        <v>45621</v>
      </c>
      <c r="B11" s="21">
        <v>2582.0536000000002</v>
      </c>
      <c r="C11" s="21">
        <v>6052.1287000000002</v>
      </c>
      <c r="D11" s="21">
        <v>3921.2579000000001</v>
      </c>
      <c r="E11" s="21">
        <v>6270.9889000000003</v>
      </c>
      <c r="F11" s="19">
        <f t="shared" si="0"/>
        <v>45621</v>
      </c>
      <c r="G11" s="20">
        <f t="shared" si="1"/>
        <v>2.3439206296879349</v>
      </c>
      <c r="H11" s="20">
        <f>AVERAGE(G1:G11)</f>
        <v>2.308964153071261</v>
      </c>
      <c r="I11" s="20">
        <f t="shared" si="2"/>
        <v>0.62530136195903641</v>
      </c>
      <c r="J11" s="22">
        <f>AVERAGE(I1:I11)</f>
        <v>0.62825905179338104</v>
      </c>
    </row>
    <row r="12" spans="1:27" x14ac:dyDescent="0.3">
      <c r="A12" s="37">
        <v>45622</v>
      </c>
      <c r="B12" s="21">
        <v>2592.7374</v>
      </c>
      <c r="C12" s="21">
        <v>5981.5699000000004</v>
      </c>
      <c r="D12" s="21">
        <v>3890.4616999999998</v>
      </c>
      <c r="E12" s="21">
        <v>6274.3954999999996</v>
      </c>
      <c r="F12" s="19">
        <f t="shared" si="0"/>
        <v>45622</v>
      </c>
      <c r="G12" s="20">
        <f t="shared" si="1"/>
        <v>2.3070481029046754</v>
      </c>
      <c r="H12" s="20">
        <f>AVERAGE(G1:G12)</f>
        <v>2.3087512586083072</v>
      </c>
      <c r="I12" s="20">
        <f t="shared" si="2"/>
        <v>0.62005362907072081</v>
      </c>
      <c r="J12" s="22">
        <f>AVERAGE(I1:I12)</f>
        <v>0.62734733815752997</v>
      </c>
    </row>
    <row r="13" spans="1:27" x14ac:dyDescent="0.3">
      <c r="A13" s="37">
        <v>45623</v>
      </c>
      <c r="B13" s="21">
        <v>2625.7604999999999</v>
      </c>
      <c r="C13" s="21">
        <v>6118.6635999999999</v>
      </c>
      <c r="D13" s="21">
        <v>3966.1291000000001</v>
      </c>
      <c r="E13" s="21">
        <v>6351.6558000000005</v>
      </c>
      <c r="F13" s="19">
        <f t="shared" si="0"/>
        <v>45623</v>
      </c>
      <c r="G13" s="20">
        <f t="shared" si="1"/>
        <v>2.3302443615859101</v>
      </c>
      <c r="H13" s="20">
        <f>AVERAGE(G1:G13)</f>
        <v>2.3109005689060673</v>
      </c>
      <c r="I13" s="20">
        <f t="shared" si="2"/>
        <v>0.62442443748290011</v>
      </c>
      <c r="J13" s="22">
        <f>AVERAGE(I1:I13)</f>
        <v>0.62705504809006696</v>
      </c>
    </row>
    <row r="14" spans="1:27" x14ac:dyDescent="0.3">
      <c r="A14" s="37">
        <v>45624</v>
      </c>
      <c r="B14" s="21">
        <v>2610.1214</v>
      </c>
      <c r="C14" s="21">
        <v>6086.0852000000004</v>
      </c>
      <c r="D14" s="21">
        <v>3919.7283000000002</v>
      </c>
      <c r="E14" s="21">
        <v>6314.9299000000001</v>
      </c>
      <c r="F14" s="19">
        <f t="shared" si="0"/>
        <v>45624</v>
      </c>
      <c r="G14" s="20">
        <f t="shared" si="1"/>
        <v>2.3317249534830067</v>
      </c>
      <c r="H14" s="20">
        <f>AVERAGE(G1:G14)</f>
        <v>2.3127936947766981</v>
      </c>
      <c r="I14" s="20">
        <f t="shared" si="2"/>
        <v>0.62070812535860453</v>
      </c>
      <c r="J14" s="22">
        <f>AVERAGE(I1:I14)</f>
        <v>0.62647805511447952</v>
      </c>
    </row>
    <row r="15" spans="1:27" x14ac:dyDescent="0.3">
      <c r="A15" s="37">
        <v>45625</v>
      </c>
      <c r="B15" s="21">
        <v>2624.9558000000002</v>
      </c>
      <c r="C15" s="21">
        <v>6189.1275999999998</v>
      </c>
      <c r="D15" s="21">
        <v>3986.5576000000001</v>
      </c>
      <c r="E15" s="21">
        <v>6351.4796999999999</v>
      </c>
      <c r="F15" s="19">
        <f t="shared" si="0"/>
        <v>45625</v>
      </c>
      <c r="G15" s="20">
        <f t="shared" si="1"/>
        <v>2.3578025961427613</v>
      </c>
      <c r="H15" s="20">
        <f>AVERAGE(G1:G15)</f>
        <v>2.3165444365572037</v>
      </c>
      <c r="I15" s="20">
        <f t="shared" si="2"/>
        <v>0.62765808729578398</v>
      </c>
      <c r="J15" s="22">
        <f>AVERAGE(I1:I15)</f>
        <v>0.62657639112958818</v>
      </c>
    </row>
    <row r="16" spans="1:27" x14ac:dyDescent="0.3">
      <c r="A16" s="37">
        <v>45628</v>
      </c>
      <c r="B16" s="21">
        <v>2639.0408000000002</v>
      </c>
      <c r="C16" s="21">
        <v>6313.6076999999996</v>
      </c>
      <c r="D16" s="21">
        <v>4029.3872000000001</v>
      </c>
      <c r="E16" s="21">
        <v>6396.2235000000001</v>
      </c>
      <c r="F16" s="19">
        <f t="shared" si="0"/>
        <v>45628</v>
      </c>
      <c r="G16" s="20">
        <f t="shared" si="1"/>
        <v>2.3923873022349631</v>
      </c>
      <c r="H16" s="20">
        <f>AVERAGE(G1:G16)</f>
        <v>2.3223785031478004</v>
      </c>
      <c r="I16" s="20">
        <f t="shared" si="2"/>
        <v>0.62996347766772065</v>
      </c>
      <c r="J16" s="22">
        <f>AVERAGE(I1:I16)</f>
        <v>0.62683693624790615</v>
      </c>
    </row>
    <row r="17" spans="1:10" x14ac:dyDescent="0.3">
      <c r="A17" s="37">
        <v>45629</v>
      </c>
      <c r="B17" s="21">
        <v>2652.8982000000001</v>
      </c>
      <c r="C17" s="21">
        <v>6303.2758000000003</v>
      </c>
      <c r="D17" s="21">
        <v>4017.3681999999999</v>
      </c>
      <c r="E17" s="21">
        <v>6455.1571999999996</v>
      </c>
      <c r="F17" s="19">
        <f t="shared" si="0"/>
        <v>45629</v>
      </c>
      <c r="G17" s="20">
        <f t="shared" si="1"/>
        <v>2.3759961087085815</v>
      </c>
      <c r="H17" s="20">
        <f>AVERAGE(G1:G17)</f>
        <v>2.3262083321164275</v>
      </c>
      <c r="I17" s="20">
        <f t="shared" si="2"/>
        <v>0.62235017297487349</v>
      </c>
      <c r="J17" s="22">
        <f>AVERAGE(I1:I17)</f>
        <v>0.62651645315697535</v>
      </c>
    </row>
    <row r="18" spans="1:10" x14ac:dyDescent="0.3">
      <c r="A18" s="37">
        <v>45630</v>
      </c>
      <c r="B18" s="21">
        <v>2648.7554</v>
      </c>
      <c r="C18" s="21">
        <v>6204.9448000000002</v>
      </c>
      <c r="D18" s="21">
        <v>3987.0118000000002</v>
      </c>
      <c r="E18" s="21">
        <v>6452.0018</v>
      </c>
      <c r="F18" s="19">
        <f t="shared" si="0"/>
        <v>45630</v>
      </c>
      <c r="G18" s="20">
        <f t="shared" si="1"/>
        <v>2.342588824925095</v>
      </c>
      <c r="H18" s="20">
        <f>AVERAGE(G1:G18)</f>
        <v>2.327300364970339</v>
      </c>
      <c r="I18" s="20">
        <f t="shared" si="2"/>
        <v>0.61794957961729025</v>
      </c>
      <c r="J18" s="22">
        <f>AVERAGE(I1:I18)</f>
        <v>0.62594532825432969</v>
      </c>
    </row>
    <row r="19" spans="1:10" x14ac:dyDescent="0.3">
      <c r="A19" s="37">
        <v>45631</v>
      </c>
      <c r="B19" s="21">
        <v>2635.5614999999998</v>
      </c>
      <c r="C19" s="21">
        <v>6285.6007</v>
      </c>
      <c r="D19" s="21">
        <v>3977.9694</v>
      </c>
      <c r="E19" s="21">
        <v>6439.4704000000002</v>
      </c>
      <c r="F19" s="19">
        <f t="shared" si="0"/>
        <v>45631</v>
      </c>
      <c r="G19" s="20">
        <f t="shared" si="1"/>
        <v>2.3849190011312582</v>
      </c>
      <c r="H19" s="20">
        <f>AVERAGE(G2:G19)</f>
        <v>2.3309015297303963</v>
      </c>
      <c r="I19" s="20">
        <f t="shared" si="2"/>
        <v>0.61774791293395803</v>
      </c>
      <c r="J19" s="22">
        <f>AVERAGE(I2:I19)</f>
        <v>0.62543298979680639</v>
      </c>
    </row>
    <row r="20" spans="1:10" x14ac:dyDescent="0.3">
      <c r="A20" s="37">
        <v>45632</v>
      </c>
      <c r="B20" s="21">
        <v>2665.4281000000001</v>
      </c>
      <c r="C20" s="21">
        <v>6349.6211000000003</v>
      </c>
      <c r="D20" s="21">
        <v>4032.8578000000002</v>
      </c>
      <c r="E20" s="21">
        <v>6517.3948</v>
      </c>
      <c r="F20" s="19">
        <f t="shared" si="0"/>
        <v>45632</v>
      </c>
      <c r="G20" s="20">
        <f t="shared" si="1"/>
        <v>2.3822143617379887</v>
      </c>
      <c r="H20" s="20">
        <f>AVERAGE(G3:G20)</f>
        <v>2.3339199316131958</v>
      </c>
      <c r="I20" s="20">
        <f t="shared" si="2"/>
        <v>0.61878372014535632</v>
      </c>
      <c r="J20" s="22">
        <f>AVERAGE(I3:I20)</f>
        <v>0.62504185628789766</v>
      </c>
    </row>
    <row r="21" spans="1:10" x14ac:dyDescent="0.3">
      <c r="A21" s="37">
        <v>45635</v>
      </c>
      <c r="B21" s="21">
        <v>2667.5924</v>
      </c>
      <c r="C21" s="21">
        <v>6303.2721000000001</v>
      </c>
      <c r="D21" s="21">
        <v>4019.4659999999999</v>
      </c>
      <c r="E21" s="21">
        <v>6518.6052</v>
      </c>
      <c r="F21" s="19">
        <f t="shared" si="0"/>
        <v>45635</v>
      </c>
      <c r="G21" s="20">
        <f t="shared" si="1"/>
        <v>2.3629067544202029</v>
      </c>
      <c r="H21" s="20">
        <f>AVERAGE(G3:G21)</f>
        <v>2.3355303106580294</v>
      </c>
      <c r="I21" s="20">
        <f t="shared" si="2"/>
        <v>0.61661442542953815</v>
      </c>
      <c r="J21" s="22">
        <f>AVERAGE(I3:I21)</f>
        <v>0.62457366568465544</v>
      </c>
    </row>
    <row r="22" spans="1:10" x14ac:dyDescent="0.3">
      <c r="A22" s="37">
        <v>45636</v>
      </c>
      <c r="B22" s="21">
        <v>2689.3292000000001</v>
      </c>
      <c r="C22" s="21">
        <v>6362.0203000000001</v>
      </c>
      <c r="D22" s="21">
        <v>4049.7710000000002</v>
      </c>
      <c r="E22" s="21">
        <v>6549.0493999999999</v>
      </c>
      <c r="F22" s="19">
        <f t="shared" si="0"/>
        <v>45636</v>
      </c>
      <c r="G22" s="20">
        <f t="shared" si="1"/>
        <v>2.365653226834409</v>
      </c>
      <c r="H22" s="20">
        <f>AVERAGE(G4:G22)</f>
        <v>2.3371157272988916</v>
      </c>
      <c r="I22" s="20">
        <f t="shared" si="2"/>
        <v>0.61837539353421278</v>
      </c>
      <c r="J22" s="22">
        <f>AVERAGE(I4:I22)</f>
        <v>0.62424744083463224</v>
      </c>
    </row>
    <row r="23" spans="1:10" x14ac:dyDescent="0.3">
      <c r="A23" s="37">
        <v>45637</v>
      </c>
      <c r="B23" s="21">
        <v>2676.5518000000002</v>
      </c>
      <c r="C23" s="21">
        <v>6447.3743999999997</v>
      </c>
      <c r="D23" s="21">
        <v>4053.5023000000001</v>
      </c>
      <c r="E23" s="21">
        <v>6553.2541000000001</v>
      </c>
      <c r="F23" s="19">
        <f t="shared" si="0"/>
        <v>45637</v>
      </c>
      <c r="G23" s="20">
        <f t="shared" si="1"/>
        <v>2.4088360255161132</v>
      </c>
      <c r="H23" s="20">
        <f t="shared" ref="H23:H86" si="3">AVERAGE(G4:G23)</f>
        <v>2.3407017422097529</v>
      </c>
      <c r="I23" s="20">
        <f t="shared" si="2"/>
        <v>0.61854801265832193</v>
      </c>
      <c r="J23" s="22">
        <f t="shared" ref="J23:J86" si="4">AVERAGE(I4:I23)</f>
        <v>0.62396246942581668</v>
      </c>
    </row>
    <row r="24" spans="1:10" x14ac:dyDescent="0.3">
      <c r="A24" s="37">
        <v>45638</v>
      </c>
      <c r="B24" s="21">
        <v>2702.2680999999998</v>
      </c>
      <c r="C24" s="21">
        <v>6490.1454999999996</v>
      </c>
      <c r="D24" s="21">
        <v>4094.9632000000001</v>
      </c>
      <c r="E24" s="21">
        <v>6609.7849999999999</v>
      </c>
      <c r="F24" s="19">
        <f t="shared" si="0"/>
        <v>45638</v>
      </c>
      <c r="G24" s="20">
        <f t="shared" si="1"/>
        <v>2.4017400420039743</v>
      </c>
      <c r="H24" s="20">
        <f t="shared" si="3"/>
        <v>2.3448154027956187</v>
      </c>
      <c r="I24" s="20">
        <f t="shared" si="2"/>
        <v>0.61953046884278384</v>
      </c>
      <c r="J24" s="22">
        <f t="shared" si="4"/>
        <v>0.62296139880816459</v>
      </c>
    </row>
    <row r="25" spans="1:10" x14ac:dyDescent="0.3">
      <c r="A25" s="37">
        <v>45639</v>
      </c>
      <c r="B25" s="21">
        <v>2638.0266000000001</v>
      </c>
      <c r="C25" s="21">
        <v>6354.9883</v>
      </c>
      <c r="D25" s="21">
        <v>3988.3184999999999</v>
      </c>
      <c r="E25" s="21">
        <v>6476.5927000000001</v>
      </c>
      <c r="F25" s="19">
        <f t="shared" si="0"/>
        <v>45639</v>
      </c>
      <c r="G25" s="20">
        <f t="shared" si="1"/>
        <v>2.4089932603408926</v>
      </c>
      <c r="H25" s="20">
        <f t="shared" si="3"/>
        <v>2.3506174182697448</v>
      </c>
      <c r="I25" s="20">
        <f t="shared" si="2"/>
        <v>0.61580505131965446</v>
      </c>
      <c r="J25" s="22">
        <f t="shared" si="4"/>
        <v>0.62230150599114975</v>
      </c>
    </row>
    <row r="26" spans="1:10" x14ac:dyDescent="0.3">
      <c r="A26" s="37">
        <v>45642</v>
      </c>
      <c r="B26" s="21">
        <v>2641.5603999999998</v>
      </c>
      <c r="C26" s="21">
        <v>6277.5162</v>
      </c>
      <c r="D26" s="21">
        <v>3941.1572999999999</v>
      </c>
      <c r="E26" s="21">
        <v>6476.6135999999997</v>
      </c>
      <c r="F26" s="19">
        <f t="shared" si="0"/>
        <v>45642</v>
      </c>
      <c r="G26" s="20">
        <f t="shared" si="1"/>
        <v>2.3764424239551745</v>
      </c>
      <c r="H26" s="20">
        <f t="shared" si="3"/>
        <v>2.3579020583252679</v>
      </c>
      <c r="I26" s="20">
        <f t="shared" si="2"/>
        <v>0.60852129575863534</v>
      </c>
      <c r="J26" s="22">
        <f t="shared" si="4"/>
        <v>0.62190483605738711</v>
      </c>
    </row>
    <row r="27" spans="1:10" x14ac:dyDescent="0.3">
      <c r="A27" s="37">
        <v>45643</v>
      </c>
      <c r="B27" s="21">
        <v>2652.3454999999999</v>
      </c>
      <c r="C27" s="21">
        <v>6143.9435999999996</v>
      </c>
      <c r="D27" s="21">
        <v>3949.6457</v>
      </c>
      <c r="E27" s="21">
        <v>6461.0433000000003</v>
      </c>
      <c r="F27" s="19">
        <f t="shared" si="0"/>
        <v>45643</v>
      </c>
      <c r="G27" s="20">
        <f t="shared" si="1"/>
        <v>2.3164190336439954</v>
      </c>
      <c r="H27" s="20">
        <f t="shared" si="3"/>
        <v>2.3589747557939038</v>
      </c>
      <c r="I27" s="20">
        <f t="shared" si="2"/>
        <v>0.61130153701337986</v>
      </c>
      <c r="J27" s="22">
        <f t="shared" si="4"/>
        <v>0.62103253993295626</v>
      </c>
    </row>
    <row r="28" spans="1:10" x14ac:dyDescent="0.3">
      <c r="A28" s="37">
        <v>45644</v>
      </c>
      <c r="B28" s="21">
        <v>2671.3461000000002</v>
      </c>
      <c r="C28" s="21">
        <v>6195.8676999999998</v>
      </c>
      <c r="D28" s="21">
        <v>3960.7505999999998</v>
      </c>
      <c r="E28" s="21">
        <v>6505.7853999999998</v>
      </c>
      <c r="F28" s="19">
        <f t="shared" si="0"/>
        <v>45644</v>
      </c>
      <c r="G28" s="20">
        <f t="shared" si="1"/>
        <v>2.3193803678227991</v>
      </c>
      <c r="H28" s="20">
        <f t="shared" si="3"/>
        <v>2.3581590230963014</v>
      </c>
      <c r="I28" s="20">
        <f t="shared" si="2"/>
        <v>0.60880437279717214</v>
      </c>
      <c r="J28" s="22">
        <f t="shared" si="4"/>
        <v>0.61998871480054274</v>
      </c>
    </row>
    <row r="29" spans="1:10" x14ac:dyDescent="0.3">
      <c r="A29" s="37">
        <v>45645</v>
      </c>
      <c r="B29" s="21">
        <v>2661.7224000000001</v>
      </c>
      <c r="C29" s="21">
        <v>6207.1862000000001</v>
      </c>
      <c r="D29" s="21">
        <v>3962.1435000000001</v>
      </c>
      <c r="E29" s="21">
        <v>6466.8761000000004</v>
      </c>
      <c r="F29" s="19">
        <f t="shared" si="0"/>
        <v>45645</v>
      </c>
      <c r="G29" s="20">
        <f t="shared" si="1"/>
        <v>2.3320186207246856</v>
      </c>
      <c r="H29" s="20">
        <f t="shared" si="3"/>
        <v>2.357963306268728</v>
      </c>
      <c r="I29" s="20">
        <f t="shared" si="2"/>
        <v>0.61268276038255931</v>
      </c>
      <c r="J29" s="22">
        <f t="shared" si="4"/>
        <v>0.61907498785430271</v>
      </c>
    </row>
    <row r="30" spans="1:10" x14ac:dyDescent="0.3">
      <c r="A30" s="37">
        <v>45646</v>
      </c>
      <c r="B30" s="21">
        <v>2648.4609</v>
      </c>
      <c r="C30" s="21">
        <v>6271.7532000000001</v>
      </c>
      <c r="D30" s="21">
        <v>3949.5302999999999</v>
      </c>
      <c r="E30" s="21">
        <v>6425.4344000000001</v>
      </c>
      <c r="F30" s="19">
        <f t="shared" si="0"/>
        <v>45646</v>
      </c>
      <c r="G30" s="20">
        <f t="shared" si="1"/>
        <v>2.368074680656981</v>
      </c>
      <c r="H30" s="20">
        <f t="shared" si="3"/>
        <v>2.3604655339230707</v>
      </c>
      <c r="I30" s="20">
        <f t="shared" si="2"/>
        <v>0.61467132868090602</v>
      </c>
      <c r="J30" s="22">
        <f t="shared" si="4"/>
        <v>0.61848975754617042</v>
      </c>
    </row>
    <row r="31" spans="1:10" x14ac:dyDescent="0.3">
      <c r="A31" s="37">
        <v>45649</v>
      </c>
      <c r="B31" s="21">
        <v>2671.2024999999999</v>
      </c>
      <c r="C31" s="21">
        <v>6096.3813</v>
      </c>
      <c r="D31" s="21">
        <v>3932.8244</v>
      </c>
      <c r="E31" s="21">
        <v>6465.5819000000001</v>
      </c>
      <c r="F31" s="19">
        <f t="shared" si="0"/>
        <v>45649</v>
      </c>
      <c r="G31" s="20">
        <f t="shared" si="1"/>
        <v>2.2822610041732143</v>
      </c>
      <c r="H31" s="20">
        <f t="shared" si="3"/>
        <v>2.3573825526473344</v>
      </c>
      <c r="I31" s="20">
        <f t="shared" si="2"/>
        <v>0.60827075750134718</v>
      </c>
      <c r="J31" s="22">
        <f t="shared" si="4"/>
        <v>0.6176382273232861</v>
      </c>
    </row>
    <row r="32" spans="1:10" x14ac:dyDescent="0.3">
      <c r="A32" s="37">
        <v>45650</v>
      </c>
      <c r="B32" s="21">
        <v>2702.2820000000002</v>
      </c>
      <c r="C32" s="21">
        <v>6164.3604999999998</v>
      </c>
      <c r="D32" s="21">
        <v>3981.8123999999998</v>
      </c>
      <c r="E32" s="21">
        <v>6552.9035999999996</v>
      </c>
      <c r="F32" s="19">
        <f t="shared" si="0"/>
        <v>45650</v>
      </c>
      <c r="G32" s="20">
        <f t="shared" si="1"/>
        <v>2.2811684716843024</v>
      </c>
      <c r="H32" s="20">
        <f t="shared" si="3"/>
        <v>2.3560885710863158</v>
      </c>
      <c r="I32" s="20">
        <f t="shared" si="2"/>
        <v>0.60764092424616167</v>
      </c>
      <c r="J32" s="22">
        <f t="shared" si="4"/>
        <v>0.61701759208205809</v>
      </c>
    </row>
    <row r="33" spans="1:10" x14ac:dyDescent="0.3">
      <c r="A33" s="37">
        <v>45651</v>
      </c>
      <c r="B33" s="21">
        <v>2710.1649000000002</v>
      </c>
      <c r="C33" s="21">
        <v>6094.6866</v>
      </c>
      <c r="D33" s="21">
        <v>3965.3357999999998</v>
      </c>
      <c r="E33" s="21">
        <v>6575.4794000000002</v>
      </c>
      <c r="F33" s="19">
        <f t="shared" si="0"/>
        <v>45651</v>
      </c>
      <c r="G33" s="20">
        <f t="shared" si="1"/>
        <v>2.2488250069211655</v>
      </c>
      <c r="H33" s="20">
        <f t="shared" si="3"/>
        <v>2.3520176033530786</v>
      </c>
      <c r="I33" s="20">
        <f t="shared" si="2"/>
        <v>0.60304892750481431</v>
      </c>
      <c r="J33" s="22">
        <f t="shared" si="4"/>
        <v>0.6159488165831537</v>
      </c>
    </row>
    <row r="34" spans="1:10" x14ac:dyDescent="0.3">
      <c r="A34" s="37">
        <v>45652</v>
      </c>
      <c r="B34" s="21">
        <v>2702.5952000000002</v>
      </c>
      <c r="C34" s="21">
        <v>6160.4517999999998</v>
      </c>
      <c r="D34" s="21">
        <v>3970.0441000000001</v>
      </c>
      <c r="E34" s="21">
        <v>6547.3153000000002</v>
      </c>
      <c r="F34" s="19">
        <f t="shared" si="0"/>
        <v>45652</v>
      </c>
      <c r="G34" s="20">
        <f t="shared" si="1"/>
        <v>2.2794578337147935</v>
      </c>
      <c r="H34" s="20">
        <f t="shared" si="3"/>
        <v>2.3494042473646681</v>
      </c>
      <c r="I34" s="20">
        <f t="shared" si="2"/>
        <v>0.60636213747030021</v>
      </c>
      <c r="J34" s="22">
        <f t="shared" si="4"/>
        <v>0.61523151718873859</v>
      </c>
    </row>
    <row r="35" spans="1:10" x14ac:dyDescent="0.3">
      <c r="A35" s="37">
        <v>45653</v>
      </c>
      <c r="B35" s="21">
        <v>2701.7031000000002</v>
      </c>
      <c r="C35" s="21">
        <v>6171.5653000000002</v>
      </c>
      <c r="D35" s="21">
        <v>3964.2037</v>
      </c>
      <c r="E35" s="21">
        <v>6553.6018000000004</v>
      </c>
      <c r="F35" s="19">
        <f t="shared" si="0"/>
        <v>45653</v>
      </c>
      <c r="G35" s="20">
        <f t="shared" si="1"/>
        <v>2.2843240250936527</v>
      </c>
      <c r="H35" s="20">
        <f t="shared" si="3"/>
        <v>2.3457303188122127</v>
      </c>
      <c r="I35" s="20">
        <f t="shared" si="2"/>
        <v>0.60488931445300809</v>
      </c>
      <c r="J35" s="22">
        <f t="shared" si="4"/>
        <v>0.61409307854659978</v>
      </c>
    </row>
    <row r="36" spans="1:10" x14ac:dyDescent="0.3">
      <c r="A36" s="37">
        <v>45656</v>
      </c>
      <c r="B36" s="21">
        <v>2718.7485999999999</v>
      </c>
      <c r="C36" s="21">
        <v>6145.9279999999999</v>
      </c>
      <c r="D36" s="21">
        <v>3974.8498</v>
      </c>
      <c r="E36" s="21">
        <v>6603.8789999999999</v>
      </c>
      <c r="F36" s="19">
        <f t="shared" si="0"/>
        <v>45656</v>
      </c>
      <c r="G36" s="20">
        <f t="shared" si="1"/>
        <v>2.2605723824556638</v>
      </c>
      <c r="H36" s="20">
        <f t="shared" si="3"/>
        <v>2.3391395728232474</v>
      </c>
      <c r="I36" s="20">
        <f t="shared" si="2"/>
        <v>0.60189621887378619</v>
      </c>
      <c r="J36" s="22">
        <f t="shared" si="4"/>
        <v>0.61268971560690288</v>
      </c>
    </row>
    <row r="37" spans="1:10" x14ac:dyDescent="0.3">
      <c r="A37" s="37">
        <v>45657</v>
      </c>
      <c r="B37" s="21">
        <v>2684.7705999999998</v>
      </c>
      <c r="C37" s="21">
        <v>5957.7172</v>
      </c>
      <c r="D37" s="21">
        <v>3894.9580999999998</v>
      </c>
      <c r="E37" s="21">
        <v>6520.3316999999997</v>
      </c>
      <c r="F37" s="19">
        <f t="shared" si="0"/>
        <v>45657</v>
      </c>
      <c r="G37" s="20">
        <f t="shared" si="1"/>
        <v>2.2190786803162998</v>
      </c>
      <c r="H37" s="20">
        <f t="shared" si="3"/>
        <v>2.3312937014036335</v>
      </c>
      <c r="I37" s="20">
        <f t="shared" si="2"/>
        <v>0.59735582163711087</v>
      </c>
      <c r="J37" s="22">
        <f t="shared" si="4"/>
        <v>0.61143999804001481</v>
      </c>
    </row>
    <row r="38" spans="1:10" x14ac:dyDescent="0.3">
      <c r="A38" s="37">
        <v>45659</v>
      </c>
      <c r="B38" s="21">
        <v>2610.3420000000001</v>
      </c>
      <c r="C38" s="21">
        <v>5797.0889999999999</v>
      </c>
      <c r="D38" s="21">
        <v>3781.6749</v>
      </c>
      <c r="E38" s="21">
        <v>6368.5241999999998</v>
      </c>
      <c r="F38" s="19">
        <f t="shared" si="0"/>
        <v>45659</v>
      </c>
      <c r="G38" s="20">
        <f t="shared" si="1"/>
        <v>2.2208158930898709</v>
      </c>
      <c r="H38" s="20">
        <f t="shared" si="3"/>
        <v>2.3252050548118719</v>
      </c>
      <c r="I38" s="20">
        <f t="shared" si="2"/>
        <v>0.59380710212265508</v>
      </c>
      <c r="J38" s="22">
        <f t="shared" si="4"/>
        <v>0.61023287416528305</v>
      </c>
    </row>
    <row r="39" spans="1:10" x14ac:dyDescent="0.3">
      <c r="A39" s="37">
        <v>45660</v>
      </c>
      <c r="B39" s="21">
        <v>2587.1316000000002</v>
      </c>
      <c r="C39" s="21">
        <v>5625.2089999999998</v>
      </c>
      <c r="D39" s="21">
        <v>3737.1538999999998</v>
      </c>
      <c r="E39" s="21">
        <v>6311.4849000000004</v>
      </c>
      <c r="F39" s="19">
        <f t="shared" si="0"/>
        <v>45660</v>
      </c>
      <c r="G39" s="20">
        <f t="shared" si="1"/>
        <v>2.1743033868087727</v>
      </c>
      <c r="H39" s="20">
        <f t="shared" si="3"/>
        <v>2.314674274095748</v>
      </c>
      <c r="I39" s="20">
        <f t="shared" si="2"/>
        <v>0.59211959771938927</v>
      </c>
      <c r="J39" s="22">
        <f t="shared" si="4"/>
        <v>0.60895145840455456</v>
      </c>
    </row>
    <row r="40" spans="1:10" x14ac:dyDescent="0.3">
      <c r="A40" s="37">
        <v>45663</v>
      </c>
      <c r="B40" s="21">
        <v>2579.9632000000001</v>
      </c>
      <c r="C40" s="21">
        <v>5608.0343999999996</v>
      </c>
      <c r="D40" s="21">
        <v>3723.4636</v>
      </c>
      <c r="E40" s="21">
        <v>6329.3585000000003</v>
      </c>
      <c r="F40" s="19">
        <f t="shared" si="0"/>
        <v>45663</v>
      </c>
      <c r="G40" s="20">
        <f t="shared" si="1"/>
        <v>2.1736877487244777</v>
      </c>
      <c r="H40" s="20">
        <f t="shared" si="3"/>
        <v>2.304247943445072</v>
      </c>
      <c r="I40" s="20">
        <f t="shared" si="2"/>
        <v>0.58828451572145901</v>
      </c>
      <c r="J40" s="22">
        <f t="shared" si="4"/>
        <v>0.6074264981833597</v>
      </c>
    </row>
    <row r="41" spans="1:10" x14ac:dyDescent="0.3">
      <c r="A41" s="37">
        <v>45664</v>
      </c>
      <c r="B41" s="21">
        <v>2593.9654</v>
      </c>
      <c r="C41" s="21">
        <v>5692.0410000000002</v>
      </c>
      <c r="D41" s="21">
        <v>3757.4672999999998</v>
      </c>
      <c r="E41" s="21">
        <v>6335.6367</v>
      </c>
      <c r="F41" s="19">
        <f t="shared" si="0"/>
        <v>45664</v>
      </c>
      <c r="G41" s="20">
        <f t="shared" si="1"/>
        <v>2.1943396006747045</v>
      </c>
      <c r="H41" s="20">
        <f t="shared" si="3"/>
        <v>2.2958195857577968</v>
      </c>
      <c r="I41" s="20">
        <f t="shared" si="2"/>
        <v>0.59306861771288111</v>
      </c>
      <c r="J41" s="22">
        <f t="shared" si="4"/>
        <v>0.60624920779752689</v>
      </c>
    </row>
    <row r="42" spans="1:10" x14ac:dyDescent="0.3">
      <c r="A42" s="37">
        <v>45665</v>
      </c>
      <c r="B42" s="21">
        <v>2597.4459000000002</v>
      </c>
      <c r="C42" s="21">
        <v>5661.7793000000001</v>
      </c>
      <c r="D42" s="21">
        <v>3733.4701</v>
      </c>
      <c r="E42" s="21">
        <v>6356.0021999999999</v>
      </c>
      <c r="F42" s="19">
        <f t="shared" si="0"/>
        <v>45665</v>
      </c>
      <c r="G42" s="20">
        <f t="shared" si="1"/>
        <v>2.179748690819701</v>
      </c>
      <c r="H42" s="20">
        <f t="shared" si="3"/>
        <v>2.2865243589570619</v>
      </c>
      <c r="I42" s="20">
        <f t="shared" si="2"/>
        <v>0.58739282689360928</v>
      </c>
      <c r="J42" s="22">
        <f t="shared" si="4"/>
        <v>0.60470007946549664</v>
      </c>
    </row>
    <row r="43" spans="1:10" x14ac:dyDescent="0.3">
      <c r="A43" s="37">
        <v>45666</v>
      </c>
      <c r="B43" s="21">
        <v>2579.5751</v>
      </c>
      <c r="C43" s="21">
        <v>5672.7795999999998</v>
      </c>
      <c r="D43" s="21">
        <v>3735.1127000000001</v>
      </c>
      <c r="E43" s="21">
        <v>6303.34</v>
      </c>
      <c r="F43" s="19">
        <f t="shared" si="0"/>
        <v>45666</v>
      </c>
      <c r="G43" s="20">
        <f t="shared" si="1"/>
        <v>2.199113954852487</v>
      </c>
      <c r="H43" s="20">
        <f t="shared" si="3"/>
        <v>2.2760382554238801</v>
      </c>
      <c r="I43" s="20">
        <f t="shared" si="2"/>
        <v>0.5925608804221254</v>
      </c>
      <c r="J43" s="22">
        <f t="shared" si="4"/>
        <v>0.60340072285368673</v>
      </c>
    </row>
    <row r="44" spans="1:10" x14ac:dyDescent="0.3">
      <c r="A44" s="37">
        <v>45667</v>
      </c>
      <c r="B44" s="21">
        <v>2560.2496999999998</v>
      </c>
      <c r="C44" s="21">
        <v>5544.9157999999998</v>
      </c>
      <c r="D44" s="21">
        <v>3691.172</v>
      </c>
      <c r="E44" s="21">
        <v>6220.8047999999999</v>
      </c>
      <c r="F44" s="19">
        <f t="shared" si="0"/>
        <v>45667</v>
      </c>
      <c r="G44" s="20">
        <f t="shared" si="1"/>
        <v>2.1657714870545637</v>
      </c>
      <c r="H44" s="20">
        <f t="shared" si="3"/>
        <v>2.26423982767641</v>
      </c>
      <c r="I44" s="20">
        <f t="shared" si="2"/>
        <v>0.59335923866313889</v>
      </c>
      <c r="J44" s="22">
        <f t="shared" si="4"/>
        <v>0.60209216134470456</v>
      </c>
    </row>
    <row r="45" spans="1:10" x14ac:dyDescent="0.3">
      <c r="A45" s="37">
        <v>45670</v>
      </c>
      <c r="B45" s="21">
        <v>2553.3593000000001</v>
      </c>
      <c r="C45" s="21">
        <v>5559.4724999999999</v>
      </c>
      <c r="D45" s="21">
        <v>3706.0230000000001</v>
      </c>
      <c r="E45" s="21">
        <v>6181.2111000000004</v>
      </c>
      <c r="F45" s="19">
        <f t="shared" si="0"/>
        <v>45670</v>
      </c>
      <c r="G45" s="20">
        <f t="shared" si="1"/>
        <v>2.177316956528601</v>
      </c>
      <c r="H45" s="20">
        <f t="shared" si="3"/>
        <v>2.2526560124857951</v>
      </c>
      <c r="I45" s="20">
        <f t="shared" si="2"/>
        <v>0.59956260028071195</v>
      </c>
      <c r="J45" s="22">
        <f t="shared" si="4"/>
        <v>0.60128003879275749</v>
      </c>
    </row>
    <row r="46" spans="1:10" x14ac:dyDescent="0.3">
      <c r="A46" s="37">
        <v>45671</v>
      </c>
      <c r="B46" s="21">
        <v>2598.8067999999998</v>
      </c>
      <c r="C46" s="21">
        <v>5811.0545000000002</v>
      </c>
      <c r="D46" s="21">
        <v>3822.0237999999999</v>
      </c>
      <c r="E46" s="21">
        <v>6293.4156000000003</v>
      </c>
      <c r="F46" s="19">
        <f t="shared" si="0"/>
        <v>45671</v>
      </c>
      <c r="G46" s="20">
        <f t="shared" si="1"/>
        <v>2.236047135169879</v>
      </c>
      <c r="H46" s="20">
        <f t="shared" si="3"/>
        <v>2.2456362480465306</v>
      </c>
      <c r="I46" s="20">
        <f t="shared" si="2"/>
        <v>0.60730516509985444</v>
      </c>
      <c r="J46" s="22">
        <f t="shared" si="4"/>
        <v>0.60121923225981844</v>
      </c>
    </row>
    <row r="47" spans="1:10" x14ac:dyDescent="0.3">
      <c r="A47" s="37">
        <v>45672</v>
      </c>
      <c r="B47" s="21">
        <v>2591.5027</v>
      </c>
      <c r="C47" s="21">
        <v>5775.5708999999997</v>
      </c>
      <c r="D47" s="21">
        <v>3786.4429</v>
      </c>
      <c r="E47" s="21">
        <v>6293.5441000000001</v>
      </c>
      <c r="F47" s="19">
        <f t="shared" si="0"/>
        <v>45672</v>
      </c>
      <c r="G47" s="20">
        <f t="shared" si="1"/>
        <v>2.2286571030776852</v>
      </c>
      <c r="H47" s="20">
        <f t="shared" si="3"/>
        <v>2.241248151518215</v>
      </c>
      <c r="I47" s="20">
        <f t="shared" si="2"/>
        <v>0.60163920993260378</v>
      </c>
      <c r="J47" s="22">
        <f t="shared" si="4"/>
        <v>0.60073611590577969</v>
      </c>
    </row>
    <row r="48" spans="1:10" x14ac:dyDescent="0.3">
      <c r="A48" s="37">
        <v>45673</v>
      </c>
      <c r="B48" s="21">
        <v>2580.1176999999998</v>
      </c>
      <c r="C48" s="21">
        <v>5801.3050999999996</v>
      </c>
      <c r="D48" s="21">
        <v>3794.6639</v>
      </c>
      <c r="E48" s="21">
        <v>6337.4781999999996</v>
      </c>
      <c r="F48" s="19">
        <f t="shared" si="0"/>
        <v>45673</v>
      </c>
      <c r="G48" s="20">
        <f t="shared" si="1"/>
        <v>2.2484652928817939</v>
      </c>
      <c r="H48" s="20">
        <f t="shared" si="3"/>
        <v>2.237702397771165</v>
      </c>
      <c r="I48" s="20">
        <f t="shared" si="2"/>
        <v>0.59876559417592956</v>
      </c>
      <c r="J48" s="22">
        <f t="shared" si="4"/>
        <v>0.60023417697471748</v>
      </c>
    </row>
    <row r="49" spans="1:10" x14ac:dyDescent="0.3">
      <c r="A49" s="37">
        <v>45674</v>
      </c>
      <c r="B49" s="21">
        <v>2582.4859000000001</v>
      </c>
      <c r="C49" s="21">
        <v>5841.5717999999997</v>
      </c>
      <c r="D49" s="21">
        <v>3820.3467999999998</v>
      </c>
      <c r="E49" s="21">
        <v>6332.2093999999997</v>
      </c>
      <c r="F49" s="19">
        <f t="shared" si="0"/>
        <v>45674</v>
      </c>
      <c r="G49" s="20">
        <f t="shared" si="1"/>
        <v>2.2619956221251778</v>
      </c>
      <c r="H49" s="20">
        <f t="shared" si="3"/>
        <v>2.2342012478411895</v>
      </c>
      <c r="I49" s="20">
        <f t="shared" si="2"/>
        <v>0.60331971965424891</v>
      </c>
      <c r="J49" s="22">
        <f t="shared" si="4"/>
        <v>0.599766024938302</v>
      </c>
    </row>
    <row r="50" spans="1:10" x14ac:dyDescent="0.3">
      <c r="A50" s="37">
        <v>45677</v>
      </c>
      <c r="B50" s="21">
        <v>2589.0684999999999</v>
      </c>
      <c r="C50" s="21">
        <v>5879.1495000000004</v>
      </c>
      <c r="D50" s="21">
        <v>3851.7647999999999</v>
      </c>
      <c r="E50" s="21">
        <v>6313.5073000000002</v>
      </c>
      <c r="F50" s="19">
        <f t="shared" si="0"/>
        <v>45677</v>
      </c>
      <c r="G50" s="20">
        <f t="shared" si="1"/>
        <v>2.2707585759125339</v>
      </c>
      <c r="H50" s="20">
        <f t="shared" si="3"/>
        <v>2.2293354426039671</v>
      </c>
      <c r="I50" s="20">
        <f t="shared" si="2"/>
        <v>0.61008321000911803</v>
      </c>
      <c r="J50" s="22">
        <f t="shared" si="4"/>
        <v>0.59953661900471256</v>
      </c>
    </row>
    <row r="51" spans="1:10" x14ac:dyDescent="0.3">
      <c r="A51" s="37">
        <v>45678</v>
      </c>
      <c r="B51" s="21">
        <v>2584.8888999999999</v>
      </c>
      <c r="C51" s="21">
        <v>5908.0234</v>
      </c>
      <c r="D51" s="21">
        <v>3850.0572000000002</v>
      </c>
      <c r="E51" s="21">
        <v>6288.1738999999998</v>
      </c>
      <c r="F51" s="19">
        <f t="shared" si="0"/>
        <v>45678</v>
      </c>
      <c r="G51" s="20">
        <f t="shared" si="1"/>
        <v>2.2856005145907821</v>
      </c>
      <c r="H51" s="20">
        <f t="shared" si="3"/>
        <v>2.2295024181248455</v>
      </c>
      <c r="I51" s="20">
        <f t="shared" si="2"/>
        <v>0.61226951754626258</v>
      </c>
      <c r="J51" s="22">
        <f t="shared" si="4"/>
        <v>0.59973655700695827</v>
      </c>
    </row>
    <row r="52" spans="1:10" x14ac:dyDescent="0.3">
      <c r="A52" s="37">
        <v>45679</v>
      </c>
      <c r="B52" s="21">
        <v>2551.3535000000002</v>
      </c>
      <c r="C52" s="21">
        <v>5855.7393000000002</v>
      </c>
      <c r="D52" s="21">
        <v>3812.7478999999998</v>
      </c>
      <c r="E52" s="21">
        <v>6210.7154</v>
      </c>
      <c r="F52" s="19">
        <f t="shared" si="0"/>
        <v>45679</v>
      </c>
      <c r="G52" s="20">
        <f t="shared" si="1"/>
        <v>2.295150123258106</v>
      </c>
      <c r="H52" s="20">
        <f t="shared" si="3"/>
        <v>2.2302015007035356</v>
      </c>
      <c r="I52" s="20">
        <f t="shared" si="2"/>
        <v>0.6138983441424477</v>
      </c>
      <c r="J52" s="22">
        <f t="shared" si="4"/>
        <v>0.60004942800177274</v>
      </c>
    </row>
    <row r="53" spans="1:10" x14ac:dyDescent="0.3">
      <c r="A53" s="37">
        <v>45680</v>
      </c>
      <c r="B53" s="21">
        <v>2567.4765000000002</v>
      </c>
      <c r="C53" s="21">
        <v>5829.0329000000002</v>
      </c>
      <c r="D53" s="21">
        <v>3792.893</v>
      </c>
      <c r="E53" s="21">
        <v>6278.6936999999998</v>
      </c>
      <c r="F53" s="19">
        <f t="shared" si="0"/>
        <v>45680</v>
      </c>
      <c r="G53" s="20">
        <f t="shared" si="1"/>
        <v>2.2703354441608323</v>
      </c>
      <c r="H53" s="20">
        <f t="shared" si="3"/>
        <v>2.2312770225655187</v>
      </c>
      <c r="I53" s="20">
        <f t="shared" si="2"/>
        <v>0.6040895098927983</v>
      </c>
      <c r="J53" s="22">
        <f t="shared" si="4"/>
        <v>0.60010145712117191</v>
      </c>
    </row>
    <row r="54" spans="1:10" x14ac:dyDescent="0.3">
      <c r="A54" s="37">
        <v>45681</v>
      </c>
      <c r="B54" s="21">
        <v>2579.096</v>
      </c>
      <c r="C54" s="21">
        <v>5938.1301000000003</v>
      </c>
      <c r="D54" s="21">
        <v>3828.8051</v>
      </c>
      <c r="E54" s="21">
        <v>6315.0801000000001</v>
      </c>
      <c r="F54" s="19">
        <f t="shared" si="0"/>
        <v>45681</v>
      </c>
      <c r="G54" s="20">
        <f t="shared" si="1"/>
        <v>2.302407549001666</v>
      </c>
      <c r="H54" s="20">
        <f t="shared" si="3"/>
        <v>2.2324245083298626</v>
      </c>
      <c r="I54" s="20">
        <f t="shared" si="2"/>
        <v>0.60629557176954885</v>
      </c>
      <c r="J54" s="22">
        <f t="shared" si="4"/>
        <v>0.60009812883613445</v>
      </c>
    </row>
    <row r="55" spans="1:10" x14ac:dyDescent="0.3">
      <c r="A55" s="37">
        <v>45684</v>
      </c>
      <c r="B55" s="21">
        <v>2583.6516000000001</v>
      </c>
      <c r="C55" s="21">
        <v>5846.0685999999996</v>
      </c>
      <c r="D55" s="21">
        <v>3790.3569000000002</v>
      </c>
      <c r="E55" s="21">
        <v>6364.5207</v>
      </c>
      <c r="F55" s="19">
        <f t="shared" si="0"/>
        <v>45684</v>
      </c>
      <c r="G55" s="20">
        <f t="shared" si="1"/>
        <v>2.2627155302208699</v>
      </c>
      <c r="H55" s="20">
        <f t="shared" si="3"/>
        <v>2.2313440835862233</v>
      </c>
      <c r="I55" s="20">
        <f t="shared" si="2"/>
        <v>0.5955447517045549</v>
      </c>
      <c r="J55" s="22">
        <f t="shared" si="4"/>
        <v>0.59963090069871172</v>
      </c>
    </row>
    <row r="56" spans="1:10" x14ac:dyDescent="0.3">
      <c r="A56" s="37">
        <v>45693</v>
      </c>
      <c r="B56" s="21">
        <v>2561.9418999999998</v>
      </c>
      <c r="C56" s="21">
        <v>5881.4366</v>
      </c>
      <c r="D56" s="21">
        <v>3791.0547000000001</v>
      </c>
      <c r="E56" s="21">
        <v>6268.0950000000003</v>
      </c>
      <c r="F56" s="19">
        <f t="shared" si="0"/>
        <v>45693</v>
      </c>
      <c r="G56" s="20">
        <f t="shared" si="1"/>
        <v>2.295694761852328</v>
      </c>
      <c r="H56" s="20">
        <f t="shared" si="3"/>
        <v>2.2331002025560567</v>
      </c>
      <c r="I56" s="20">
        <f t="shared" si="2"/>
        <v>0.60481768384174139</v>
      </c>
      <c r="J56" s="22">
        <f t="shared" si="4"/>
        <v>0.59977697394710949</v>
      </c>
    </row>
    <row r="57" spans="1:10" x14ac:dyDescent="0.3">
      <c r="A57" s="37">
        <v>45694</v>
      </c>
      <c r="B57" s="21">
        <v>2580.4256999999998</v>
      </c>
      <c r="C57" s="21">
        <v>6041.8337000000001</v>
      </c>
      <c r="D57" s="21">
        <v>3871.2844</v>
      </c>
      <c r="E57" s="21">
        <v>6296.0128000000004</v>
      </c>
      <c r="F57" s="19">
        <f t="shared" si="0"/>
        <v>45694</v>
      </c>
      <c r="G57" s="20">
        <f t="shared" si="1"/>
        <v>2.3414096751555378</v>
      </c>
      <c r="H57" s="20">
        <f t="shared" si="3"/>
        <v>2.2392167522980184</v>
      </c>
      <c r="I57" s="20">
        <f t="shared" si="2"/>
        <v>0.61487873722238939</v>
      </c>
      <c r="J57" s="22">
        <f t="shared" si="4"/>
        <v>0.60065311972637336</v>
      </c>
    </row>
    <row r="58" spans="1:10" x14ac:dyDescent="0.3">
      <c r="A58" s="37">
        <v>45695</v>
      </c>
      <c r="B58" s="21">
        <v>2608.0888</v>
      </c>
      <c r="C58" s="21">
        <v>6134.0545000000002</v>
      </c>
      <c r="D58" s="21">
        <v>3934.1477</v>
      </c>
      <c r="E58" s="21">
        <v>6349.1746999999996</v>
      </c>
      <c r="F58" s="19">
        <f t="shared" si="0"/>
        <v>45695</v>
      </c>
      <c r="G58" s="20">
        <f t="shared" si="1"/>
        <v>2.3519346810584056</v>
      </c>
      <c r="H58" s="20">
        <f t="shared" si="3"/>
        <v>2.2457726916964456</v>
      </c>
      <c r="I58" s="20">
        <f t="shared" si="2"/>
        <v>0.61963135145737924</v>
      </c>
      <c r="J58" s="22">
        <f t="shared" si="4"/>
        <v>0.6019443321931095</v>
      </c>
    </row>
    <row r="59" spans="1:10" x14ac:dyDescent="0.3">
      <c r="A59" s="37">
        <v>45698</v>
      </c>
      <c r="B59" s="21">
        <v>2621.0403999999999</v>
      </c>
      <c r="C59" s="21">
        <v>6210.5470999999998</v>
      </c>
      <c r="D59" s="21">
        <v>3936.94</v>
      </c>
      <c r="E59" s="21">
        <v>6360.1572999999999</v>
      </c>
      <c r="F59" s="19">
        <f t="shared" si="0"/>
        <v>45698</v>
      </c>
      <c r="G59" s="20">
        <f t="shared" si="1"/>
        <v>2.3694968990176575</v>
      </c>
      <c r="H59" s="20">
        <f t="shared" si="3"/>
        <v>2.2555323673068894</v>
      </c>
      <c r="I59" s="20">
        <f t="shared" si="2"/>
        <v>0.61900041371618275</v>
      </c>
      <c r="J59" s="22">
        <f t="shared" si="4"/>
        <v>0.60328837299294924</v>
      </c>
    </row>
    <row r="60" spans="1:10" x14ac:dyDescent="0.3">
      <c r="A60" s="37">
        <v>45699</v>
      </c>
      <c r="B60" s="21">
        <v>2614.3218000000002</v>
      </c>
      <c r="C60" s="21">
        <v>6190.1738999999998</v>
      </c>
      <c r="D60" s="21">
        <v>3902.6599000000001</v>
      </c>
      <c r="E60" s="21">
        <v>6376.1040999999996</v>
      </c>
      <c r="F60" s="19">
        <f t="shared" si="0"/>
        <v>45699</v>
      </c>
      <c r="G60" s="20">
        <f t="shared" si="1"/>
        <v>2.3677933986550546</v>
      </c>
      <c r="H60" s="20">
        <f t="shared" si="3"/>
        <v>2.2652376498034181</v>
      </c>
      <c r="I60" s="20">
        <f t="shared" si="2"/>
        <v>0.61207593834611329</v>
      </c>
      <c r="J60" s="22">
        <f t="shared" si="4"/>
        <v>0.60447794412418188</v>
      </c>
    </row>
    <row r="61" spans="1:10" x14ac:dyDescent="0.3">
      <c r="A61" s="37">
        <v>45700</v>
      </c>
      <c r="B61" s="21">
        <v>2640.0457999999999</v>
      </c>
      <c r="C61" s="21">
        <v>6284.6107000000002</v>
      </c>
      <c r="D61" s="21">
        <v>3953.7692000000002</v>
      </c>
      <c r="E61" s="21">
        <v>6409.9137000000001</v>
      </c>
      <c r="F61" s="19">
        <f t="shared" si="0"/>
        <v>45700</v>
      </c>
      <c r="G61" s="20">
        <f t="shared" si="1"/>
        <v>2.3804930581128558</v>
      </c>
      <c r="H61" s="20">
        <f t="shared" si="3"/>
        <v>2.2745453226753254</v>
      </c>
      <c r="I61" s="20">
        <f t="shared" si="2"/>
        <v>0.6168209721762713</v>
      </c>
      <c r="J61" s="22">
        <f t="shared" si="4"/>
        <v>0.60566556184735132</v>
      </c>
    </row>
    <row r="62" spans="1:10" x14ac:dyDescent="0.3">
      <c r="A62" s="37">
        <v>45701</v>
      </c>
      <c r="B62" s="21">
        <v>2641.1305000000002</v>
      </c>
      <c r="C62" s="21">
        <v>6212.4967999999999</v>
      </c>
      <c r="D62" s="21">
        <v>3932.1307999999999</v>
      </c>
      <c r="E62" s="21">
        <v>6402.8719000000001</v>
      </c>
      <c r="F62" s="19">
        <f t="shared" si="0"/>
        <v>45701</v>
      </c>
      <c r="G62" s="20">
        <f t="shared" si="1"/>
        <v>2.3522112216719315</v>
      </c>
      <c r="H62" s="20">
        <f t="shared" si="3"/>
        <v>2.2831684492179369</v>
      </c>
      <c r="I62" s="20">
        <f t="shared" si="2"/>
        <v>0.61411986080808523</v>
      </c>
      <c r="J62" s="22">
        <f t="shared" si="4"/>
        <v>0.60700191354307509</v>
      </c>
    </row>
    <row r="63" spans="1:10" x14ac:dyDescent="0.3">
      <c r="A63" s="37">
        <v>45702</v>
      </c>
      <c r="B63" s="21">
        <v>2660.8548999999998</v>
      </c>
      <c r="C63" s="21">
        <v>6248.8344999999999</v>
      </c>
      <c r="D63" s="21">
        <v>3965.3393999999998</v>
      </c>
      <c r="E63" s="21">
        <v>6431.5708999999997</v>
      </c>
      <c r="F63" s="19">
        <f t="shared" si="0"/>
        <v>45702</v>
      </c>
      <c r="G63" s="20">
        <f t="shared" si="1"/>
        <v>2.3484311376768421</v>
      </c>
      <c r="H63" s="20">
        <f t="shared" si="3"/>
        <v>2.2906343083591549</v>
      </c>
      <c r="I63" s="20">
        <f t="shared" si="2"/>
        <v>0.61654290400499201</v>
      </c>
      <c r="J63" s="22">
        <f t="shared" si="4"/>
        <v>0.60820101472221855</v>
      </c>
    </row>
    <row r="64" spans="1:10" x14ac:dyDescent="0.3">
      <c r="A64" s="37">
        <v>45705</v>
      </c>
      <c r="B64" s="21">
        <v>2664.4749999999999</v>
      </c>
      <c r="C64" s="21">
        <v>6281.5658000000003</v>
      </c>
      <c r="D64" s="21">
        <v>3967.5189999999998</v>
      </c>
      <c r="E64" s="21">
        <v>6421.8471</v>
      </c>
      <c r="F64" s="19">
        <f t="shared" si="0"/>
        <v>45705</v>
      </c>
      <c r="G64" s="20">
        <f t="shared" si="1"/>
        <v>2.3575247656667826</v>
      </c>
      <c r="H64" s="20">
        <f t="shared" si="3"/>
        <v>2.3002219722897661</v>
      </c>
      <c r="I64" s="20">
        <f t="shared" si="2"/>
        <v>0.61781586173236669</v>
      </c>
      <c r="J64" s="22">
        <f t="shared" si="4"/>
        <v>0.60942384587567999</v>
      </c>
    </row>
    <row r="65" spans="1:10" x14ac:dyDescent="0.3">
      <c r="A65" s="37">
        <v>45706</v>
      </c>
      <c r="B65" s="21">
        <v>2651.1116999999999</v>
      </c>
      <c r="C65" s="21">
        <v>6142.1379999999999</v>
      </c>
      <c r="D65" s="21">
        <v>3923.3690000000001</v>
      </c>
      <c r="E65" s="21">
        <v>6392.0191999999997</v>
      </c>
      <c r="F65" s="19">
        <f t="shared" si="0"/>
        <v>45706</v>
      </c>
      <c r="G65" s="20">
        <f t="shared" si="1"/>
        <v>2.316815998360235</v>
      </c>
      <c r="H65" s="20">
        <f t="shared" si="3"/>
        <v>2.3071969243813477</v>
      </c>
      <c r="I65" s="20">
        <f t="shared" si="2"/>
        <v>0.61379180463037408</v>
      </c>
      <c r="J65" s="22">
        <f t="shared" si="4"/>
        <v>0.61013530609316313</v>
      </c>
    </row>
    <row r="66" spans="1:10" x14ac:dyDescent="0.3">
      <c r="A66" s="37">
        <v>45707</v>
      </c>
      <c r="B66" s="21">
        <v>2663.6032</v>
      </c>
      <c r="C66" s="21">
        <v>6288.5290000000005</v>
      </c>
      <c r="D66" s="21">
        <v>3978.1797000000001</v>
      </c>
      <c r="E66" s="21">
        <v>6391.5634</v>
      </c>
      <c r="F66" s="19">
        <f t="shared" si="0"/>
        <v>45707</v>
      </c>
      <c r="G66" s="20">
        <f t="shared" si="1"/>
        <v>2.3609105890847406</v>
      </c>
      <c r="H66" s="20">
        <f t="shared" si="3"/>
        <v>2.3134400970770903</v>
      </c>
      <c r="I66" s="20">
        <f t="shared" si="2"/>
        <v>0.6224110520440117</v>
      </c>
      <c r="J66" s="22">
        <f t="shared" si="4"/>
        <v>0.61089060044037091</v>
      </c>
    </row>
    <row r="67" spans="1:10" x14ac:dyDescent="0.3">
      <c r="A67" s="37">
        <v>45708</v>
      </c>
      <c r="B67" s="21">
        <v>2648.1664999999998</v>
      </c>
      <c r="C67" s="21">
        <v>6334.4143000000004</v>
      </c>
      <c r="D67" s="21">
        <v>3971.9654999999998</v>
      </c>
      <c r="E67" s="21">
        <v>6362.8188</v>
      </c>
      <c r="F67" s="19">
        <f t="shared" si="0"/>
        <v>45708</v>
      </c>
      <c r="G67" s="20">
        <f t="shared" si="1"/>
        <v>2.3920000120838325</v>
      </c>
      <c r="H67" s="20">
        <f t="shared" si="3"/>
        <v>2.3216072425273979</v>
      </c>
      <c r="I67" s="20">
        <f t="shared" si="2"/>
        <v>0.62424620672837638</v>
      </c>
      <c r="J67" s="22">
        <f t="shared" si="4"/>
        <v>0.61202095028015957</v>
      </c>
    </row>
    <row r="68" spans="1:10" x14ac:dyDescent="0.3">
      <c r="A68" s="37">
        <v>45709</v>
      </c>
      <c r="B68" s="21">
        <v>2682.2384999999999</v>
      </c>
      <c r="C68" s="21">
        <v>6449.2278999999999</v>
      </c>
      <c r="D68" s="21">
        <v>4035.41</v>
      </c>
      <c r="E68" s="21">
        <v>6364.6715000000004</v>
      </c>
      <c r="F68" s="19">
        <f t="shared" si="0"/>
        <v>45709</v>
      </c>
      <c r="G68" s="20">
        <f t="shared" si="1"/>
        <v>2.4044200021735578</v>
      </c>
      <c r="H68" s="20">
        <f t="shared" si="3"/>
        <v>2.3294049779919863</v>
      </c>
      <c r="I68" s="20">
        <f t="shared" si="2"/>
        <v>0.63403272266290567</v>
      </c>
      <c r="J68" s="22">
        <f t="shared" si="4"/>
        <v>0.61378430670450845</v>
      </c>
    </row>
    <row r="69" spans="1:10" x14ac:dyDescent="0.3">
      <c r="A69" s="37">
        <v>45712</v>
      </c>
      <c r="B69" s="21">
        <v>2674.1169</v>
      </c>
      <c r="C69" s="21">
        <v>6464.0235000000002</v>
      </c>
      <c r="D69" s="21">
        <v>4021.4065000000001</v>
      </c>
      <c r="E69" s="21">
        <v>6366.5958000000001</v>
      </c>
      <c r="F69" s="19">
        <f t="shared" ref="F69:F132" si="5">A69</f>
        <v>45712</v>
      </c>
      <c r="G69" s="20">
        <f t="shared" ref="G69:G132" si="6">C69/B69</f>
        <v>2.417255393733909</v>
      </c>
      <c r="H69" s="20">
        <f t="shared" si="3"/>
        <v>2.337167966572423</v>
      </c>
      <c r="I69" s="20">
        <f t="shared" ref="I69:I132" si="7">D69/E69</f>
        <v>0.63164155952856316</v>
      </c>
      <c r="J69" s="22">
        <f t="shared" si="4"/>
        <v>0.61520039869822407</v>
      </c>
    </row>
    <row r="70" spans="1:10" x14ac:dyDescent="0.3">
      <c r="A70" s="37">
        <v>45713</v>
      </c>
      <c r="B70" s="21">
        <v>2643.2325000000001</v>
      </c>
      <c r="C70" s="21">
        <v>6435.4283999999998</v>
      </c>
      <c r="D70" s="21">
        <v>3984.3831</v>
      </c>
      <c r="E70" s="21">
        <v>6297.0847999999996</v>
      </c>
      <c r="F70" s="19">
        <f t="shared" si="5"/>
        <v>45713</v>
      </c>
      <c r="G70" s="20">
        <f t="shared" si="6"/>
        <v>2.4346811716335961</v>
      </c>
      <c r="H70" s="20">
        <f t="shared" si="3"/>
        <v>2.3453640963584763</v>
      </c>
      <c r="I70" s="20">
        <f t="shared" si="7"/>
        <v>0.63273454726225065</v>
      </c>
      <c r="J70" s="22">
        <f t="shared" si="4"/>
        <v>0.61633296556088069</v>
      </c>
    </row>
    <row r="71" spans="1:10" x14ac:dyDescent="0.3">
      <c r="A71" s="37">
        <v>45714</v>
      </c>
      <c r="B71" s="21">
        <v>2666.6563000000001</v>
      </c>
      <c r="C71" s="21">
        <v>6524.4057000000003</v>
      </c>
      <c r="D71" s="21">
        <v>4025.9395</v>
      </c>
      <c r="E71" s="21">
        <v>6357.0547999999999</v>
      </c>
      <c r="F71" s="19">
        <f t="shared" si="5"/>
        <v>45714</v>
      </c>
      <c r="G71" s="20">
        <f t="shared" si="6"/>
        <v>2.4466616488971602</v>
      </c>
      <c r="H71" s="20">
        <f t="shared" si="3"/>
        <v>2.3534171530737953</v>
      </c>
      <c r="I71" s="20">
        <f t="shared" si="7"/>
        <v>0.63330262624132172</v>
      </c>
      <c r="J71" s="22">
        <f t="shared" si="4"/>
        <v>0.61738462099563374</v>
      </c>
    </row>
    <row r="72" spans="1:10" x14ac:dyDescent="0.3">
      <c r="A72" s="37">
        <v>45715</v>
      </c>
      <c r="B72" s="21">
        <v>2679.0767999999998</v>
      </c>
      <c r="C72" s="21">
        <v>6499.5300999999999</v>
      </c>
      <c r="D72" s="21">
        <v>4022.0834</v>
      </c>
      <c r="E72" s="21">
        <v>6398.9748</v>
      </c>
      <c r="F72" s="19">
        <f t="shared" si="5"/>
        <v>45715</v>
      </c>
      <c r="G72" s="20">
        <f t="shared" si="6"/>
        <v>2.4260335127384183</v>
      </c>
      <c r="H72" s="20">
        <f t="shared" si="3"/>
        <v>2.3599613225478113</v>
      </c>
      <c r="I72" s="20">
        <f t="shared" si="7"/>
        <v>0.62855121729812091</v>
      </c>
      <c r="J72" s="22">
        <f t="shared" si="4"/>
        <v>0.61811726465341743</v>
      </c>
    </row>
    <row r="73" spans="1:10" x14ac:dyDescent="0.3">
      <c r="A73" s="37">
        <v>45716</v>
      </c>
      <c r="B73" s="21">
        <v>2638.9573999999998</v>
      </c>
      <c r="C73" s="21">
        <v>6270.4186</v>
      </c>
      <c r="D73" s="21">
        <v>3932.4000999999998</v>
      </c>
      <c r="E73" s="21">
        <v>6328.0478999999996</v>
      </c>
      <c r="F73" s="19">
        <f t="shared" si="5"/>
        <v>45716</v>
      </c>
      <c r="G73" s="20">
        <f t="shared" si="6"/>
        <v>2.3760969388895785</v>
      </c>
      <c r="H73" s="20">
        <f t="shared" si="3"/>
        <v>2.3652493972842485</v>
      </c>
      <c r="I73" s="20">
        <f t="shared" si="7"/>
        <v>0.62142388334323451</v>
      </c>
      <c r="J73" s="22">
        <f t="shared" si="4"/>
        <v>0.61898398332593918</v>
      </c>
    </row>
    <row r="74" spans="1:10" x14ac:dyDescent="0.3">
      <c r="A74" s="37">
        <v>45719</v>
      </c>
      <c r="B74" s="21">
        <v>2628.5236</v>
      </c>
      <c r="C74" s="21">
        <v>6273.6698999999999</v>
      </c>
      <c r="D74" s="21">
        <v>3949.7492000000002</v>
      </c>
      <c r="E74" s="21">
        <v>6338.7223999999997</v>
      </c>
      <c r="F74" s="19">
        <f t="shared" si="5"/>
        <v>45719</v>
      </c>
      <c r="G74" s="20">
        <f t="shared" si="6"/>
        <v>2.3867656733232296</v>
      </c>
      <c r="H74" s="20">
        <f t="shared" si="3"/>
        <v>2.3694673035003269</v>
      </c>
      <c r="I74" s="20">
        <f t="shared" si="7"/>
        <v>0.6231143992044833</v>
      </c>
      <c r="J74" s="22">
        <f t="shared" si="4"/>
        <v>0.61982492469768591</v>
      </c>
    </row>
    <row r="75" spans="1:10" x14ac:dyDescent="0.3">
      <c r="A75" s="37">
        <v>45720</v>
      </c>
      <c r="B75" s="21">
        <v>2621.2168000000001</v>
      </c>
      <c r="C75" s="21">
        <v>6357.6277</v>
      </c>
      <c r="D75" s="21">
        <v>3938.9214999999999</v>
      </c>
      <c r="E75" s="21">
        <v>6337.6370999999999</v>
      </c>
      <c r="F75" s="19">
        <f t="shared" si="5"/>
        <v>45720</v>
      </c>
      <c r="G75" s="20">
        <f t="shared" si="6"/>
        <v>2.4254490128401436</v>
      </c>
      <c r="H75" s="20">
        <f t="shared" si="3"/>
        <v>2.3776039776312907</v>
      </c>
      <c r="I75" s="20">
        <f t="shared" si="7"/>
        <v>0.62151262968338783</v>
      </c>
      <c r="J75" s="22">
        <f t="shared" si="4"/>
        <v>0.6211233185966275</v>
      </c>
    </row>
    <row r="76" spans="1:10" x14ac:dyDescent="0.3">
      <c r="A76" s="37">
        <v>45721</v>
      </c>
      <c r="B76" s="21">
        <v>2641.4461999999999</v>
      </c>
      <c r="C76" s="21">
        <v>6398.2370000000001</v>
      </c>
      <c r="D76" s="21">
        <v>3936.0351000000001</v>
      </c>
      <c r="E76" s="21">
        <v>6379.2582000000002</v>
      </c>
      <c r="F76" s="19">
        <f t="shared" si="5"/>
        <v>45721</v>
      </c>
      <c r="G76" s="20">
        <f t="shared" si="6"/>
        <v>2.4222477065783132</v>
      </c>
      <c r="H76" s="20">
        <f t="shared" si="3"/>
        <v>2.3839316248675897</v>
      </c>
      <c r="I76" s="20">
        <f t="shared" si="7"/>
        <v>0.61700514019012431</v>
      </c>
      <c r="J76" s="22">
        <f t="shared" si="4"/>
        <v>0.62173269141404675</v>
      </c>
    </row>
    <row r="77" spans="1:10" x14ac:dyDescent="0.3">
      <c r="A77" s="37">
        <v>45722</v>
      </c>
      <c r="B77" s="21">
        <v>2683.9490999999998</v>
      </c>
      <c r="C77" s="21">
        <v>6534.9710999999998</v>
      </c>
      <c r="D77" s="21">
        <v>4008.5315000000001</v>
      </c>
      <c r="E77" s="21">
        <v>6410.2664000000004</v>
      </c>
      <c r="F77" s="19">
        <f t="shared" si="5"/>
        <v>45722</v>
      </c>
      <c r="G77" s="20">
        <f t="shared" si="6"/>
        <v>2.4348342150005751</v>
      </c>
      <c r="H77" s="20">
        <f t="shared" si="3"/>
        <v>2.388602851859841</v>
      </c>
      <c r="I77" s="20">
        <f t="shared" si="7"/>
        <v>0.62532993948582227</v>
      </c>
      <c r="J77" s="22">
        <f t="shared" si="4"/>
        <v>0.62225525152721839</v>
      </c>
    </row>
    <row r="78" spans="1:10" x14ac:dyDescent="0.3">
      <c r="A78" s="37">
        <v>45723</v>
      </c>
      <c r="B78" s="21">
        <v>2682.0160999999998</v>
      </c>
      <c r="C78" s="21">
        <v>6507.7645000000002</v>
      </c>
      <c r="D78" s="21">
        <v>4000.4670999999998</v>
      </c>
      <c r="E78" s="21">
        <v>6410.8455000000004</v>
      </c>
      <c r="F78" s="19">
        <f t="shared" si="5"/>
        <v>45723</v>
      </c>
      <c r="G78" s="20">
        <f t="shared" si="6"/>
        <v>2.4264449792079925</v>
      </c>
      <c r="H78" s="20">
        <f t="shared" si="3"/>
        <v>2.392328366767321</v>
      </c>
      <c r="I78" s="20">
        <f t="shared" si="7"/>
        <v>0.6240155218215756</v>
      </c>
      <c r="J78" s="22">
        <f t="shared" si="4"/>
        <v>0.62247446004542828</v>
      </c>
    </row>
    <row r="79" spans="1:10" x14ac:dyDescent="0.3">
      <c r="A79" s="37">
        <v>45726</v>
      </c>
      <c r="B79" s="21">
        <v>2668.8062</v>
      </c>
      <c r="C79" s="21">
        <v>6520.9724999999999</v>
      </c>
      <c r="D79" s="21">
        <v>3999.4227000000001</v>
      </c>
      <c r="E79" s="21">
        <v>6383.2340999999997</v>
      </c>
      <c r="F79" s="19">
        <f t="shared" si="5"/>
        <v>45726</v>
      </c>
      <c r="G79" s="20">
        <f t="shared" si="6"/>
        <v>2.443404283158515</v>
      </c>
      <c r="H79" s="20">
        <f t="shared" si="3"/>
        <v>2.3960237359743637</v>
      </c>
      <c r="I79" s="20">
        <f t="shared" si="7"/>
        <v>0.62655115531482708</v>
      </c>
      <c r="J79" s="22">
        <f t="shared" si="4"/>
        <v>0.62285199712536055</v>
      </c>
    </row>
    <row r="80" spans="1:10" x14ac:dyDescent="0.3">
      <c r="A80" s="37">
        <v>45727</v>
      </c>
      <c r="B80" s="21">
        <v>2682.223</v>
      </c>
      <c r="C80" s="21">
        <v>6551.7340999999997</v>
      </c>
      <c r="D80" s="21">
        <v>4014.4722000000002</v>
      </c>
      <c r="E80" s="21">
        <v>6414.7954</v>
      </c>
      <c r="F80" s="19">
        <f t="shared" si="5"/>
        <v>45727</v>
      </c>
      <c r="G80" s="20">
        <f t="shared" si="6"/>
        <v>2.4426507788502296</v>
      </c>
      <c r="H80" s="20">
        <f t="shared" si="3"/>
        <v>2.399766604984122</v>
      </c>
      <c r="I80" s="20">
        <f t="shared" si="7"/>
        <v>0.62581453494214334</v>
      </c>
      <c r="J80" s="22">
        <f t="shared" si="4"/>
        <v>0.62353892695516211</v>
      </c>
    </row>
    <row r="81" spans="1:10" x14ac:dyDescent="0.3">
      <c r="A81" s="37">
        <v>45728</v>
      </c>
      <c r="B81" s="21">
        <v>2669.0146</v>
      </c>
      <c r="C81" s="21">
        <v>6566.9678999999996</v>
      </c>
      <c r="D81" s="21">
        <v>4002.1806000000001</v>
      </c>
      <c r="E81" s="21">
        <v>6397.3958000000002</v>
      </c>
      <c r="F81" s="19">
        <f t="shared" si="5"/>
        <v>45728</v>
      </c>
      <c r="G81" s="20">
        <f t="shared" si="6"/>
        <v>2.460446600779179</v>
      </c>
      <c r="H81" s="20">
        <f t="shared" si="3"/>
        <v>2.4037642821174381</v>
      </c>
      <c r="I81" s="20">
        <f t="shared" si="7"/>
        <v>0.62559527737833576</v>
      </c>
      <c r="J81" s="22">
        <f t="shared" si="4"/>
        <v>0.62397764221526519</v>
      </c>
    </row>
    <row r="82" spans="1:10" x14ac:dyDescent="0.3">
      <c r="A82" s="37">
        <v>45729</v>
      </c>
      <c r="B82" s="21">
        <v>2664.6172999999999</v>
      </c>
      <c r="C82" s="21">
        <v>6466.8509000000004</v>
      </c>
      <c r="D82" s="21">
        <v>3980.9294</v>
      </c>
      <c r="E82" s="21">
        <v>6413.06</v>
      </c>
      <c r="F82" s="19">
        <f t="shared" si="5"/>
        <v>45729</v>
      </c>
      <c r="G82" s="20">
        <f t="shared" si="6"/>
        <v>2.4269342167822749</v>
      </c>
      <c r="H82" s="20">
        <f t="shared" si="3"/>
        <v>2.4075004318729554</v>
      </c>
      <c r="I82" s="20">
        <f t="shared" si="7"/>
        <v>0.62075349365201626</v>
      </c>
      <c r="J82" s="22">
        <f t="shared" si="4"/>
        <v>0.62430932385746174</v>
      </c>
    </row>
    <row r="83" spans="1:10" x14ac:dyDescent="0.3">
      <c r="A83" s="37">
        <v>45730</v>
      </c>
      <c r="B83" s="21">
        <v>2740.5066000000002</v>
      </c>
      <c r="C83" s="21">
        <v>6571.1706999999997</v>
      </c>
      <c r="D83" s="21">
        <v>4084.0281</v>
      </c>
      <c r="E83" s="21">
        <v>6522.5124999999998</v>
      </c>
      <c r="F83" s="19">
        <f t="shared" si="5"/>
        <v>45730</v>
      </c>
      <c r="G83" s="20">
        <f t="shared" si="6"/>
        <v>2.3977941523658433</v>
      </c>
      <c r="H83" s="20">
        <f t="shared" si="3"/>
        <v>2.4099685826074047</v>
      </c>
      <c r="I83" s="20">
        <f t="shared" si="7"/>
        <v>0.62614339182945222</v>
      </c>
      <c r="J83" s="22">
        <f t="shared" si="4"/>
        <v>0.62478934824868471</v>
      </c>
    </row>
    <row r="84" spans="1:10" x14ac:dyDescent="0.3">
      <c r="A84" s="37">
        <v>45733</v>
      </c>
      <c r="B84" s="21">
        <v>2737.9227000000001</v>
      </c>
      <c r="C84" s="21">
        <v>6589.5654999999997</v>
      </c>
      <c r="D84" s="21">
        <v>4070.9386</v>
      </c>
      <c r="E84" s="21">
        <v>6528.6214</v>
      </c>
      <c r="F84" s="19">
        <f t="shared" si="5"/>
        <v>45733</v>
      </c>
      <c r="G84" s="20">
        <f t="shared" si="6"/>
        <v>2.4067755820863752</v>
      </c>
      <c r="H84" s="20">
        <f t="shared" si="3"/>
        <v>2.4124311234283846</v>
      </c>
      <c r="I84" s="20">
        <f t="shared" si="7"/>
        <v>0.62355256195435071</v>
      </c>
      <c r="J84" s="22">
        <f t="shared" si="4"/>
        <v>0.62507618325978387</v>
      </c>
    </row>
    <row r="85" spans="1:10" x14ac:dyDescent="0.3">
      <c r="A85" s="37">
        <v>45734</v>
      </c>
      <c r="B85" s="21">
        <v>2739.7453</v>
      </c>
      <c r="C85" s="21">
        <v>6611.9263000000001</v>
      </c>
      <c r="D85" s="21">
        <v>4084.4956999999999</v>
      </c>
      <c r="E85" s="21">
        <v>6540.8850000000002</v>
      </c>
      <c r="F85" s="19">
        <f t="shared" si="5"/>
        <v>45734</v>
      </c>
      <c r="G85" s="20">
        <f t="shared" si="6"/>
        <v>2.4133361228870434</v>
      </c>
      <c r="H85" s="20">
        <f t="shared" si="3"/>
        <v>2.4172571296547254</v>
      </c>
      <c r="I85" s="20">
        <f t="shared" si="7"/>
        <v>0.62445612482102952</v>
      </c>
      <c r="J85" s="22">
        <f t="shared" si="4"/>
        <v>0.62560939926931669</v>
      </c>
    </row>
    <row r="86" spans="1:10" x14ac:dyDescent="0.3">
      <c r="A86" s="37">
        <v>45735</v>
      </c>
      <c r="B86" s="21">
        <v>2746.9627</v>
      </c>
      <c r="C86" s="21">
        <v>6564.6767</v>
      </c>
      <c r="D86" s="21">
        <v>4079.9778999999999</v>
      </c>
      <c r="E86" s="21">
        <v>6562.0856999999996</v>
      </c>
      <c r="F86" s="19">
        <f t="shared" si="5"/>
        <v>45735</v>
      </c>
      <c r="G86" s="20">
        <f t="shared" si="6"/>
        <v>2.3897946266252541</v>
      </c>
      <c r="H86" s="20">
        <f t="shared" si="3"/>
        <v>2.4187013315317509</v>
      </c>
      <c r="I86" s="20">
        <f t="shared" si="7"/>
        <v>0.62175017007168931</v>
      </c>
      <c r="J86" s="22">
        <f t="shared" si="4"/>
        <v>0.62557635517070054</v>
      </c>
    </row>
    <row r="87" spans="1:10" x14ac:dyDescent="0.3">
      <c r="A87" s="37">
        <v>45736</v>
      </c>
      <c r="B87" s="21">
        <v>2718.1862000000001</v>
      </c>
      <c r="C87" s="21">
        <v>6535.0623999999998</v>
      </c>
      <c r="D87" s="21">
        <v>4047.5228999999999</v>
      </c>
      <c r="E87" s="21">
        <v>6514.5914000000002</v>
      </c>
      <c r="F87" s="19">
        <f t="shared" si="5"/>
        <v>45736</v>
      </c>
      <c r="G87" s="20">
        <f t="shared" si="6"/>
        <v>2.4041996828620493</v>
      </c>
      <c r="H87" s="20">
        <f t="shared" ref="H87:H150" si="8">AVERAGE(G68:G87)</f>
        <v>2.4193113150706615</v>
      </c>
      <c r="I87" s="20">
        <f t="shared" si="7"/>
        <v>0.62130111490952444</v>
      </c>
      <c r="J87" s="22">
        <f t="shared" ref="J87:J150" si="9">AVERAGE(I68:I87)</f>
        <v>0.62542910057975798</v>
      </c>
    </row>
    <row r="88" spans="1:10" x14ac:dyDescent="0.3">
      <c r="A88" s="37">
        <v>45737</v>
      </c>
      <c r="B88" s="21">
        <v>2675.3578000000002</v>
      </c>
      <c r="C88" s="21">
        <v>6405.6109999999999</v>
      </c>
      <c r="D88" s="21">
        <v>3970.9142999999999</v>
      </c>
      <c r="E88" s="21">
        <v>6467.4256999999998</v>
      </c>
      <c r="F88" s="19">
        <f t="shared" si="5"/>
        <v>45737</v>
      </c>
      <c r="G88" s="20">
        <f t="shared" si="6"/>
        <v>2.3943006800809967</v>
      </c>
      <c r="H88" s="20">
        <f t="shared" si="8"/>
        <v>2.4188053489660337</v>
      </c>
      <c r="I88" s="20">
        <f t="shared" si="7"/>
        <v>0.6139868448739968</v>
      </c>
      <c r="J88" s="22">
        <f t="shared" si="9"/>
        <v>0.62442680669031236</v>
      </c>
    </row>
    <row r="89" spans="1:10" x14ac:dyDescent="0.3">
      <c r="A89" s="37">
        <v>45740</v>
      </c>
      <c r="B89" s="21">
        <v>2693.3312999999998</v>
      </c>
      <c r="C89" s="21">
        <v>6360.3411999999998</v>
      </c>
      <c r="D89" s="21">
        <v>3987.9288000000001</v>
      </c>
      <c r="E89" s="21">
        <v>6504.2141000000001</v>
      </c>
      <c r="F89" s="19">
        <f t="shared" si="5"/>
        <v>45740</v>
      </c>
      <c r="G89" s="20">
        <f t="shared" si="6"/>
        <v>2.3615146046087983</v>
      </c>
      <c r="H89" s="20">
        <f t="shared" si="8"/>
        <v>2.416018309509778</v>
      </c>
      <c r="I89" s="20">
        <f t="shared" si="7"/>
        <v>0.61313000136327001</v>
      </c>
      <c r="J89" s="22">
        <f t="shared" si="9"/>
        <v>0.62350122878204783</v>
      </c>
    </row>
    <row r="90" spans="1:10" x14ac:dyDescent="0.3">
      <c r="A90" s="37">
        <v>45741</v>
      </c>
      <c r="B90" s="21">
        <v>2691.8975999999998</v>
      </c>
      <c r="C90" s="21">
        <v>6310.7641000000003</v>
      </c>
      <c r="D90" s="21">
        <v>3980.9544000000001</v>
      </c>
      <c r="E90" s="21">
        <v>6528.2192999999997</v>
      </c>
      <c r="F90" s="19">
        <f t="shared" si="5"/>
        <v>45741</v>
      </c>
      <c r="G90" s="20">
        <f t="shared" si="6"/>
        <v>2.3443551864677175</v>
      </c>
      <c r="H90" s="20">
        <f t="shared" si="8"/>
        <v>2.4115020102514846</v>
      </c>
      <c r="I90" s="20">
        <f t="shared" si="7"/>
        <v>0.60980708782255522</v>
      </c>
      <c r="J90" s="22">
        <f t="shared" si="9"/>
        <v>0.622354855810063</v>
      </c>
    </row>
    <row r="91" spans="1:10" x14ac:dyDescent="0.3">
      <c r="A91" s="37">
        <v>45742</v>
      </c>
      <c r="B91" s="21">
        <v>2677.3121000000001</v>
      </c>
      <c r="C91" s="21">
        <v>6334.9076999999997</v>
      </c>
      <c r="D91" s="21">
        <v>3975.3748999999998</v>
      </c>
      <c r="E91" s="21">
        <v>6485.8741</v>
      </c>
      <c r="F91" s="19">
        <f t="shared" si="5"/>
        <v>45742</v>
      </c>
      <c r="G91" s="20">
        <f t="shared" si="6"/>
        <v>2.3661446493294522</v>
      </c>
      <c r="H91" s="20">
        <f t="shared" si="8"/>
        <v>2.4074761602730987</v>
      </c>
      <c r="I91" s="20">
        <f t="shared" si="7"/>
        <v>0.61292816337585088</v>
      </c>
      <c r="J91" s="22">
        <f t="shared" si="9"/>
        <v>0.62133613266678955</v>
      </c>
    </row>
    <row r="92" spans="1:10" x14ac:dyDescent="0.3">
      <c r="A92" s="37">
        <v>45743</v>
      </c>
      <c r="B92" s="21">
        <v>2690.8427999999999</v>
      </c>
      <c r="C92" s="21">
        <v>6328.7664999999997</v>
      </c>
      <c r="D92" s="21">
        <v>3987.1756</v>
      </c>
      <c r="E92" s="21">
        <v>6496.3544000000002</v>
      </c>
      <c r="F92" s="19">
        <f t="shared" si="5"/>
        <v>45743</v>
      </c>
      <c r="G92" s="20">
        <f t="shared" si="6"/>
        <v>2.3519644105556816</v>
      </c>
      <c r="H92" s="20">
        <f t="shared" si="8"/>
        <v>2.4037727051639619</v>
      </c>
      <c r="I92" s="20">
        <f t="shared" si="7"/>
        <v>0.61375586282669548</v>
      </c>
      <c r="J92" s="22">
        <f t="shared" si="9"/>
        <v>0.62059636494321824</v>
      </c>
    </row>
    <row r="93" spans="1:10" x14ac:dyDescent="0.3">
      <c r="A93" s="37">
        <v>45744</v>
      </c>
      <c r="B93" s="21">
        <v>2679.7399</v>
      </c>
      <c r="C93" s="21">
        <v>6268.3213999999998</v>
      </c>
      <c r="D93" s="21">
        <v>3958.5565999999999</v>
      </c>
      <c r="E93" s="21">
        <v>6470.98</v>
      </c>
      <c r="F93" s="19">
        <f t="shared" si="5"/>
        <v>45744</v>
      </c>
      <c r="G93" s="20">
        <f t="shared" si="6"/>
        <v>2.3391529155497515</v>
      </c>
      <c r="H93" s="20">
        <f t="shared" si="8"/>
        <v>2.4019255039969702</v>
      </c>
      <c r="I93" s="20">
        <f t="shared" si="7"/>
        <v>0.61173989102114368</v>
      </c>
      <c r="J93" s="22">
        <f t="shared" si="9"/>
        <v>0.62011216532711377</v>
      </c>
    </row>
    <row r="94" spans="1:10" x14ac:dyDescent="0.3">
      <c r="A94" s="37">
        <v>45747</v>
      </c>
      <c r="B94" s="21">
        <v>2665.6338999999998</v>
      </c>
      <c r="C94" s="21">
        <v>6226.6487999999999</v>
      </c>
      <c r="D94" s="21">
        <v>3913.0549000000001</v>
      </c>
      <c r="E94" s="21">
        <v>6445.0940000000001</v>
      </c>
      <c r="F94" s="19">
        <f t="shared" si="5"/>
        <v>45747</v>
      </c>
      <c r="G94" s="20">
        <f t="shared" si="6"/>
        <v>2.3358979640827648</v>
      </c>
      <c r="H94" s="20">
        <f t="shared" si="8"/>
        <v>2.3993821185349473</v>
      </c>
      <c r="I94" s="20">
        <f t="shared" si="7"/>
        <v>0.60713697891760776</v>
      </c>
      <c r="J94" s="22">
        <f t="shared" si="9"/>
        <v>0.61931329431276994</v>
      </c>
    </row>
    <row r="95" spans="1:10" x14ac:dyDescent="0.3">
      <c r="A95" s="37">
        <v>45748</v>
      </c>
      <c r="B95" s="21">
        <v>2662.7112999999999</v>
      </c>
      <c r="C95" s="21">
        <v>6259.4838</v>
      </c>
      <c r="D95" s="21">
        <v>3919.6138999999998</v>
      </c>
      <c r="E95" s="21">
        <v>6445.2547999999997</v>
      </c>
      <c r="F95" s="19">
        <f t="shared" si="5"/>
        <v>45748</v>
      </c>
      <c r="G95" s="20">
        <f t="shared" si="6"/>
        <v>2.3507932685004191</v>
      </c>
      <c r="H95" s="20">
        <f t="shared" si="8"/>
        <v>2.3956493313179612</v>
      </c>
      <c r="I95" s="20">
        <f t="shared" si="7"/>
        <v>0.60813947960598858</v>
      </c>
      <c r="J95" s="22">
        <f t="shared" si="9"/>
        <v>0.61864463680889992</v>
      </c>
    </row>
    <row r="96" spans="1:10" x14ac:dyDescent="0.3">
      <c r="A96" s="37">
        <v>45749</v>
      </c>
      <c r="B96" s="21">
        <v>2658.6208999999999</v>
      </c>
      <c r="C96" s="21">
        <v>6277.2533000000003</v>
      </c>
      <c r="D96" s="21">
        <v>3906.9847</v>
      </c>
      <c r="E96" s="21">
        <v>6463.6336000000001</v>
      </c>
      <c r="F96" s="19">
        <f t="shared" si="5"/>
        <v>45749</v>
      </c>
      <c r="G96" s="20">
        <f t="shared" si="6"/>
        <v>2.3610937911456276</v>
      </c>
      <c r="H96" s="20">
        <f t="shared" si="8"/>
        <v>2.3925916355463266</v>
      </c>
      <c r="I96" s="20">
        <f t="shared" si="7"/>
        <v>0.60445640049893912</v>
      </c>
      <c r="J96" s="22">
        <f t="shared" si="9"/>
        <v>0.61801719982434067</v>
      </c>
    </row>
    <row r="97" spans="1:10" x14ac:dyDescent="0.3">
      <c r="A97" s="37">
        <v>45750</v>
      </c>
      <c r="B97" s="21">
        <v>2662.2521999999999</v>
      </c>
      <c r="C97" s="21">
        <v>6203.2569999999996</v>
      </c>
      <c r="D97" s="21">
        <v>3866.5691999999999</v>
      </c>
      <c r="E97" s="21">
        <v>6450.7398000000003</v>
      </c>
      <c r="F97" s="19">
        <f t="shared" si="5"/>
        <v>45750</v>
      </c>
      <c r="G97" s="20">
        <f t="shared" si="6"/>
        <v>2.3300786454416302</v>
      </c>
      <c r="H97" s="20">
        <f t="shared" si="8"/>
        <v>2.387353857068379</v>
      </c>
      <c r="I97" s="20">
        <f t="shared" si="7"/>
        <v>0.59939934331252975</v>
      </c>
      <c r="J97" s="22">
        <f t="shared" si="9"/>
        <v>0.6167206700156761</v>
      </c>
    </row>
    <row r="98" spans="1:10" x14ac:dyDescent="0.3">
      <c r="A98" s="37">
        <v>45754</v>
      </c>
      <c r="B98" s="21">
        <v>2516.9652999999998</v>
      </c>
      <c r="C98" s="21">
        <v>5496.4426999999996</v>
      </c>
      <c r="D98" s="21">
        <v>3536.4245999999998</v>
      </c>
      <c r="E98" s="21">
        <v>6030.6687000000002</v>
      </c>
      <c r="F98" s="19">
        <f t="shared" si="5"/>
        <v>45754</v>
      </c>
      <c r="G98" s="20">
        <f t="shared" si="6"/>
        <v>2.1837578372653765</v>
      </c>
      <c r="H98" s="20">
        <f t="shared" si="8"/>
        <v>2.3752194999712493</v>
      </c>
      <c r="I98" s="20">
        <f t="shared" si="7"/>
        <v>0.58640671141493805</v>
      </c>
      <c r="J98" s="22">
        <f t="shared" si="9"/>
        <v>0.61484022949534423</v>
      </c>
    </row>
    <row r="99" spans="1:10" x14ac:dyDescent="0.3">
      <c r="A99" s="37">
        <v>45755</v>
      </c>
      <c r="B99" s="21">
        <v>2574.3528999999999</v>
      </c>
      <c r="C99" s="21">
        <v>5530.0189</v>
      </c>
      <c r="D99" s="21">
        <v>3569.5443</v>
      </c>
      <c r="E99" s="21">
        <v>6167.9027999999998</v>
      </c>
      <c r="F99" s="19">
        <f t="shared" si="5"/>
        <v>45755</v>
      </c>
      <c r="G99" s="20">
        <f t="shared" si="6"/>
        <v>2.1481199799763275</v>
      </c>
      <c r="H99" s="20">
        <f t="shared" si="8"/>
        <v>2.3604552848121392</v>
      </c>
      <c r="I99" s="20">
        <f t="shared" si="7"/>
        <v>0.5787290130447581</v>
      </c>
      <c r="J99" s="22">
        <f t="shared" si="9"/>
        <v>0.61244912238184068</v>
      </c>
    </row>
    <row r="100" spans="1:10" x14ac:dyDescent="0.3">
      <c r="A100" s="37">
        <v>45756</v>
      </c>
      <c r="B100" s="21">
        <v>2597.1016</v>
      </c>
      <c r="C100" s="21">
        <v>5652.3302999999996</v>
      </c>
      <c r="D100" s="21">
        <v>3614.547</v>
      </c>
      <c r="E100" s="21">
        <v>6185.0056000000004</v>
      </c>
      <c r="F100" s="19">
        <f t="shared" si="5"/>
        <v>45756</v>
      </c>
      <c r="G100" s="20">
        <f t="shared" si="6"/>
        <v>2.1763993753652149</v>
      </c>
      <c r="H100" s="20">
        <f t="shared" si="8"/>
        <v>2.3471427146378891</v>
      </c>
      <c r="I100" s="20">
        <f t="shared" si="7"/>
        <v>0.58440480635943159</v>
      </c>
      <c r="J100" s="22">
        <f t="shared" si="9"/>
        <v>0.61037863595270525</v>
      </c>
    </row>
    <row r="101" spans="1:10" x14ac:dyDescent="0.3">
      <c r="A101" s="37">
        <v>45757</v>
      </c>
      <c r="B101" s="21">
        <v>2612.6190000000001</v>
      </c>
      <c r="C101" s="21">
        <v>5784.5852999999997</v>
      </c>
      <c r="D101" s="21">
        <v>3681.2764999999999</v>
      </c>
      <c r="E101" s="21">
        <v>6246.6459000000004</v>
      </c>
      <c r="F101" s="19">
        <f t="shared" si="5"/>
        <v>45757</v>
      </c>
      <c r="G101" s="20">
        <f t="shared" si="6"/>
        <v>2.2140944776103977</v>
      </c>
      <c r="H101" s="20">
        <f t="shared" si="8"/>
        <v>2.3348251084794498</v>
      </c>
      <c r="I101" s="20">
        <f t="shared" si="7"/>
        <v>0.58932050238352707</v>
      </c>
      <c r="J101" s="22">
        <f t="shared" si="9"/>
        <v>0.60856489720296481</v>
      </c>
    </row>
    <row r="102" spans="1:10" x14ac:dyDescent="0.3">
      <c r="A102" s="37">
        <v>45758</v>
      </c>
      <c r="B102" s="21">
        <v>2619.5762</v>
      </c>
      <c r="C102" s="21">
        <v>5862.1876000000002</v>
      </c>
      <c r="D102" s="21">
        <v>3714.6948000000002</v>
      </c>
      <c r="E102" s="21">
        <v>6228.3230000000003</v>
      </c>
      <c r="F102" s="19">
        <f t="shared" si="5"/>
        <v>45758</v>
      </c>
      <c r="G102" s="20">
        <f t="shared" si="6"/>
        <v>2.2378381663415632</v>
      </c>
      <c r="H102" s="20">
        <f t="shared" si="8"/>
        <v>2.325370305957414</v>
      </c>
      <c r="I102" s="20">
        <f t="shared" si="7"/>
        <v>0.59641974252138175</v>
      </c>
      <c r="J102" s="22">
        <f t="shared" si="9"/>
        <v>0.6073482096464331</v>
      </c>
    </row>
    <row r="103" spans="1:10" x14ac:dyDescent="0.3">
      <c r="A103" s="37">
        <v>45761</v>
      </c>
      <c r="B103" s="21">
        <v>2628.2060000000001</v>
      </c>
      <c r="C103" s="21">
        <v>5938.5262000000002</v>
      </c>
      <c r="D103" s="21">
        <v>3727.0273000000002</v>
      </c>
      <c r="E103" s="21">
        <v>6261.3494000000001</v>
      </c>
      <c r="F103" s="19">
        <f t="shared" si="5"/>
        <v>45761</v>
      </c>
      <c r="G103" s="20">
        <f t="shared" si="6"/>
        <v>2.25953604854414</v>
      </c>
      <c r="H103" s="20">
        <f t="shared" si="8"/>
        <v>2.3184574007663286</v>
      </c>
      <c r="I103" s="20">
        <f t="shared" si="7"/>
        <v>0.59524346301453812</v>
      </c>
      <c r="J103" s="22">
        <f t="shared" si="9"/>
        <v>0.60580321320568731</v>
      </c>
    </row>
    <row r="104" spans="1:10" x14ac:dyDescent="0.3">
      <c r="A104" s="37">
        <v>45762</v>
      </c>
      <c r="B104" s="21">
        <v>2634.5925999999999</v>
      </c>
      <c r="C104" s="21">
        <v>5914.0285999999996</v>
      </c>
      <c r="D104" s="21">
        <v>3714.8400999999999</v>
      </c>
      <c r="E104" s="21">
        <v>6299.5841</v>
      </c>
      <c r="F104" s="19">
        <f t="shared" si="5"/>
        <v>45762</v>
      </c>
      <c r="G104" s="20">
        <f t="shared" si="6"/>
        <v>2.2447601955611658</v>
      </c>
      <c r="H104" s="20">
        <f t="shared" si="8"/>
        <v>2.3103566314400683</v>
      </c>
      <c r="I104" s="20">
        <f t="shared" si="7"/>
        <v>0.58969608803222417</v>
      </c>
      <c r="J104" s="22">
        <f t="shared" si="9"/>
        <v>0.60411038950958107</v>
      </c>
    </row>
    <row r="105" spans="1:10" x14ac:dyDescent="0.3">
      <c r="A105" s="37">
        <v>45763</v>
      </c>
      <c r="B105" s="21">
        <v>2658.4955</v>
      </c>
      <c r="C105" s="21">
        <v>5835.348</v>
      </c>
      <c r="D105" s="21">
        <v>3707.0900999999999</v>
      </c>
      <c r="E105" s="21">
        <v>6328.5191000000004</v>
      </c>
      <c r="F105" s="19">
        <f t="shared" si="5"/>
        <v>45763</v>
      </c>
      <c r="G105" s="20">
        <f t="shared" si="6"/>
        <v>2.1949813343675024</v>
      </c>
      <c r="H105" s="20">
        <f t="shared" si="8"/>
        <v>2.2994388920140914</v>
      </c>
      <c r="I105" s="20">
        <f t="shared" si="7"/>
        <v>0.58577528825029535</v>
      </c>
      <c r="J105" s="22">
        <f t="shared" si="9"/>
        <v>0.60217634768104422</v>
      </c>
    </row>
    <row r="106" spans="1:10" x14ac:dyDescent="0.3">
      <c r="A106" s="37">
        <v>45764</v>
      </c>
      <c r="B106" s="21">
        <v>2659.8957999999998</v>
      </c>
      <c r="C106" s="21">
        <v>5839.5639000000001</v>
      </c>
      <c r="D106" s="21">
        <v>3706.4704000000002</v>
      </c>
      <c r="E106" s="21">
        <v>6328.8764000000001</v>
      </c>
      <c r="F106" s="19">
        <f t="shared" si="5"/>
        <v>45764</v>
      </c>
      <c r="G106" s="20">
        <f t="shared" si="6"/>
        <v>2.1954107751138223</v>
      </c>
      <c r="H106" s="20">
        <f t="shared" si="8"/>
        <v>2.2897196994385198</v>
      </c>
      <c r="I106" s="20">
        <f t="shared" si="7"/>
        <v>0.58564430172787074</v>
      </c>
      <c r="J106" s="22">
        <f t="shared" si="9"/>
        <v>0.6003710542638534</v>
      </c>
    </row>
    <row r="107" spans="1:10" x14ac:dyDescent="0.3">
      <c r="A107" s="37">
        <v>45765</v>
      </c>
      <c r="B107" s="21">
        <v>2657.6367</v>
      </c>
      <c r="C107" s="21">
        <v>5831.6868999999997</v>
      </c>
      <c r="D107" s="21">
        <v>3694.9005000000002</v>
      </c>
      <c r="E107" s="21">
        <v>6348.0012999999999</v>
      </c>
      <c r="F107" s="19">
        <f t="shared" si="5"/>
        <v>45765</v>
      </c>
      <c r="G107" s="20">
        <f t="shared" si="6"/>
        <v>2.1943130526456081</v>
      </c>
      <c r="H107" s="20">
        <f t="shared" si="8"/>
        <v>2.2792253679276975</v>
      </c>
      <c r="I107" s="20">
        <f t="shared" si="7"/>
        <v>0.58205730046085535</v>
      </c>
      <c r="J107" s="22">
        <f t="shared" si="9"/>
        <v>0.59840886354141998</v>
      </c>
    </row>
    <row r="108" spans="1:10" x14ac:dyDescent="0.3">
      <c r="A108" s="37">
        <v>45768</v>
      </c>
      <c r="B108" s="21">
        <v>2652.8103000000001</v>
      </c>
      <c r="C108" s="21">
        <v>5952.6373999999996</v>
      </c>
      <c r="D108" s="21">
        <v>3732.5412999999999</v>
      </c>
      <c r="E108" s="21">
        <v>6334.3419000000004</v>
      </c>
      <c r="F108" s="19">
        <f t="shared" si="5"/>
        <v>45768</v>
      </c>
      <c r="G108" s="20">
        <f t="shared" si="6"/>
        <v>2.2438986308218118</v>
      </c>
      <c r="H108" s="20">
        <f t="shared" si="8"/>
        <v>2.2717052654647385</v>
      </c>
      <c r="I108" s="20">
        <f t="shared" si="7"/>
        <v>0.58925478904130513</v>
      </c>
      <c r="J108" s="22">
        <f t="shared" si="9"/>
        <v>0.59717226074978524</v>
      </c>
    </row>
    <row r="109" spans="1:10" x14ac:dyDescent="0.3">
      <c r="A109" s="37">
        <v>45769</v>
      </c>
      <c r="B109" s="21">
        <v>2656.5387000000001</v>
      </c>
      <c r="C109" s="21">
        <v>5949.3122999999996</v>
      </c>
      <c r="D109" s="21">
        <v>3724.1264000000001</v>
      </c>
      <c r="E109" s="21">
        <v>6354.9754999999996</v>
      </c>
      <c r="F109" s="19">
        <f t="shared" si="5"/>
        <v>45769</v>
      </c>
      <c r="G109" s="20">
        <f t="shared" si="6"/>
        <v>2.2394976967585678</v>
      </c>
      <c r="H109" s="20">
        <f t="shared" si="8"/>
        <v>2.265604420072227</v>
      </c>
      <c r="I109" s="20">
        <f t="shared" si="7"/>
        <v>0.58601742839134474</v>
      </c>
      <c r="J109" s="22">
        <f t="shared" si="9"/>
        <v>0.59581663210118918</v>
      </c>
    </row>
    <row r="110" spans="1:10" x14ac:dyDescent="0.3">
      <c r="A110" s="37">
        <v>45770</v>
      </c>
      <c r="B110" s="21">
        <v>2648.8296999999998</v>
      </c>
      <c r="C110" s="21">
        <v>5984.5833000000002</v>
      </c>
      <c r="D110" s="21">
        <v>3739.6797999999999</v>
      </c>
      <c r="E110" s="21">
        <v>6340.8077999999996</v>
      </c>
      <c r="F110" s="19">
        <f t="shared" si="5"/>
        <v>45770</v>
      </c>
      <c r="G110" s="20">
        <f t="shared" si="6"/>
        <v>2.2593310925198402</v>
      </c>
      <c r="H110" s="20">
        <f t="shared" si="8"/>
        <v>2.2613532153748337</v>
      </c>
      <c r="I110" s="20">
        <f t="shared" si="7"/>
        <v>0.58977971229470161</v>
      </c>
      <c r="J110" s="22">
        <f t="shared" si="9"/>
        <v>0.59481526332479639</v>
      </c>
    </row>
    <row r="111" spans="1:10" x14ac:dyDescent="0.3">
      <c r="A111" s="37">
        <v>45771</v>
      </c>
      <c r="B111" s="21">
        <v>2655.3643999999999</v>
      </c>
      <c r="C111" s="21">
        <v>5920.4776000000002</v>
      </c>
      <c r="D111" s="21">
        <v>3723.8029999999999</v>
      </c>
      <c r="E111" s="21">
        <v>6375.2777999999998</v>
      </c>
      <c r="F111" s="19">
        <f t="shared" si="5"/>
        <v>45771</v>
      </c>
      <c r="G111" s="20">
        <f t="shared" si="6"/>
        <v>2.229629048276764</v>
      </c>
      <c r="H111" s="20">
        <f t="shared" si="8"/>
        <v>2.2545274353221991</v>
      </c>
      <c r="I111" s="20">
        <f t="shared" si="7"/>
        <v>0.58410050774571731</v>
      </c>
      <c r="J111" s="22">
        <f t="shared" si="9"/>
        <v>0.59337388054328977</v>
      </c>
    </row>
    <row r="112" spans="1:10" x14ac:dyDescent="0.3">
      <c r="A112" s="37">
        <v>45772</v>
      </c>
      <c r="B112" s="21">
        <v>2648.8101000000001</v>
      </c>
      <c r="C112" s="21">
        <v>5939.5020999999997</v>
      </c>
      <c r="D112" s="21">
        <v>3736.268</v>
      </c>
      <c r="E112" s="21">
        <v>6363.5029999999997</v>
      </c>
      <c r="F112" s="19">
        <f t="shared" si="5"/>
        <v>45772</v>
      </c>
      <c r="G112" s="20">
        <f t="shared" si="6"/>
        <v>2.2423283949272164</v>
      </c>
      <c r="H112" s="20">
        <f t="shared" si="8"/>
        <v>2.2490456345407757</v>
      </c>
      <c r="I112" s="20">
        <f t="shared" si="7"/>
        <v>0.5871401333510804</v>
      </c>
      <c r="J112" s="22">
        <f t="shared" si="9"/>
        <v>0.59204309406950906</v>
      </c>
    </row>
    <row r="113" spans="1:10" x14ac:dyDescent="0.3">
      <c r="A113" s="37">
        <v>45775</v>
      </c>
      <c r="B113" s="21">
        <v>2651.2251999999999</v>
      </c>
      <c r="C113" s="21">
        <v>5877.0565999999999</v>
      </c>
      <c r="D113" s="21">
        <v>3718.8380999999999</v>
      </c>
      <c r="E113" s="21">
        <v>6370.9938000000002</v>
      </c>
      <c r="F113" s="19">
        <f t="shared" si="5"/>
        <v>45775</v>
      </c>
      <c r="G113" s="20">
        <f t="shared" si="6"/>
        <v>2.2167323243608275</v>
      </c>
      <c r="H113" s="20">
        <f t="shared" si="8"/>
        <v>2.242924604981329</v>
      </c>
      <c r="I113" s="20">
        <f t="shared" si="7"/>
        <v>0.58371397253596446</v>
      </c>
      <c r="J113" s="22">
        <f t="shared" si="9"/>
        <v>0.59064179814524997</v>
      </c>
    </row>
    <row r="114" spans="1:10" x14ac:dyDescent="0.3">
      <c r="A114" s="37">
        <v>45776</v>
      </c>
      <c r="B114" s="21">
        <v>2645.5122000000001</v>
      </c>
      <c r="C114" s="21">
        <v>5903.3811999999998</v>
      </c>
      <c r="D114" s="21">
        <v>3711.4137999999998</v>
      </c>
      <c r="E114" s="21">
        <v>6358.5859</v>
      </c>
      <c r="F114" s="19">
        <f t="shared" si="5"/>
        <v>45776</v>
      </c>
      <c r="G114" s="20">
        <f t="shared" si="6"/>
        <v>2.2314700344228235</v>
      </c>
      <c r="H114" s="20">
        <f t="shared" si="8"/>
        <v>2.2377032084983322</v>
      </c>
      <c r="I114" s="20">
        <f t="shared" si="7"/>
        <v>0.58368540715947548</v>
      </c>
      <c r="J114" s="22">
        <f t="shared" si="9"/>
        <v>0.58946921955734344</v>
      </c>
    </row>
    <row r="115" spans="1:10" x14ac:dyDescent="0.3">
      <c r="A115" s="37">
        <v>45777</v>
      </c>
      <c r="B115" s="21">
        <v>2633.1603</v>
      </c>
      <c r="C115" s="21">
        <v>5950.1169</v>
      </c>
      <c r="D115" s="21">
        <v>3722.4344000000001</v>
      </c>
      <c r="E115" s="21">
        <v>6305.098</v>
      </c>
      <c r="F115" s="19">
        <f t="shared" si="5"/>
        <v>45777</v>
      </c>
      <c r="G115" s="20">
        <f t="shared" si="6"/>
        <v>2.2596865447196661</v>
      </c>
      <c r="H115" s="20">
        <f t="shared" si="8"/>
        <v>2.2331478723092939</v>
      </c>
      <c r="I115" s="20">
        <f t="shared" si="7"/>
        <v>0.59038485999741797</v>
      </c>
      <c r="J115" s="22">
        <f t="shared" si="9"/>
        <v>0.58858148857691472</v>
      </c>
    </row>
    <row r="116" spans="1:10" x14ac:dyDescent="0.3">
      <c r="A116" s="37">
        <v>45783</v>
      </c>
      <c r="B116" s="21">
        <v>2647.7166000000002</v>
      </c>
      <c r="C116" s="21">
        <v>6102.9220999999998</v>
      </c>
      <c r="D116" s="21">
        <v>3774.9079999999999</v>
      </c>
      <c r="E116" s="21">
        <v>6343.7951000000003</v>
      </c>
      <c r="F116" s="19">
        <f t="shared" si="5"/>
        <v>45783</v>
      </c>
      <c r="G116" s="20">
        <f t="shared" si="6"/>
        <v>2.3049755778243033</v>
      </c>
      <c r="H116" s="20">
        <f t="shared" si="8"/>
        <v>2.2303419616432278</v>
      </c>
      <c r="I116" s="20">
        <f t="shared" si="7"/>
        <v>0.59505515870145298</v>
      </c>
      <c r="J116" s="22">
        <f t="shared" si="9"/>
        <v>0.5881114264870404</v>
      </c>
    </row>
    <row r="117" spans="1:10" x14ac:dyDescent="0.3">
      <c r="A117" s="37">
        <v>45784</v>
      </c>
      <c r="B117" s="21">
        <v>2670.7022999999999</v>
      </c>
      <c r="C117" s="21">
        <v>6111.4946</v>
      </c>
      <c r="D117" s="21">
        <v>3789.0617000000002</v>
      </c>
      <c r="E117" s="21">
        <v>6399.6773999999996</v>
      </c>
      <c r="F117" s="19">
        <f t="shared" si="5"/>
        <v>45784</v>
      </c>
      <c r="G117" s="20">
        <f t="shared" si="6"/>
        <v>2.288347375894348</v>
      </c>
      <c r="H117" s="20">
        <f t="shared" si="8"/>
        <v>2.2282553981658637</v>
      </c>
      <c r="I117" s="20">
        <f t="shared" si="7"/>
        <v>0.59207073469047056</v>
      </c>
      <c r="J117" s="22">
        <f t="shared" si="9"/>
        <v>0.58774499605593744</v>
      </c>
    </row>
    <row r="118" spans="1:10" x14ac:dyDescent="0.3">
      <c r="A118" s="37">
        <v>45785</v>
      </c>
      <c r="B118" s="21">
        <v>2679.509</v>
      </c>
      <c r="C118" s="21">
        <v>6158.0774000000001</v>
      </c>
      <c r="D118" s="21">
        <v>3813.3135000000002</v>
      </c>
      <c r="E118" s="21">
        <v>6426.2223000000004</v>
      </c>
      <c r="F118" s="19">
        <f t="shared" si="5"/>
        <v>45785</v>
      </c>
      <c r="G118" s="20">
        <f t="shared" si="6"/>
        <v>2.2982111274864163</v>
      </c>
      <c r="H118" s="20">
        <f t="shared" si="8"/>
        <v>2.2339780626769157</v>
      </c>
      <c r="I118" s="20">
        <f t="shared" si="7"/>
        <v>0.59339893984059655</v>
      </c>
      <c r="J118" s="22">
        <f t="shared" si="9"/>
        <v>0.58809460747722042</v>
      </c>
    </row>
    <row r="119" spans="1:10" x14ac:dyDescent="0.3">
      <c r="A119" s="37">
        <v>45786</v>
      </c>
      <c r="B119" s="21">
        <v>2684.0056</v>
      </c>
      <c r="C119" s="21">
        <v>6082.0816999999997</v>
      </c>
      <c r="D119" s="21">
        <v>3788.1376</v>
      </c>
      <c r="E119" s="21">
        <v>6451.6988000000001</v>
      </c>
      <c r="F119" s="19">
        <f t="shared" si="5"/>
        <v>45786</v>
      </c>
      <c r="G119" s="20">
        <f t="shared" si="6"/>
        <v>2.2660465760578146</v>
      </c>
      <c r="H119" s="20">
        <f t="shared" si="8"/>
        <v>2.2398743924809907</v>
      </c>
      <c r="I119" s="20">
        <f t="shared" si="7"/>
        <v>0.58715351063815935</v>
      </c>
      <c r="J119" s="22">
        <f t="shared" si="9"/>
        <v>0.58851583235689042</v>
      </c>
    </row>
    <row r="120" spans="1:10" x14ac:dyDescent="0.3">
      <c r="A120" s="37">
        <v>45789</v>
      </c>
      <c r="B120" s="21">
        <v>2702.6172000000001</v>
      </c>
      <c r="C120" s="21">
        <v>6167.4606000000003</v>
      </c>
      <c r="D120" s="21">
        <v>3853.5473000000002</v>
      </c>
      <c r="E120" s="21">
        <v>6489.3091999999997</v>
      </c>
      <c r="F120" s="19">
        <f t="shared" si="5"/>
        <v>45789</v>
      </c>
      <c r="G120" s="20">
        <f t="shared" si="6"/>
        <v>2.282032616383852</v>
      </c>
      <c r="H120" s="20">
        <f t="shared" si="8"/>
        <v>2.2451560545319227</v>
      </c>
      <c r="I120" s="20">
        <f t="shared" si="7"/>
        <v>0.59383012601711138</v>
      </c>
      <c r="J120" s="22">
        <f t="shared" si="9"/>
        <v>0.58898709833977447</v>
      </c>
    </row>
    <row r="121" spans="1:10" x14ac:dyDescent="0.3">
      <c r="A121" s="37">
        <v>45790</v>
      </c>
      <c r="B121" s="21">
        <v>2708.0587999999998</v>
      </c>
      <c r="C121" s="21">
        <v>6151.0097999999998</v>
      </c>
      <c r="D121" s="21">
        <v>3847.1806000000001</v>
      </c>
      <c r="E121" s="21">
        <v>6537.7785999999996</v>
      </c>
      <c r="F121" s="19">
        <f t="shared" si="5"/>
        <v>45790</v>
      </c>
      <c r="G121" s="20">
        <f t="shared" si="6"/>
        <v>2.271372320276059</v>
      </c>
      <c r="H121" s="20">
        <f t="shared" si="8"/>
        <v>2.2480199466652055</v>
      </c>
      <c r="I121" s="20">
        <f t="shared" si="7"/>
        <v>0.58845379071111403</v>
      </c>
      <c r="J121" s="22">
        <f t="shared" si="9"/>
        <v>0.5889437627561539</v>
      </c>
    </row>
    <row r="122" spans="1:10" x14ac:dyDescent="0.3">
      <c r="A122" s="37">
        <v>45791</v>
      </c>
      <c r="B122" s="21">
        <v>2753.7849999999999</v>
      </c>
      <c r="C122" s="21">
        <v>6160.3697000000002</v>
      </c>
      <c r="D122" s="21">
        <v>3883.7134999999998</v>
      </c>
      <c r="E122" s="21">
        <v>6606.0879999999997</v>
      </c>
      <c r="F122" s="19">
        <f t="shared" si="5"/>
        <v>45791</v>
      </c>
      <c r="G122" s="20">
        <f t="shared" si="6"/>
        <v>2.2370554346109084</v>
      </c>
      <c r="H122" s="20">
        <f t="shared" si="8"/>
        <v>2.2479808100786731</v>
      </c>
      <c r="I122" s="20">
        <f t="shared" si="7"/>
        <v>0.58789914696867496</v>
      </c>
      <c r="J122" s="22">
        <f t="shared" si="9"/>
        <v>0.5885177329785185</v>
      </c>
    </row>
    <row r="123" spans="1:10" x14ac:dyDescent="0.3">
      <c r="A123" s="37">
        <v>45792</v>
      </c>
      <c r="B123" s="21">
        <v>2740.2975999999999</v>
      </c>
      <c r="C123" s="21">
        <v>6057.0357000000004</v>
      </c>
      <c r="D123" s="21">
        <v>3835.2993000000001</v>
      </c>
      <c r="E123" s="21">
        <v>6567.9093000000003</v>
      </c>
      <c r="F123" s="19">
        <f t="shared" si="5"/>
        <v>45792</v>
      </c>
      <c r="G123" s="20">
        <f t="shared" si="6"/>
        <v>2.2103568970027201</v>
      </c>
      <c r="H123" s="20">
        <f t="shared" si="8"/>
        <v>2.2455218525016019</v>
      </c>
      <c r="I123" s="20">
        <f t="shared" si="7"/>
        <v>0.58394522896349987</v>
      </c>
      <c r="J123" s="22">
        <f t="shared" si="9"/>
        <v>0.58795282127596671</v>
      </c>
    </row>
    <row r="124" spans="1:10" x14ac:dyDescent="0.3">
      <c r="A124" s="37">
        <v>45793</v>
      </c>
      <c r="B124" s="21">
        <v>2716.6617999999999</v>
      </c>
      <c r="C124" s="21">
        <v>6068.1165000000001</v>
      </c>
      <c r="D124" s="21">
        <v>3829.2121000000002</v>
      </c>
      <c r="E124" s="21">
        <v>6526.9291000000003</v>
      </c>
      <c r="F124" s="19">
        <f t="shared" si="5"/>
        <v>45793</v>
      </c>
      <c r="G124" s="20">
        <f t="shared" si="6"/>
        <v>2.233666516752288</v>
      </c>
      <c r="H124" s="20">
        <f t="shared" si="8"/>
        <v>2.2449671685611579</v>
      </c>
      <c r="I124" s="20">
        <f t="shared" si="7"/>
        <v>0.58667897893972831</v>
      </c>
      <c r="J124" s="22">
        <f t="shared" si="9"/>
        <v>0.58780196582134203</v>
      </c>
    </row>
    <row r="125" spans="1:10" x14ac:dyDescent="0.3">
      <c r="A125" s="37">
        <v>45796</v>
      </c>
      <c r="B125" s="21">
        <v>2705.0884000000001</v>
      </c>
      <c r="C125" s="21">
        <v>6095.3369000000002</v>
      </c>
      <c r="D125" s="21">
        <v>3811.0740000000001</v>
      </c>
      <c r="E125" s="21">
        <v>6526.3280999999997</v>
      </c>
      <c r="F125" s="19">
        <f t="shared" si="5"/>
        <v>45796</v>
      </c>
      <c r="G125" s="20">
        <f t="shared" si="6"/>
        <v>2.2532856597218784</v>
      </c>
      <c r="H125" s="20">
        <f t="shared" si="8"/>
        <v>2.2478823848288765</v>
      </c>
      <c r="I125" s="20">
        <f t="shared" si="7"/>
        <v>0.58395378559039968</v>
      </c>
      <c r="J125" s="22">
        <f t="shared" si="9"/>
        <v>0.58771089068834714</v>
      </c>
    </row>
    <row r="126" spans="1:10" x14ac:dyDescent="0.3">
      <c r="A126" s="37">
        <v>45797</v>
      </c>
      <c r="B126" s="21">
        <v>2716.6293999999998</v>
      </c>
      <c r="C126" s="21">
        <v>6146.0165999999999</v>
      </c>
      <c r="D126" s="21">
        <v>3830.7773999999999</v>
      </c>
      <c r="E126" s="21">
        <v>6554.9529000000002</v>
      </c>
      <c r="F126" s="19">
        <f t="shared" si="5"/>
        <v>45797</v>
      </c>
      <c r="G126" s="20">
        <f t="shared" si="6"/>
        <v>2.2623684334712717</v>
      </c>
      <c r="H126" s="20">
        <f t="shared" si="8"/>
        <v>2.2512302677467493</v>
      </c>
      <c r="I126" s="20">
        <f t="shared" si="7"/>
        <v>0.58440959964792416</v>
      </c>
      <c r="J126" s="22">
        <f t="shared" si="9"/>
        <v>0.58764915558434971</v>
      </c>
    </row>
    <row r="127" spans="1:10" x14ac:dyDescent="0.3">
      <c r="A127" s="37">
        <v>45798</v>
      </c>
      <c r="B127" s="21">
        <v>2728.4261999999999</v>
      </c>
      <c r="C127" s="21">
        <v>6132.1809000000003</v>
      </c>
      <c r="D127" s="21">
        <v>3854.7159000000001</v>
      </c>
      <c r="E127" s="21">
        <v>6586.4366</v>
      </c>
      <c r="F127" s="19">
        <f t="shared" si="5"/>
        <v>45798</v>
      </c>
      <c r="G127" s="20">
        <f t="shared" si="6"/>
        <v>2.2475157656820626</v>
      </c>
      <c r="H127" s="20">
        <f t="shared" si="8"/>
        <v>2.2538904033985712</v>
      </c>
      <c r="I127" s="20">
        <f t="shared" si="7"/>
        <v>0.5852505890666283</v>
      </c>
      <c r="J127" s="22">
        <f t="shared" si="9"/>
        <v>0.58780882001463852</v>
      </c>
    </row>
    <row r="128" spans="1:10" x14ac:dyDescent="0.3">
      <c r="A128" s="37">
        <v>45799</v>
      </c>
      <c r="B128" s="21">
        <v>2733.6323000000002</v>
      </c>
      <c r="C128" s="21">
        <v>6066.1031000000003</v>
      </c>
      <c r="D128" s="21">
        <v>3829.1957000000002</v>
      </c>
      <c r="E128" s="21">
        <v>6592.1439</v>
      </c>
      <c r="F128" s="19">
        <f t="shared" si="5"/>
        <v>45799</v>
      </c>
      <c r="G128" s="20">
        <f t="shared" si="6"/>
        <v>2.2190632953817526</v>
      </c>
      <c r="H128" s="20">
        <f t="shared" si="8"/>
        <v>2.2526486366265686</v>
      </c>
      <c r="I128" s="20">
        <f t="shared" si="7"/>
        <v>0.58087258987171086</v>
      </c>
      <c r="J128" s="22">
        <f t="shared" si="9"/>
        <v>0.5873897100561587</v>
      </c>
    </row>
    <row r="129" spans="1:10" x14ac:dyDescent="0.3">
      <c r="A129" s="37">
        <v>45800</v>
      </c>
      <c r="B129" s="21">
        <v>2711.8524000000002</v>
      </c>
      <c r="C129" s="21">
        <v>5989.6751999999997</v>
      </c>
      <c r="D129" s="21">
        <v>3802.3782000000001</v>
      </c>
      <c r="E129" s="21">
        <v>6535.6768000000002</v>
      </c>
      <c r="F129" s="19">
        <f t="shared" si="5"/>
        <v>45800</v>
      </c>
      <c r="G129" s="20">
        <f t="shared" si="6"/>
        <v>2.2087025090303585</v>
      </c>
      <c r="H129" s="20">
        <f t="shared" si="8"/>
        <v>2.2511088772401582</v>
      </c>
      <c r="I129" s="20">
        <f t="shared" si="7"/>
        <v>0.58178797947903427</v>
      </c>
      <c r="J129" s="22">
        <f t="shared" si="9"/>
        <v>0.58717823761054311</v>
      </c>
    </row>
    <row r="130" spans="1:10" x14ac:dyDescent="0.3">
      <c r="A130" s="37">
        <v>45803</v>
      </c>
      <c r="B130" s="21">
        <v>2699.4225000000001</v>
      </c>
      <c r="C130" s="21">
        <v>6028.7861000000003</v>
      </c>
      <c r="D130" s="21">
        <v>3778.2527</v>
      </c>
      <c r="E130" s="21">
        <v>6511.9633999999996</v>
      </c>
      <c r="F130" s="19">
        <f t="shared" si="5"/>
        <v>45803</v>
      </c>
      <c r="G130" s="20">
        <f t="shared" si="6"/>
        <v>2.2333614319359048</v>
      </c>
      <c r="H130" s="20">
        <f t="shared" si="8"/>
        <v>2.2498103942109617</v>
      </c>
      <c r="I130" s="20">
        <f t="shared" si="7"/>
        <v>0.58020177140430496</v>
      </c>
      <c r="J130" s="22">
        <f t="shared" si="9"/>
        <v>0.58669934056602313</v>
      </c>
    </row>
    <row r="131" spans="1:10" x14ac:dyDescent="0.3">
      <c r="A131" s="37">
        <v>45804</v>
      </c>
      <c r="B131" s="21">
        <v>2685.2811999999999</v>
      </c>
      <c r="C131" s="21">
        <v>6008.4598999999998</v>
      </c>
      <c r="D131" s="21">
        <v>3746.6585</v>
      </c>
      <c r="E131" s="21">
        <v>6510.6958999999997</v>
      </c>
      <c r="F131" s="19">
        <f t="shared" si="5"/>
        <v>45804</v>
      </c>
      <c r="G131" s="20">
        <f t="shared" si="6"/>
        <v>2.2375533333343265</v>
      </c>
      <c r="H131" s="20">
        <f t="shared" si="8"/>
        <v>2.2502066084638397</v>
      </c>
      <c r="I131" s="20">
        <f t="shared" si="7"/>
        <v>0.5754620638939687</v>
      </c>
      <c r="J131" s="22">
        <f t="shared" si="9"/>
        <v>0.58626741837343577</v>
      </c>
    </row>
    <row r="132" spans="1:10" x14ac:dyDescent="0.3">
      <c r="A132" s="37">
        <v>45805</v>
      </c>
      <c r="B132" s="21">
        <v>2683.0628000000002</v>
      </c>
      <c r="C132" s="21">
        <v>5984.4557000000004</v>
      </c>
      <c r="D132" s="21">
        <v>3735.7251000000001</v>
      </c>
      <c r="E132" s="21">
        <v>6517.2124000000003</v>
      </c>
      <c r="F132" s="19">
        <f t="shared" si="5"/>
        <v>45805</v>
      </c>
      <c r="G132" s="20">
        <f t="shared" si="6"/>
        <v>2.2304568122669362</v>
      </c>
      <c r="H132" s="20">
        <f t="shared" si="8"/>
        <v>2.2496130293308254</v>
      </c>
      <c r="I132" s="20">
        <f t="shared" si="7"/>
        <v>0.57320904563429598</v>
      </c>
      <c r="J132" s="22">
        <f t="shared" si="9"/>
        <v>0.58557086398759672</v>
      </c>
    </row>
    <row r="133" spans="1:10" x14ac:dyDescent="0.3">
      <c r="A133" s="37">
        <v>45806</v>
      </c>
      <c r="B133" s="21">
        <v>2690.8926000000001</v>
      </c>
      <c r="C133" s="21">
        <v>6089.5778</v>
      </c>
      <c r="D133" s="21">
        <v>3770.904</v>
      </c>
      <c r="E133" s="21">
        <v>6531.8257000000003</v>
      </c>
      <c r="F133" s="19">
        <f t="shared" ref="F133:F196" si="10">A133</f>
        <v>45806</v>
      </c>
      <c r="G133" s="20">
        <f t="shared" ref="G133:G196" si="11">C133/B133</f>
        <v>2.2630326457473626</v>
      </c>
      <c r="H133" s="20">
        <f t="shared" si="8"/>
        <v>2.2519280454001529</v>
      </c>
      <c r="I133" s="20">
        <f t="shared" ref="I133:I196" si="12">D133/E133</f>
        <v>0.57731240440172793</v>
      </c>
      <c r="J133" s="22">
        <f t="shared" si="9"/>
        <v>0.58525078558088484</v>
      </c>
    </row>
    <row r="134" spans="1:10" x14ac:dyDescent="0.3">
      <c r="A134" s="37">
        <v>45807</v>
      </c>
      <c r="B134" s="21">
        <v>2678.6954999999998</v>
      </c>
      <c r="C134" s="21">
        <v>6026.5603000000001</v>
      </c>
      <c r="D134" s="21">
        <v>3728.7035000000001</v>
      </c>
      <c r="E134" s="21">
        <v>6530.3609999999999</v>
      </c>
      <c r="F134" s="19">
        <f t="shared" si="10"/>
        <v>45807</v>
      </c>
      <c r="G134" s="20">
        <f t="shared" si="11"/>
        <v>2.2498116340584438</v>
      </c>
      <c r="H134" s="20">
        <f t="shared" si="8"/>
        <v>2.2528451253819339</v>
      </c>
      <c r="I134" s="20">
        <f t="shared" si="12"/>
        <v>0.57097969009676497</v>
      </c>
      <c r="J134" s="22">
        <f t="shared" si="9"/>
        <v>0.5846154997277494</v>
      </c>
    </row>
    <row r="135" spans="1:10" x14ac:dyDescent="0.3">
      <c r="A135" s="37">
        <v>45811</v>
      </c>
      <c r="B135" s="21">
        <v>2687.2959999999998</v>
      </c>
      <c r="C135" s="21">
        <v>6070.0367999999999</v>
      </c>
      <c r="D135" s="21">
        <v>3735.2446</v>
      </c>
      <c r="E135" s="21">
        <v>6560.2645000000002</v>
      </c>
      <c r="F135" s="19">
        <f t="shared" si="10"/>
        <v>45811</v>
      </c>
      <c r="G135" s="20">
        <f t="shared" si="11"/>
        <v>2.258789802091024</v>
      </c>
      <c r="H135" s="20">
        <f t="shared" si="8"/>
        <v>2.2528002882505018</v>
      </c>
      <c r="I135" s="20">
        <f t="shared" si="12"/>
        <v>0.56937408545036561</v>
      </c>
      <c r="J135" s="22">
        <f t="shared" si="9"/>
        <v>0.58356496100039668</v>
      </c>
    </row>
    <row r="136" spans="1:10" x14ac:dyDescent="0.3">
      <c r="A136" s="37">
        <v>45812</v>
      </c>
      <c r="B136" s="21">
        <v>2690.8243000000002</v>
      </c>
      <c r="C136" s="21">
        <v>6123.1719999999996</v>
      </c>
      <c r="D136" s="21">
        <v>3758.7357999999999</v>
      </c>
      <c r="E136" s="21">
        <v>6581.3773000000001</v>
      </c>
      <c r="F136" s="19">
        <f t="shared" si="10"/>
        <v>45812</v>
      </c>
      <c r="G136" s="20">
        <f t="shared" si="11"/>
        <v>2.2755748117779371</v>
      </c>
      <c r="H136" s="20">
        <f t="shared" si="8"/>
        <v>2.2513302499481833</v>
      </c>
      <c r="I136" s="20">
        <f t="shared" si="12"/>
        <v>0.57111689980150504</v>
      </c>
      <c r="J136" s="22">
        <f t="shared" si="9"/>
        <v>0.58236804805539921</v>
      </c>
    </row>
    <row r="137" spans="1:10" x14ac:dyDescent="0.3">
      <c r="A137" s="37">
        <v>45813</v>
      </c>
      <c r="B137" s="21">
        <v>2692.1287000000002</v>
      </c>
      <c r="C137" s="21">
        <v>6167.0149000000001</v>
      </c>
      <c r="D137" s="21">
        <v>3775.3359</v>
      </c>
      <c r="E137" s="21">
        <v>6561.2422999999999</v>
      </c>
      <c r="F137" s="19">
        <f t="shared" si="10"/>
        <v>45813</v>
      </c>
      <c r="G137" s="20">
        <f t="shared" si="11"/>
        <v>2.2907578304113021</v>
      </c>
      <c r="H137" s="20">
        <f t="shared" si="8"/>
        <v>2.2514507726740307</v>
      </c>
      <c r="I137" s="20">
        <f t="shared" si="12"/>
        <v>0.57539955505072571</v>
      </c>
      <c r="J137" s="22">
        <f t="shared" si="9"/>
        <v>0.58153448907341199</v>
      </c>
    </row>
    <row r="138" spans="1:10" x14ac:dyDescent="0.3">
      <c r="A138" s="37">
        <v>45814</v>
      </c>
      <c r="B138" s="21">
        <v>2688.8503999999998</v>
      </c>
      <c r="C138" s="21">
        <v>6152.8446000000004</v>
      </c>
      <c r="D138" s="21">
        <v>3767.6682000000001</v>
      </c>
      <c r="E138" s="21">
        <v>6561.3297000000002</v>
      </c>
      <c r="F138" s="19">
        <f t="shared" si="10"/>
        <v>45814</v>
      </c>
      <c r="G138" s="20">
        <f t="shared" si="11"/>
        <v>2.2882807462996086</v>
      </c>
      <c r="H138" s="20">
        <f t="shared" si="8"/>
        <v>2.2509542536146907</v>
      </c>
      <c r="I138" s="20">
        <f t="shared" si="12"/>
        <v>0.57422327062759859</v>
      </c>
      <c r="J138" s="22">
        <f t="shared" si="9"/>
        <v>0.58057570561276206</v>
      </c>
    </row>
    <row r="139" spans="1:10" x14ac:dyDescent="0.3">
      <c r="A139" s="37">
        <v>45817</v>
      </c>
      <c r="B139" s="21">
        <v>2686.8276000000001</v>
      </c>
      <c r="C139" s="21">
        <v>6218.9637000000002</v>
      </c>
      <c r="D139" s="21">
        <v>3776.9883</v>
      </c>
      <c r="E139" s="21">
        <v>6582.4408000000003</v>
      </c>
      <c r="F139" s="19">
        <f t="shared" si="10"/>
        <v>45817</v>
      </c>
      <c r="G139" s="20">
        <f t="shared" si="11"/>
        <v>2.314612109835406</v>
      </c>
      <c r="H139" s="20">
        <f t="shared" si="8"/>
        <v>2.2533825303035702</v>
      </c>
      <c r="I139" s="20">
        <f t="shared" si="12"/>
        <v>0.57379753419126833</v>
      </c>
      <c r="J139" s="22">
        <f t="shared" si="9"/>
        <v>0.57990790679041759</v>
      </c>
    </row>
    <row r="140" spans="1:10" x14ac:dyDescent="0.3">
      <c r="A140" s="37">
        <v>45818</v>
      </c>
      <c r="B140" s="21">
        <v>2676.4013</v>
      </c>
      <c r="C140" s="21">
        <v>6161.6918999999998</v>
      </c>
      <c r="D140" s="21">
        <v>3748.4371000000001</v>
      </c>
      <c r="E140" s="21">
        <v>6574.7619000000004</v>
      </c>
      <c r="F140" s="19">
        <f t="shared" si="10"/>
        <v>45818</v>
      </c>
      <c r="G140" s="20">
        <f t="shared" si="11"/>
        <v>2.3022301999330219</v>
      </c>
      <c r="H140" s="20">
        <f t="shared" si="8"/>
        <v>2.2543924094810284</v>
      </c>
      <c r="I140" s="20">
        <f t="shared" si="12"/>
        <v>0.57012514780193024</v>
      </c>
      <c r="J140" s="22">
        <f t="shared" si="9"/>
        <v>0.57872265787965849</v>
      </c>
    </row>
    <row r="141" spans="1:10" x14ac:dyDescent="0.3">
      <c r="A141" s="37">
        <v>45819</v>
      </c>
      <c r="B141" s="21">
        <v>2692.1365000000001</v>
      </c>
      <c r="C141" s="21">
        <v>6186.5122000000001</v>
      </c>
      <c r="D141" s="21">
        <v>3782.4438</v>
      </c>
      <c r="E141" s="21">
        <v>6613.0407999999998</v>
      </c>
      <c r="F141" s="19">
        <f t="shared" si="10"/>
        <v>45819</v>
      </c>
      <c r="G141" s="20">
        <f t="shared" si="11"/>
        <v>2.2979935081300669</v>
      </c>
      <c r="H141" s="20">
        <f t="shared" si="8"/>
        <v>2.2557234688737289</v>
      </c>
      <c r="I141" s="20">
        <f t="shared" si="12"/>
        <v>0.57196740718732597</v>
      </c>
      <c r="J141" s="22">
        <f t="shared" si="9"/>
        <v>0.57789833870346896</v>
      </c>
    </row>
    <row r="142" spans="1:10" x14ac:dyDescent="0.3">
      <c r="A142" s="37">
        <v>45820</v>
      </c>
      <c r="B142" s="21">
        <v>2691.2752</v>
      </c>
      <c r="C142" s="21">
        <v>6192.22</v>
      </c>
      <c r="D142" s="21">
        <v>3778.6496999999999</v>
      </c>
      <c r="E142" s="21">
        <v>6609.6072000000004</v>
      </c>
      <c r="F142" s="19">
        <f t="shared" si="10"/>
        <v>45820</v>
      </c>
      <c r="G142" s="20">
        <f t="shared" si="11"/>
        <v>2.3008497978950646</v>
      </c>
      <c r="H142" s="20">
        <f t="shared" si="8"/>
        <v>2.2589131870379364</v>
      </c>
      <c r="I142" s="20">
        <f t="shared" si="12"/>
        <v>0.57169050832551738</v>
      </c>
      <c r="J142" s="22">
        <f t="shared" si="9"/>
        <v>0.57708790677131128</v>
      </c>
    </row>
    <row r="143" spans="1:10" x14ac:dyDescent="0.3">
      <c r="A143" s="37">
        <v>45821</v>
      </c>
      <c r="B143" s="21">
        <v>2676.4328</v>
      </c>
      <c r="C143" s="21">
        <v>6106.0083000000004</v>
      </c>
      <c r="D143" s="21">
        <v>3744.8780000000002</v>
      </c>
      <c r="E143" s="21">
        <v>6570.7413999999999</v>
      </c>
      <c r="F143" s="19">
        <f t="shared" si="10"/>
        <v>45821</v>
      </c>
      <c r="G143" s="20">
        <f t="shared" si="11"/>
        <v>2.2813979487921388</v>
      </c>
      <c r="H143" s="20">
        <f t="shared" si="8"/>
        <v>2.2624652396274074</v>
      </c>
      <c r="I143" s="20">
        <f t="shared" si="12"/>
        <v>0.56993233670708765</v>
      </c>
      <c r="J143" s="22">
        <f t="shared" si="9"/>
        <v>0.57638726215849057</v>
      </c>
    </row>
    <row r="144" spans="1:10" x14ac:dyDescent="0.3">
      <c r="A144" s="37">
        <v>45824</v>
      </c>
      <c r="B144" s="21">
        <v>2685.0092</v>
      </c>
      <c r="C144" s="21">
        <v>6147.46</v>
      </c>
      <c r="D144" s="21">
        <v>3740.8778000000002</v>
      </c>
      <c r="E144" s="21">
        <v>6597.1562000000004</v>
      </c>
      <c r="F144" s="19">
        <f t="shared" si="10"/>
        <v>45824</v>
      </c>
      <c r="G144" s="20">
        <f t="shared" si="11"/>
        <v>2.2895489520110397</v>
      </c>
      <c r="H144" s="20">
        <f t="shared" si="8"/>
        <v>2.2652593613903451</v>
      </c>
      <c r="I144" s="20">
        <f t="shared" si="12"/>
        <v>0.56704399389543025</v>
      </c>
      <c r="J144" s="22">
        <f t="shared" si="9"/>
        <v>0.57540551290627573</v>
      </c>
    </row>
    <row r="145" spans="1:10" x14ac:dyDescent="0.3">
      <c r="A145" s="37">
        <v>45825</v>
      </c>
      <c r="B145" s="21">
        <v>2683.9528</v>
      </c>
      <c r="C145" s="21">
        <v>6141.4683999999997</v>
      </c>
      <c r="D145" s="21">
        <v>3736.5189999999998</v>
      </c>
      <c r="E145" s="21">
        <v>6606.2619999999997</v>
      </c>
      <c r="F145" s="19">
        <f t="shared" si="10"/>
        <v>45825</v>
      </c>
      <c r="G145" s="20">
        <f t="shared" si="11"/>
        <v>2.2882177361688325</v>
      </c>
      <c r="H145" s="20">
        <f t="shared" si="8"/>
        <v>2.2670059652126926</v>
      </c>
      <c r="I145" s="20">
        <f t="shared" si="12"/>
        <v>0.56560260552790664</v>
      </c>
      <c r="J145" s="22">
        <f t="shared" si="9"/>
        <v>0.57448795390315111</v>
      </c>
    </row>
    <row r="146" spans="1:10" x14ac:dyDescent="0.3">
      <c r="A146" s="37">
        <v>45826</v>
      </c>
      <c r="B146" s="21">
        <v>2679.9218000000001</v>
      </c>
      <c r="C146" s="21">
        <v>6135.3858</v>
      </c>
      <c r="D146" s="21">
        <v>3746.0709000000002</v>
      </c>
      <c r="E146" s="21">
        <v>6600.0167000000001</v>
      </c>
      <c r="F146" s="19">
        <f t="shared" si="10"/>
        <v>45826</v>
      </c>
      <c r="G146" s="20">
        <f t="shared" si="11"/>
        <v>2.2893898620474671</v>
      </c>
      <c r="H146" s="20">
        <f t="shared" si="8"/>
        <v>2.2683570366415022</v>
      </c>
      <c r="I146" s="20">
        <f t="shared" si="12"/>
        <v>0.56758506383779306</v>
      </c>
      <c r="J146" s="22">
        <f t="shared" si="9"/>
        <v>0.57364672711264464</v>
      </c>
    </row>
    <row r="147" spans="1:10" x14ac:dyDescent="0.3">
      <c r="A147" s="37">
        <v>45827</v>
      </c>
      <c r="B147" s="21">
        <v>2665.5196999999998</v>
      </c>
      <c r="C147" s="21">
        <v>6048.2242999999999</v>
      </c>
      <c r="D147" s="21">
        <v>3718.7381999999998</v>
      </c>
      <c r="E147" s="21">
        <v>6550.5936000000002</v>
      </c>
      <c r="F147" s="19">
        <f t="shared" si="10"/>
        <v>45827</v>
      </c>
      <c r="G147" s="20">
        <f t="shared" si="11"/>
        <v>2.2690600635966036</v>
      </c>
      <c r="H147" s="20">
        <f t="shared" si="8"/>
        <v>2.2694342515372297</v>
      </c>
      <c r="I147" s="20">
        <f t="shared" si="12"/>
        <v>0.56769484218956889</v>
      </c>
      <c r="J147" s="22">
        <f t="shared" si="9"/>
        <v>0.57276893976879162</v>
      </c>
    </row>
    <row r="148" spans="1:10" x14ac:dyDescent="0.3">
      <c r="A148" s="37">
        <v>45828</v>
      </c>
      <c r="B148" s="21">
        <v>2673.7190999999998</v>
      </c>
      <c r="C148" s="21">
        <v>5999.5914000000002</v>
      </c>
      <c r="D148" s="21">
        <v>3710.4146000000001</v>
      </c>
      <c r="E148" s="21">
        <v>6579.9952999999996</v>
      </c>
      <c r="F148" s="19">
        <f t="shared" si="10"/>
        <v>45828</v>
      </c>
      <c r="G148" s="20">
        <f t="shared" si="11"/>
        <v>2.2439123840645792</v>
      </c>
      <c r="H148" s="20">
        <f t="shared" si="8"/>
        <v>2.2706767059713711</v>
      </c>
      <c r="I148" s="20">
        <f t="shared" si="12"/>
        <v>0.56389319913344016</v>
      </c>
      <c r="J148" s="22">
        <f t="shared" si="9"/>
        <v>0.57191997023187802</v>
      </c>
    </row>
    <row r="149" spans="1:10" x14ac:dyDescent="0.3">
      <c r="A149" s="37">
        <v>45831</v>
      </c>
      <c r="B149" s="21">
        <v>2684.7761</v>
      </c>
      <c r="C149" s="21">
        <v>6078.2223999999997</v>
      </c>
      <c r="D149" s="21">
        <v>3713.7222000000002</v>
      </c>
      <c r="E149" s="21">
        <v>6611.2615999999998</v>
      </c>
      <c r="F149" s="19">
        <f t="shared" si="10"/>
        <v>45831</v>
      </c>
      <c r="G149" s="20">
        <f t="shared" si="11"/>
        <v>2.2639587710870934</v>
      </c>
      <c r="H149" s="20">
        <f t="shared" si="8"/>
        <v>2.2734395190742078</v>
      </c>
      <c r="I149" s="20">
        <f t="shared" si="12"/>
        <v>0.5617267058378087</v>
      </c>
      <c r="J149" s="22">
        <f t="shared" si="9"/>
        <v>0.57091690654981675</v>
      </c>
    </row>
    <row r="150" spans="1:10" x14ac:dyDescent="0.3">
      <c r="A150" s="37">
        <v>45832</v>
      </c>
      <c r="B150" s="21">
        <v>2715.9216000000001</v>
      </c>
      <c r="C150" s="21">
        <v>6194.6660000000002</v>
      </c>
      <c r="D150" s="21">
        <v>3761.7555000000002</v>
      </c>
      <c r="E150" s="21">
        <v>6670.0200999999997</v>
      </c>
      <c r="F150" s="19">
        <f t="shared" si="10"/>
        <v>45832</v>
      </c>
      <c r="G150" s="20">
        <f t="shared" si="11"/>
        <v>2.2808706996549533</v>
      </c>
      <c r="H150" s="20">
        <f t="shared" si="8"/>
        <v>2.2758149824601603</v>
      </c>
      <c r="I150" s="20">
        <f t="shared" si="12"/>
        <v>0.56397963478400914</v>
      </c>
      <c r="J150" s="22">
        <f t="shared" si="9"/>
        <v>0.57010579971880193</v>
      </c>
    </row>
    <row r="151" spans="1:10" x14ac:dyDescent="0.3">
      <c r="A151" s="37">
        <v>45833</v>
      </c>
      <c r="B151" s="21">
        <v>2747.7278000000001</v>
      </c>
      <c r="C151" s="21">
        <v>6276.1634000000004</v>
      </c>
      <c r="D151" s="21">
        <v>3805.1264999999999</v>
      </c>
      <c r="E151" s="21">
        <v>6736.0501999999997</v>
      </c>
      <c r="F151" s="19">
        <f t="shared" si="10"/>
        <v>45833</v>
      </c>
      <c r="G151" s="20">
        <f t="shared" si="11"/>
        <v>2.2841285079257125</v>
      </c>
      <c r="H151" s="20">
        <f t="shared" ref="H151:H214" si="13">AVERAGE(G132:G151)</f>
        <v>2.2781437411897301</v>
      </c>
      <c r="I151" s="20">
        <f t="shared" si="12"/>
        <v>0.56488986676494779</v>
      </c>
      <c r="J151" s="22">
        <f t="shared" ref="J151:J214" si="14">AVERAGE(I132:I151)</f>
        <v>0.56957718986235084</v>
      </c>
    </row>
    <row r="152" spans="1:10" x14ac:dyDescent="0.3">
      <c r="A152" s="37">
        <v>45834</v>
      </c>
      <c r="B152" s="21">
        <v>2738.4657000000002</v>
      </c>
      <c r="C152" s="21">
        <v>6247.7910000000002</v>
      </c>
      <c r="D152" s="21">
        <v>3783.0538000000001</v>
      </c>
      <c r="E152" s="21">
        <v>6734.2497999999996</v>
      </c>
      <c r="F152" s="19">
        <f t="shared" si="10"/>
        <v>45834</v>
      </c>
      <c r="G152" s="20">
        <f t="shared" si="11"/>
        <v>2.2814932463824542</v>
      </c>
      <c r="H152" s="20">
        <f t="shared" si="13"/>
        <v>2.2806955628955059</v>
      </c>
      <c r="I152" s="20">
        <f t="shared" si="12"/>
        <v>0.56176321228832349</v>
      </c>
      <c r="J152" s="22">
        <f t="shared" si="14"/>
        <v>0.56900489819505218</v>
      </c>
    </row>
    <row r="153" spans="1:10" x14ac:dyDescent="0.3">
      <c r="A153" s="37">
        <v>45835</v>
      </c>
      <c r="B153" s="21">
        <v>2707.5688</v>
      </c>
      <c r="C153" s="21">
        <v>6276.9372999999996</v>
      </c>
      <c r="D153" s="21">
        <v>3791.4472000000001</v>
      </c>
      <c r="E153" s="21">
        <v>6661.2402000000002</v>
      </c>
      <c r="F153" s="19">
        <f t="shared" si="10"/>
        <v>45835</v>
      </c>
      <c r="G153" s="20">
        <f t="shared" si="11"/>
        <v>2.3182928167882566</v>
      </c>
      <c r="H153" s="20">
        <f t="shared" si="13"/>
        <v>2.2834585714475502</v>
      </c>
      <c r="I153" s="20">
        <f t="shared" si="12"/>
        <v>0.56918037575044955</v>
      </c>
      <c r="J153" s="22">
        <f t="shared" si="14"/>
        <v>0.5685982967624883</v>
      </c>
    </row>
    <row r="154" spans="1:10" x14ac:dyDescent="0.3">
      <c r="A154" s="37">
        <v>45838</v>
      </c>
      <c r="B154" s="21">
        <v>2711.9852999999998</v>
      </c>
      <c r="C154" s="21">
        <v>6356.1813000000002</v>
      </c>
      <c r="D154" s="21">
        <v>3828.2565</v>
      </c>
      <c r="E154" s="21">
        <v>6645.3478999999998</v>
      </c>
      <c r="F154" s="19">
        <f t="shared" si="10"/>
        <v>45838</v>
      </c>
      <c r="G154" s="20">
        <f t="shared" si="11"/>
        <v>2.3437373720277912</v>
      </c>
      <c r="H154" s="20">
        <f t="shared" si="13"/>
        <v>2.2881548583460178</v>
      </c>
      <c r="I154" s="20">
        <f t="shared" si="12"/>
        <v>0.57608067442187638</v>
      </c>
      <c r="J154" s="22">
        <f t="shared" si="14"/>
        <v>0.56885334597874371</v>
      </c>
    </row>
    <row r="155" spans="1:10" x14ac:dyDescent="0.3">
      <c r="A155" s="37">
        <v>45839</v>
      </c>
      <c r="B155" s="21">
        <v>2717.7127999999998</v>
      </c>
      <c r="C155" s="21">
        <v>6373.7678999999998</v>
      </c>
      <c r="D155" s="21">
        <v>3832.5812000000001</v>
      </c>
      <c r="E155" s="21">
        <v>6687.8407999999999</v>
      </c>
      <c r="F155" s="19">
        <f t="shared" si="10"/>
        <v>45839</v>
      </c>
      <c r="G155" s="20">
        <f t="shared" si="11"/>
        <v>2.3452691174726041</v>
      </c>
      <c r="H155" s="20">
        <f t="shared" si="13"/>
        <v>2.2924788241150966</v>
      </c>
      <c r="I155" s="20">
        <f t="shared" si="12"/>
        <v>0.57306705028026383</v>
      </c>
      <c r="J155" s="22">
        <f t="shared" si="14"/>
        <v>0.56903799422023871</v>
      </c>
    </row>
    <row r="156" spans="1:10" x14ac:dyDescent="0.3">
      <c r="A156" s="37">
        <v>45840</v>
      </c>
      <c r="B156" s="21">
        <v>2722.5522000000001</v>
      </c>
      <c r="C156" s="21">
        <v>6309.4836999999998</v>
      </c>
      <c r="D156" s="21">
        <v>3820.3254000000002</v>
      </c>
      <c r="E156" s="21">
        <v>6726.2793000000001</v>
      </c>
      <c r="F156" s="19">
        <f t="shared" si="10"/>
        <v>45840</v>
      </c>
      <c r="G156" s="20">
        <f t="shared" si="11"/>
        <v>2.3174886049935055</v>
      </c>
      <c r="H156" s="20">
        <f t="shared" si="13"/>
        <v>2.2945745137758751</v>
      </c>
      <c r="I156" s="20">
        <f t="shared" si="12"/>
        <v>0.56797008117102721</v>
      </c>
      <c r="J156" s="22">
        <f t="shared" si="14"/>
        <v>0.56888065328871495</v>
      </c>
    </row>
    <row r="157" spans="1:10" x14ac:dyDescent="0.3">
      <c r="A157" s="37">
        <v>45841</v>
      </c>
      <c r="B157" s="21">
        <v>2724.5488</v>
      </c>
      <c r="C157" s="21">
        <v>6342.6379999999999</v>
      </c>
      <c r="D157" s="21">
        <v>3857.4549999999999</v>
      </c>
      <c r="E157" s="21">
        <v>6734.0334000000003</v>
      </c>
      <c r="F157" s="19">
        <f t="shared" si="10"/>
        <v>45841</v>
      </c>
      <c r="G157" s="20">
        <f t="shared" si="11"/>
        <v>2.3279590367403218</v>
      </c>
      <c r="H157" s="20">
        <f t="shared" si="13"/>
        <v>2.2964345740923262</v>
      </c>
      <c r="I157" s="20">
        <f t="shared" si="12"/>
        <v>0.5728297991512783</v>
      </c>
      <c r="J157" s="22">
        <f t="shared" si="14"/>
        <v>0.56875216549374263</v>
      </c>
    </row>
    <row r="158" spans="1:10" x14ac:dyDescent="0.3">
      <c r="A158" s="37">
        <v>45842</v>
      </c>
      <c r="B158" s="21">
        <v>2740.444</v>
      </c>
      <c r="C158" s="21">
        <v>6312.1966000000002</v>
      </c>
      <c r="D158" s="21">
        <v>3848.7365</v>
      </c>
      <c r="E158" s="21">
        <v>6780.6886999999997</v>
      </c>
      <c r="F158" s="19">
        <f t="shared" si="10"/>
        <v>45842</v>
      </c>
      <c r="G158" s="20">
        <f t="shared" si="11"/>
        <v>2.3033481435854921</v>
      </c>
      <c r="H158" s="20">
        <f t="shared" si="13"/>
        <v>2.2971879439566205</v>
      </c>
      <c r="I158" s="20">
        <f t="shared" si="12"/>
        <v>0.56760259470398633</v>
      </c>
      <c r="J158" s="22">
        <f t="shared" si="14"/>
        <v>0.56842113169756203</v>
      </c>
    </row>
    <row r="159" spans="1:10" x14ac:dyDescent="0.3">
      <c r="A159" s="37">
        <v>45845</v>
      </c>
      <c r="B159" s="21">
        <v>2731.5324000000001</v>
      </c>
      <c r="C159" s="21">
        <v>6327.1390000000001</v>
      </c>
      <c r="D159" s="21">
        <v>3821.8687</v>
      </c>
      <c r="E159" s="21">
        <v>6778.9877999999999</v>
      </c>
      <c r="F159" s="19">
        <f t="shared" si="10"/>
        <v>45845</v>
      </c>
      <c r="G159" s="20">
        <f t="shared" si="11"/>
        <v>2.3163331322740306</v>
      </c>
      <c r="H159" s="20">
        <f t="shared" si="13"/>
        <v>2.2972739950785521</v>
      </c>
      <c r="I159" s="20">
        <f t="shared" si="12"/>
        <v>0.56378161648262592</v>
      </c>
      <c r="J159" s="22">
        <f t="shared" si="14"/>
        <v>0.56792033581212986</v>
      </c>
    </row>
    <row r="160" spans="1:10" x14ac:dyDescent="0.3">
      <c r="A160" s="37">
        <v>45846</v>
      </c>
      <c r="B160" s="21">
        <v>2747.1875</v>
      </c>
      <c r="C160" s="21">
        <v>6407.6976000000004</v>
      </c>
      <c r="D160" s="21">
        <v>3868.6667000000002</v>
      </c>
      <c r="E160" s="21">
        <v>6800.5501999999997</v>
      </c>
      <c r="F160" s="19">
        <f t="shared" si="10"/>
        <v>45846</v>
      </c>
      <c r="G160" s="20">
        <f t="shared" si="11"/>
        <v>2.332457322261404</v>
      </c>
      <c r="H160" s="20">
        <f t="shared" si="13"/>
        <v>2.2987853511949714</v>
      </c>
      <c r="I160" s="20">
        <f t="shared" si="12"/>
        <v>0.56887554480518365</v>
      </c>
      <c r="J160" s="22">
        <f t="shared" si="14"/>
        <v>0.56785785566229263</v>
      </c>
    </row>
    <row r="161" spans="1:10" x14ac:dyDescent="0.3">
      <c r="A161" s="37">
        <v>45847</v>
      </c>
      <c r="B161" s="21">
        <v>2739.9202</v>
      </c>
      <c r="C161" s="21">
        <v>6390.4655000000002</v>
      </c>
      <c r="D161" s="21">
        <v>3856.2966000000001</v>
      </c>
      <c r="E161" s="21">
        <v>6792.3913000000002</v>
      </c>
      <c r="F161" s="19">
        <f t="shared" si="10"/>
        <v>45847</v>
      </c>
      <c r="G161" s="20">
        <f t="shared" si="11"/>
        <v>2.3323546065319714</v>
      </c>
      <c r="H161" s="20">
        <f t="shared" si="13"/>
        <v>2.3005034061150664</v>
      </c>
      <c r="I161" s="20">
        <f t="shared" si="12"/>
        <v>0.56773769791501849</v>
      </c>
      <c r="J161" s="22">
        <f t="shared" si="14"/>
        <v>0.56764637019867725</v>
      </c>
    </row>
    <row r="162" spans="1:10" x14ac:dyDescent="0.3">
      <c r="A162" s="37">
        <v>45848</v>
      </c>
      <c r="B162" s="21">
        <v>2756.9349000000002</v>
      </c>
      <c r="C162" s="21">
        <v>6406.5676999999996</v>
      </c>
      <c r="D162" s="21">
        <v>3863.6473000000001</v>
      </c>
      <c r="E162" s="21">
        <v>6846.0784999999996</v>
      </c>
      <c r="F162" s="19">
        <f t="shared" si="10"/>
        <v>45848</v>
      </c>
      <c r="G162" s="20">
        <f t="shared" si="11"/>
        <v>2.3238008630526599</v>
      </c>
      <c r="H162" s="20">
        <f t="shared" si="13"/>
        <v>2.3016509593729459</v>
      </c>
      <c r="I162" s="20">
        <f t="shared" si="12"/>
        <v>0.56435918752611447</v>
      </c>
      <c r="J162" s="22">
        <f t="shared" si="14"/>
        <v>0.56727980415870705</v>
      </c>
    </row>
    <row r="163" spans="1:10" x14ac:dyDescent="0.3">
      <c r="A163" s="37">
        <v>45849</v>
      </c>
      <c r="B163" s="21">
        <v>2756.7725</v>
      </c>
      <c r="C163" s="21">
        <v>6461.0996999999998</v>
      </c>
      <c r="D163" s="21">
        <v>3883.5529000000001</v>
      </c>
      <c r="E163" s="21">
        <v>6810.2768999999998</v>
      </c>
      <c r="F163" s="19">
        <f t="shared" si="10"/>
        <v>45849</v>
      </c>
      <c r="G163" s="20">
        <f t="shared" si="11"/>
        <v>2.3437188596447474</v>
      </c>
      <c r="H163" s="20">
        <f t="shared" si="13"/>
        <v>2.3047670049155764</v>
      </c>
      <c r="I163" s="20">
        <f t="shared" si="12"/>
        <v>0.57024889839648085</v>
      </c>
      <c r="J163" s="22">
        <f t="shared" si="14"/>
        <v>0.5672956322431767</v>
      </c>
    </row>
    <row r="164" spans="1:10" x14ac:dyDescent="0.3">
      <c r="A164" s="37">
        <v>45852</v>
      </c>
      <c r="B164" s="21">
        <v>2757.808</v>
      </c>
      <c r="C164" s="21">
        <v>6462.3050999999996</v>
      </c>
      <c r="D164" s="21">
        <v>3882.1561999999999</v>
      </c>
      <c r="E164" s="21">
        <v>6825.9803000000002</v>
      </c>
      <c r="F164" s="19">
        <f t="shared" si="10"/>
        <v>45852</v>
      </c>
      <c r="G164" s="20">
        <f t="shared" si="11"/>
        <v>2.343275927838341</v>
      </c>
      <c r="H164" s="20">
        <f t="shared" si="13"/>
        <v>2.3074533537069413</v>
      </c>
      <c r="I164" s="20">
        <f t="shared" si="12"/>
        <v>0.56873240609850573</v>
      </c>
      <c r="J164" s="22">
        <f t="shared" si="14"/>
        <v>0.5673800528533306</v>
      </c>
    </row>
    <row r="165" spans="1:10" x14ac:dyDescent="0.3">
      <c r="A165" s="37">
        <v>45853</v>
      </c>
      <c r="B165" s="21">
        <v>2747.2269000000001</v>
      </c>
      <c r="C165" s="21">
        <v>6442.8339999999998</v>
      </c>
      <c r="D165" s="21">
        <v>3897.4497999999999</v>
      </c>
      <c r="E165" s="21">
        <v>6776.4076999999997</v>
      </c>
      <c r="F165" s="19">
        <f t="shared" si="10"/>
        <v>45853</v>
      </c>
      <c r="G165" s="20">
        <f t="shared" si="11"/>
        <v>2.3452136407080171</v>
      </c>
      <c r="H165" s="20">
        <f t="shared" si="13"/>
        <v>2.3103031489339005</v>
      </c>
      <c r="I165" s="20">
        <f t="shared" si="12"/>
        <v>0.57514983934629549</v>
      </c>
      <c r="J165" s="22">
        <f t="shared" si="14"/>
        <v>0.56785741454424987</v>
      </c>
    </row>
    <row r="166" spans="1:10" x14ac:dyDescent="0.3">
      <c r="A166" s="37">
        <v>45854</v>
      </c>
      <c r="B166" s="21">
        <v>2740.9005999999999</v>
      </c>
      <c r="C166" s="21">
        <v>6462.0630000000001</v>
      </c>
      <c r="D166" s="21">
        <v>3892.5655999999999</v>
      </c>
      <c r="E166" s="21">
        <v>6752.0941999999995</v>
      </c>
      <c r="F166" s="19">
        <f t="shared" si="10"/>
        <v>45854</v>
      </c>
      <c r="G166" s="20">
        <f t="shared" si="11"/>
        <v>2.3576422289812333</v>
      </c>
      <c r="H166" s="20">
        <f t="shared" si="13"/>
        <v>2.3137157672805886</v>
      </c>
      <c r="I166" s="20">
        <f t="shared" si="12"/>
        <v>0.57649752576023006</v>
      </c>
      <c r="J166" s="22">
        <f t="shared" si="14"/>
        <v>0.56830303764037171</v>
      </c>
    </row>
    <row r="167" spans="1:10" x14ac:dyDescent="0.3">
      <c r="A167" s="37">
        <v>45855</v>
      </c>
      <c r="B167" s="21">
        <v>2744.2604000000001</v>
      </c>
      <c r="C167" s="21">
        <v>6535.6713</v>
      </c>
      <c r="D167" s="21">
        <v>3930.3809000000001</v>
      </c>
      <c r="E167" s="21">
        <v>6747.7294000000002</v>
      </c>
      <c r="F167" s="19">
        <f t="shared" si="10"/>
        <v>45855</v>
      </c>
      <c r="G167" s="20">
        <f t="shared" si="11"/>
        <v>2.3815784026909399</v>
      </c>
      <c r="H167" s="20">
        <f t="shared" si="13"/>
        <v>2.3193416842353054</v>
      </c>
      <c r="I167" s="20">
        <f t="shared" si="12"/>
        <v>0.58247458767389215</v>
      </c>
      <c r="J167" s="22">
        <f t="shared" si="14"/>
        <v>0.56904202491458789</v>
      </c>
    </row>
    <row r="168" spans="1:10" x14ac:dyDescent="0.3">
      <c r="A168" s="37">
        <v>45856</v>
      </c>
      <c r="B168" s="21">
        <v>2764.5160000000001</v>
      </c>
      <c r="C168" s="21">
        <v>6552.0740999999998</v>
      </c>
      <c r="D168" s="21">
        <v>3955.3436999999999</v>
      </c>
      <c r="E168" s="21">
        <v>6787.2174000000005</v>
      </c>
      <c r="F168" s="19">
        <f t="shared" si="10"/>
        <v>45856</v>
      </c>
      <c r="G168" s="20">
        <f t="shared" si="11"/>
        <v>2.3700619204229598</v>
      </c>
      <c r="H168" s="20">
        <f t="shared" si="13"/>
        <v>2.3256491610532248</v>
      </c>
      <c r="I168" s="20">
        <f t="shared" si="12"/>
        <v>0.58276366688946779</v>
      </c>
      <c r="J168" s="22">
        <f t="shared" si="14"/>
        <v>0.56998554830238912</v>
      </c>
    </row>
    <row r="169" spans="1:10" x14ac:dyDescent="0.3">
      <c r="A169" s="37">
        <v>45859</v>
      </c>
      <c r="B169" s="21">
        <v>2772.2384999999999</v>
      </c>
      <c r="C169" s="21">
        <v>6612.2588999999998</v>
      </c>
      <c r="D169" s="21">
        <v>3993.4587000000001</v>
      </c>
      <c r="E169" s="21">
        <v>6840.9802</v>
      </c>
      <c r="F169" s="19">
        <f t="shared" si="10"/>
        <v>45859</v>
      </c>
      <c r="G169" s="20">
        <f t="shared" si="11"/>
        <v>2.38516956603842</v>
      </c>
      <c r="H169" s="20">
        <f t="shared" si="13"/>
        <v>2.3317097008007912</v>
      </c>
      <c r="I169" s="20">
        <f t="shared" si="12"/>
        <v>0.58375533669867952</v>
      </c>
      <c r="J169" s="22">
        <f t="shared" si="14"/>
        <v>0.57108697984543277</v>
      </c>
    </row>
    <row r="170" spans="1:10" x14ac:dyDescent="0.3">
      <c r="A170" s="37">
        <v>45860</v>
      </c>
      <c r="B170" s="21">
        <v>2792.1822999999999</v>
      </c>
      <c r="C170" s="21">
        <v>6637.1035000000002</v>
      </c>
      <c r="D170" s="21">
        <v>4041.5207999999998</v>
      </c>
      <c r="E170" s="21">
        <v>6902.4637000000002</v>
      </c>
      <c r="F170" s="19">
        <f t="shared" si="10"/>
        <v>45860</v>
      </c>
      <c r="G170" s="20">
        <f t="shared" si="11"/>
        <v>2.3770308622040903</v>
      </c>
      <c r="H170" s="20">
        <f t="shared" si="13"/>
        <v>2.3365177089282478</v>
      </c>
      <c r="I170" s="20">
        <f t="shared" si="12"/>
        <v>0.58551858809485657</v>
      </c>
      <c r="J170" s="22">
        <f t="shared" si="14"/>
        <v>0.57216392751097522</v>
      </c>
    </row>
    <row r="171" spans="1:10" x14ac:dyDescent="0.3">
      <c r="A171" s="37">
        <v>45861</v>
      </c>
      <c r="B171" s="21">
        <v>2801.2002000000002</v>
      </c>
      <c r="C171" s="21">
        <v>6607.22</v>
      </c>
      <c r="D171" s="21">
        <v>4037.1439</v>
      </c>
      <c r="E171" s="21">
        <v>6903.3828999999996</v>
      </c>
      <c r="F171" s="19">
        <f t="shared" si="10"/>
        <v>45861</v>
      </c>
      <c r="G171" s="20">
        <f t="shared" si="11"/>
        <v>2.3587103842131669</v>
      </c>
      <c r="H171" s="20">
        <f t="shared" si="13"/>
        <v>2.3402468027426204</v>
      </c>
      <c r="I171" s="20">
        <f t="shared" si="12"/>
        <v>0.58480660257161754</v>
      </c>
      <c r="J171" s="22">
        <f t="shared" si="14"/>
        <v>0.57315976430130877</v>
      </c>
    </row>
    <row r="172" spans="1:10" x14ac:dyDescent="0.3">
      <c r="A172" s="37">
        <v>45862</v>
      </c>
      <c r="B172" s="21">
        <v>2812.4427999999998</v>
      </c>
      <c r="C172" s="21">
        <v>6701.12</v>
      </c>
      <c r="D172" s="21">
        <v>4079.2035999999998</v>
      </c>
      <c r="E172" s="21">
        <v>6921.8568999999998</v>
      </c>
      <c r="F172" s="19">
        <f t="shared" si="10"/>
        <v>45862</v>
      </c>
      <c r="G172" s="20">
        <f t="shared" si="11"/>
        <v>2.3826689026351042</v>
      </c>
      <c r="H172" s="20">
        <f t="shared" si="13"/>
        <v>2.3453055855552529</v>
      </c>
      <c r="I172" s="20">
        <f t="shared" si="12"/>
        <v>0.58932215140130961</v>
      </c>
      <c r="J172" s="22">
        <f t="shared" si="14"/>
        <v>0.57453771125695796</v>
      </c>
    </row>
    <row r="173" spans="1:10" x14ac:dyDescent="0.3">
      <c r="A173" s="37">
        <v>45863</v>
      </c>
      <c r="B173" s="21">
        <v>2795.5127000000002</v>
      </c>
      <c r="C173" s="21">
        <v>6706.6098000000002</v>
      </c>
      <c r="D173" s="21">
        <v>4065.7163</v>
      </c>
      <c r="E173" s="21">
        <v>6877.1176999999998</v>
      </c>
      <c r="F173" s="19">
        <f t="shared" si="10"/>
        <v>45863</v>
      </c>
      <c r="G173" s="20">
        <f t="shared" si="11"/>
        <v>2.3990625404778165</v>
      </c>
      <c r="H173" s="20">
        <f t="shared" si="13"/>
        <v>2.3493440717397309</v>
      </c>
      <c r="I173" s="20">
        <f t="shared" si="12"/>
        <v>0.59119481116340356</v>
      </c>
      <c r="J173" s="22">
        <f t="shared" si="14"/>
        <v>0.57563843302760564</v>
      </c>
    </row>
    <row r="174" spans="1:10" x14ac:dyDescent="0.3">
      <c r="A174" s="37">
        <v>45866</v>
      </c>
      <c r="B174" s="21">
        <v>2802.7674000000002</v>
      </c>
      <c r="C174" s="21">
        <v>6729.9790000000003</v>
      </c>
      <c r="D174" s="21">
        <v>4063.5038</v>
      </c>
      <c r="E174" s="21">
        <v>6870.7201999999997</v>
      </c>
      <c r="F174" s="19">
        <f t="shared" si="10"/>
        <v>45866</v>
      </c>
      <c r="G174" s="20">
        <f t="shared" si="11"/>
        <v>2.4011906945970614</v>
      </c>
      <c r="H174" s="20">
        <f t="shared" si="13"/>
        <v>2.3522167378681944</v>
      </c>
      <c r="I174" s="20">
        <f t="shared" si="12"/>
        <v>0.59142326884450924</v>
      </c>
      <c r="J174" s="22">
        <f t="shared" si="14"/>
        <v>0.57640556274873733</v>
      </c>
    </row>
    <row r="175" spans="1:10" x14ac:dyDescent="0.3">
      <c r="A175" s="37">
        <v>45867</v>
      </c>
      <c r="B175" s="21">
        <v>2808.5916999999999</v>
      </c>
      <c r="C175" s="21">
        <v>6773.8842999999997</v>
      </c>
      <c r="D175" s="21">
        <v>4096.2857000000004</v>
      </c>
      <c r="E175" s="21">
        <v>6848.4634999999998</v>
      </c>
      <c r="F175" s="19">
        <f t="shared" si="10"/>
        <v>45867</v>
      </c>
      <c r="G175" s="20">
        <f t="shared" si="11"/>
        <v>2.4118437364890024</v>
      </c>
      <c r="H175" s="20">
        <f t="shared" si="13"/>
        <v>2.3555454688190141</v>
      </c>
      <c r="I175" s="20">
        <f t="shared" si="12"/>
        <v>0.59813207736304652</v>
      </c>
      <c r="J175" s="22">
        <f t="shared" si="14"/>
        <v>0.57765881410287645</v>
      </c>
    </row>
    <row r="176" spans="1:10" x14ac:dyDescent="0.3">
      <c r="A176" s="37">
        <v>45868</v>
      </c>
      <c r="B176" s="21">
        <v>2819.3508000000002</v>
      </c>
      <c r="C176" s="21">
        <v>6718.4818999999998</v>
      </c>
      <c r="D176" s="21">
        <v>4077.2575999999999</v>
      </c>
      <c r="E176" s="21">
        <v>6889.4704000000002</v>
      </c>
      <c r="F176" s="19">
        <f t="shared" si="10"/>
        <v>45868</v>
      </c>
      <c r="G176" s="20">
        <f t="shared" si="11"/>
        <v>2.3829889845563028</v>
      </c>
      <c r="H176" s="20">
        <f t="shared" si="13"/>
        <v>2.3588204877971544</v>
      </c>
      <c r="I176" s="20">
        <f t="shared" si="12"/>
        <v>0.59181001779178843</v>
      </c>
      <c r="J176" s="22">
        <f t="shared" si="14"/>
        <v>0.57885081093391455</v>
      </c>
    </row>
    <row r="177" spans="1:10" x14ac:dyDescent="0.3">
      <c r="A177" s="37">
        <v>45869</v>
      </c>
      <c r="B177" s="21">
        <v>2775.9935</v>
      </c>
      <c r="C177" s="21">
        <v>6661.1862000000001</v>
      </c>
      <c r="D177" s="21">
        <v>3993.9479999999999</v>
      </c>
      <c r="E177" s="21">
        <v>6767.2692999999999</v>
      </c>
      <c r="F177" s="19">
        <f t="shared" si="10"/>
        <v>45869</v>
      </c>
      <c r="G177" s="20">
        <f t="shared" si="11"/>
        <v>2.3995683707472657</v>
      </c>
      <c r="H177" s="20">
        <f t="shared" si="13"/>
        <v>2.3624009544975015</v>
      </c>
      <c r="I177" s="20">
        <f t="shared" si="12"/>
        <v>0.59018605924253675</v>
      </c>
      <c r="J177" s="22">
        <f t="shared" si="14"/>
        <v>0.57971862393847751</v>
      </c>
    </row>
    <row r="178" spans="1:10" x14ac:dyDescent="0.3">
      <c r="A178" s="37">
        <v>45870</v>
      </c>
      <c r="B178" s="21">
        <v>2754.1302000000001</v>
      </c>
      <c r="C178" s="21">
        <v>6670.4719999999998</v>
      </c>
      <c r="D178" s="21">
        <v>3977.7053999999998</v>
      </c>
      <c r="E178" s="21">
        <v>6759.0168999999996</v>
      </c>
      <c r="F178" s="19">
        <f t="shared" si="10"/>
        <v>45870</v>
      </c>
      <c r="G178" s="20">
        <f t="shared" si="11"/>
        <v>2.4219886191291899</v>
      </c>
      <c r="H178" s="20">
        <f t="shared" si="13"/>
        <v>2.3683329782746867</v>
      </c>
      <c r="I178" s="20">
        <f t="shared" si="12"/>
        <v>0.58850354405830829</v>
      </c>
      <c r="J178" s="22">
        <f t="shared" si="14"/>
        <v>0.58076367140619367</v>
      </c>
    </row>
    <row r="179" spans="1:10" x14ac:dyDescent="0.3">
      <c r="A179" s="37">
        <v>45873</v>
      </c>
      <c r="B179" s="21">
        <v>2769.3933999999999</v>
      </c>
      <c r="C179" s="21">
        <v>6739.6935999999996</v>
      </c>
      <c r="D179" s="21">
        <v>4002.5437999999999</v>
      </c>
      <c r="E179" s="21">
        <v>6782.8428000000004</v>
      </c>
      <c r="F179" s="19">
        <f t="shared" si="10"/>
        <v>45873</v>
      </c>
      <c r="G179" s="20">
        <f t="shared" si="11"/>
        <v>2.4336353224500353</v>
      </c>
      <c r="H179" s="20">
        <f t="shared" si="13"/>
        <v>2.374198087783487</v>
      </c>
      <c r="I179" s="20">
        <f t="shared" si="12"/>
        <v>0.59009826971074719</v>
      </c>
      <c r="J179" s="22">
        <f t="shared" si="14"/>
        <v>0.58207950406759967</v>
      </c>
    </row>
    <row r="180" spans="1:10" x14ac:dyDescent="0.3">
      <c r="A180" s="37">
        <v>45874</v>
      </c>
      <c r="B180" s="21">
        <v>2790.7287000000001</v>
      </c>
      <c r="C180" s="21">
        <v>6787.4805999999999</v>
      </c>
      <c r="D180" s="21">
        <v>4022.8908000000001</v>
      </c>
      <c r="E180" s="21">
        <v>6851.7281999999996</v>
      </c>
      <c r="F180" s="19">
        <f t="shared" si="10"/>
        <v>45874</v>
      </c>
      <c r="G180" s="20">
        <f t="shared" si="11"/>
        <v>2.4321535088666986</v>
      </c>
      <c r="H180" s="20">
        <f t="shared" si="13"/>
        <v>2.3791828971137514</v>
      </c>
      <c r="I180" s="20">
        <f t="shared" si="12"/>
        <v>0.58713519897067723</v>
      </c>
      <c r="J180" s="22">
        <f t="shared" si="14"/>
        <v>0.58299248677587434</v>
      </c>
    </row>
    <row r="181" spans="1:10" x14ac:dyDescent="0.3">
      <c r="A181" s="37">
        <v>45875</v>
      </c>
      <c r="B181" s="21">
        <v>2797.4234000000001</v>
      </c>
      <c r="C181" s="21">
        <v>6861.3091000000004</v>
      </c>
      <c r="D181" s="21">
        <v>4048.8706000000002</v>
      </c>
      <c r="E181" s="21">
        <v>6868.3409000000001</v>
      </c>
      <c r="F181" s="19">
        <f t="shared" si="10"/>
        <v>45875</v>
      </c>
      <c r="G181" s="20">
        <f t="shared" si="11"/>
        <v>2.4527245679005905</v>
      </c>
      <c r="H181" s="20">
        <f t="shared" si="13"/>
        <v>2.3852013951821824</v>
      </c>
      <c r="I181" s="20">
        <f t="shared" si="12"/>
        <v>0.58949761797641698</v>
      </c>
      <c r="J181" s="22">
        <f t="shared" si="14"/>
        <v>0.58408048277894431</v>
      </c>
    </row>
    <row r="182" spans="1:10" x14ac:dyDescent="0.3">
      <c r="A182" s="37">
        <v>45876</v>
      </c>
      <c r="B182" s="21">
        <v>2798.3110999999999</v>
      </c>
      <c r="C182" s="21">
        <v>6862.1496999999999</v>
      </c>
      <c r="D182" s="21">
        <v>4042.9317999999998</v>
      </c>
      <c r="E182" s="21">
        <v>6873.4691999999995</v>
      </c>
      <c r="F182" s="19">
        <f t="shared" si="10"/>
        <v>45876</v>
      </c>
      <c r="G182" s="20">
        <f t="shared" si="11"/>
        <v>2.452246892777576</v>
      </c>
      <c r="H182" s="20">
        <f t="shared" si="13"/>
        <v>2.3916236966684279</v>
      </c>
      <c r="I182" s="20">
        <f t="shared" si="12"/>
        <v>0.58819377556823849</v>
      </c>
      <c r="J182" s="22">
        <f t="shared" si="14"/>
        <v>0.58527221218105052</v>
      </c>
    </row>
    <row r="183" spans="1:10" x14ac:dyDescent="0.3">
      <c r="A183" s="37">
        <v>45877</v>
      </c>
      <c r="B183" s="21">
        <v>2789.1743999999999</v>
      </c>
      <c r="C183" s="21">
        <v>6838.1298999999999</v>
      </c>
      <c r="D183" s="21">
        <v>4036.4103</v>
      </c>
      <c r="E183" s="21">
        <v>6878.3420999999998</v>
      </c>
      <c r="F183" s="19">
        <f t="shared" si="10"/>
        <v>45877</v>
      </c>
      <c r="G183" s="20">
        <f t="shared" si="11"/>
        <v>2.4516680993486819</v>
      </c>
      <c r="H183" s="20">
        <f t="shared" si="13"/>
        <v>2.3970211586536245</v>
      </c>
      <c r="I183" s="20">
        <f t="shared" si="12"/>
        <v>0.5868289540294892</v>
      </c>
      <c r="J183" s="22">
        <f t="shared" si="14"/>
        <v>0.58610121496270084</v>
      </c>
    </row>
    <row r="184" spans="1:10" x14ac:dyDescent="0.3">
      <c r="A184" s="37">
        <v>45880</v>
      </c>
      <c r="B184" s="21">
        <v>2789.8959</v>
      </c>
      <c r="C184" s="21">
        <v>6943.9366</v>
      </c>
      <c r="D184" s="21">
        <v>4076.5799000000002</v>
      </c>
      <c r="E184" s="21">
        <v>6864.3152</v>
      </c>
      <c r="F184" s="19">
        <f t="shared" si="10"/>
        <v>45880</v>
      </c>
      <c r="G184" s="20">
        <f t="shared" si="11"/>
        <v>2.4889590324857642</v>
      </c>
      <c r="H184" s="20">
        <f t="shared" si="13"/>
        <v>2.4043053138859958</v>
      </c>
      <c r="I184" s="20">
        <f t="shared" si="12"/>
        <v>0.59388005667338817</v>
      </c>
      <c r="J184" s="22">
        <f t="shared" si="14"/>
        <v>0.58735859749144503</v>
      </c>
    </row>
    <row r="185" spans="1:10" x14ac:dyDescent="0.3">
      <c r="A185" s="37">
        <v>45881</v>
      </c>
      <c r="B185" s="21">
        <v>2807.0124000000001</v>
      </c>
      <c r="C185" s="21">
        <v>6963.6109999999999</v>
      </c>
      <c r="D185" s="21">
        <v>4094.6271000000002</v>
      </c>
      <c r="E185" s="21">
        <v>6884.2705999999998</v>
      </c>
      <c r="F185" s="19">
        <f t="shared" si="10"/>
        <v>45881</v>
      </c>
      <c r="G185" s="20">
        <f t="shared" si="11"/>
        <v>2.4807909647994428</v>
      </c>
      <c r="H185" s="20">
        <f t="shared" si="13"/>
        <v>2.4110841800905667</v>
      </c>
      <c r="I185" s="20">
        <f t="shared" si="12"/>
        <v>0.59478009188075787</v>
      </c>
      <c r="J185" s="22">
        <f t="shared" si="14"/>
        <v>0.58834011011816789</v>
      </c>
    </row>
    <row r="186" spans="1:10" x14ac:dyDescent="0.3">
      <c r="A186" s="37">
        <v>45882</v>
      </c>
      <c r="B186" s="21">
        <v>2812.9803999999999</v>
      </c>
      <c r="C186" s="21">
        <v>7064.3338999999996</v>
      </c>
      <c r="D186" s="21">
        <v>4155.9116999999997</v>
      </c>
      <c r="E186" s="21">
        <v>6877.1067000000003</v>
      </c>
      <c r="F186" s="19">
        <f t="shared" si="10"/>
        <v>45882</v>
      </c>
      <c r="G186" s="20">
        <f t="shared" si="11"/>
        <v>2.5113342062390482</v>
      </c>
      <c r="H186" s="20">
        <f t="shared" si="13"/>
        <v>2.4187687789534573</v>
      </c>
      <c r="I186" s="20">
        <f t="shared" si="12"/>
        <v>0.60431106878129426</v>
      </c>
      <c r="J186" s="22">
        <f t="shared" si="14"/>
        <v>0.58973078726922123</v>
      </c>
    </row>
    <row r="187" spans="1:10" x14ac:dyDescent="0.3">
      <c r="A187" s="37">
        <v>45883</v>
      </c>
      <c r="B187" s="21">
        <v>2829.4703</v>
      </c>
      <c r="C187" s="21">
        <v>6976.4875000000002</v>
      </c>
      <c r="D187" s="21">
        <v>4137.1392999999998</v>
      </c>
      <c r="E187" s="21">
        <v>6866.0275000000001</v>
      </c>
      <c r="F187" s="19">
        <f t="shared" si="10"/>
        <v>45883</v>
      </c>
      <c r="G187" s="20">
        <f t="shared" si="11"/>
        <v>2.4656514330615171</v>
      </c>
      <c r="H187" s="20">
        <f t="shared" si="13"/>
        <v>2.4229724304719866</v>
      </c>
      <c r="I187" s="20">
        <f t="shared" si="12"/>
        <v>0.60255210163373218</v>
      </c>
      <c r="J187" s="22">
        <f t="shared" si="14"/>
        <v>0.59073466296721322</v>
      </c>
    </row>
    <row r="188" spans="1:10" x14ac:dyDescent="0.3">
      <c r="A188" s="37">
        <v>45884</v>
      </c>
      <c r="B188" s="21">
        <v>2832.8759</v>
      </c>
      <c r="C188" s="21">
        <v>7117.5009</v>
      </c>
      <c r="D188" s="21">
        <v>4187.6562000000004</v>
      </c>
      <c r="E188" s="21">
        <v>6885.4504999999999</v>
      </c>
      <c r="F188" s="19">
        <f t="shared" si="10"/>
        <v>45884</v>
      </c>
      <c r="G188" s="20">
        <f t="shared" si="11"/>
        <v>2.5124647712241823</v>
      </c>
      <c r="H188" s="20">
        <f t="shared" si="13"/>
        <v>2.4300925730120473</v>
      </c>
      <c r="I188" s="20">
        <f t="shared" si="12"/>
        <v>0.60818913737016922</v>
      </c>
      <c r="J188" s="22">
        <f t="shared" si="14"/>
        <v>0.59200593649124822</v>
      </c>
    </row>
    <row r="189" spans="1:10" x14ac:dyDescent="0.3">
      <c r="A189" s="37">
        <v>45887</v>
      </c>
      <c r="B189" s="21">
        <v>2838.8726000000001</v>
      </c>
      <c r="C189" s="21">
        <v>7237.6018000000004</v>
      </c>
      <c r="D189" s="21">
        <v>4235.1994999999997</v>
      </c>
      <c r="E189" s="21">
        <v>6895.5519000000004</v>
      </c>
      <c r="F189" s="19">
        <f t="shared" si="10"/>
        <v>45887</v>
      </c>
      <c r="G189" s="20">
        <f t="shared" si="11"/>
        <v>2.5494634031833625</v>
      </c>
      <c r="H189" s="20">
        <f t="shared" si="13"/>
        <v>2.4383072648692954</v>
      </c>
      <c r="I189" s="20">
        <f t="shared" si="12"/>
        <v>0.61419296981870286</v>
      </c>
      <c r="J189" s="22">
        <f t="shared" si="14"/>
        <v>0.59352781814724953</v>
      </c>
    </row>
    <row r="190" spans="1:10" x14ac:dyDescent="0.3">
      <c r="A190" s="37">
        <v>45888</v>
      </c>
      <c r="B190" s="21">
        <v>2812.4225000000001</v>
      </c>
      <c r="C190" s="21">
        <v>7242.8494000000001</v>
      </c>
      <c r="D190" s="21">
        <v>4221.3444</v>
      </c>
      <c r="E190" s="21">
        <v>6875.8584000000001</v>
      </c>
      <c r="F190" s="19">
        <f t="shared" si="10"/>
        <v>45888</v>
      </c>
      <c r="G190" s="20">
        <f t="shared" si="11"/>
        <v>2.5753063062182155</v>
      </c>
      <c r="H190" s="20">
        <f t="shared" si="13"/>
        <v>2.4482210370700015</v>
      </c>
      <c r="I190" s="20">
        <f t="shared" si="12"/>
        <v>0.61393707584205048</v>
      </c>
      <c r="J190" s="22">
        <f t="shared" si="14"/>
        <v>0.59494874253460917</v>
      </c>
    </row>
    <row r="191" spans="1:10" x14ac:dyDescent="0.3">
      <c r="A191" s="37">
        <v>45889</v>
      </c>
      <c r="B191" s="21">
        <v>2846.9906999999998</v>
      </c>
      <c r="C191" s="21">
        <v>7305.4612999999999</v>
      </c>
      <c r="D191" s="21">
        <v>4274.0736999999999</v>
      </c>
      <c r="E191" s="21">
        <v>6936.7789000000002</v>
      </c>
      <c r="F191" s="19">
        <f t="shared" si="10"/>
        <v>45889</v>
      </c>
      <c r="G191" s="20">
        <f t="shared" si="11"/>
        <v>2.5660292111245746</v>
      </c>
      <c r="H191" s="20">
        <f t="shared" si="13"/>
        <v>2.4585869784155712</v>
      </c>
      <c r="I191" s="20">
        <f t="shared" si="12"/>
        <v>0.61614673923079766</v>
      </c>
      <c r="J191" s="22">
        <f t="shared" si="14"/>
        <v>0.59651574936756824</v>
      </c>
    </row>
    <row r="192" spans="1:10" x14ac:dyDescent="0.3">
      <c r="A192" s="37">
        <v>45890</v>
      </c>
      <c r="B192" s="21">
        <v>2862.1763999999998</v>
      </c>
      <c r="C192" s="21">
        <v>7253.3428999999996</v>
      </c>
      <c r="D192" s="21">
        <v>4282.0299000000005</v>
      </c>
      <c r="E192" s="21">
        <v>6966.8951999999999</v>
      </c>
      <c r="F192" s="19">
        <f t="shared" si="10"/>
        <v>45890</v>
      </c>
      <c r="G192" s="20">
        <f t="shared" si="11"/>
        <v>2.5342054039716069</v>
      </c>
      <c r="H192" s="20">
        <f t="shared" si="13"/>
        <v>2.4661638034823961</v>
      </c>
      <c r="I192" s="20">
        <f t="shared" si="12"/>
        <v>0.6146252781296323</v>
      </c>
      <c r="J192" s="22">
        <f t="shared" si="14"/>
        <v>0.59778090570398434</v>
      </c>
    </row>
    <row r="193" spans="1:10" x14ac:dyDescent="0.3">
      <c r="A193" s="37">
        <v>45891</v>
      </c>
      <c r="B193" s="21">
        <v>2928.6134999999999</v>
      </c>
      <c r="C193" s="21">
        <v>7362.9395999999997</v>
      </c>
      <c r="D193" s="21">
        <v>4379.8777</v>
      </c>
      <c r="E193" s="21">
        <v>7000.5429000000004</v>
      </c>
      <c r="F193" s="19">
        <f t="shared" si="10"/>
        <v>45891</v>
      </c>
      <c r="G193" s="20">
        <f t="shared" si="11"/>
        <v>2.5141383798169339</v>
      </c>
      <c r="H193" s="20">
        <f t="shared" si="13"/>
        <v>2.4719175954493524</v>
      </c>
      <c r="I193" s="20">
        <f t="shared" si="12"/>
        <v>0.62564829079184703</v>
      </c>
      <c r="J193" s="22">
        <f t="shared" si="14"/>
        <v>0.59950357968540657</v>
      </c>
    </row>
    <row r="194" spans="1:10" x14ac:dyDescent="0.3">
      <c r="A194" s="37">
        <v>45894</v>
      </c>
      <c r="B194" s="21">
        <v>2989.8548999999998</v>
      </c>
      <c r="C194" s="21">
        <v>7477.7280000000001</v>
      </c>
      <c r="D194" s="21">
        <v>4488.5621000000001</v>
      </c>
      <c r="E194" s="21">
        <v>7091.3780999999999</v>
      </c>
      <c r="F194" s="19">
        <f t="shared" si="10"/>
        <v>45894</v>
      </c>
      <c r="G194" s="20">
        <f t="shared" si="11"/>
        <v>2.5010337458182339</v>
      </c>
      <c r="H194" s="20">
        <f t="shared" si="13"/>
        <v>2.476909748010411</v>
      </c>
      <c r="I194" s="20">
        <f t="shared" si="12"/>
        <v>0.63296048196894195</v>
      </c>
      <c r="J194" s="22">
        <f t="shared" si="14"/>
        <v>0.60158044034162816</v>
      </c>
    </row>
    <row r="195" spans="1:10" x14ac:dyDescent="0.3">
      <c r="A195" s="37">
        <v>45895</v>
      </c>
      <c r="B195" s="21">
        <v>2969.7761999999998</v>
      </c>
      <c r="C195" s="21">
        <v>7476.4672</v>
      </c>
      <c r="D195" s="21">
        <v>4496.7691999999997</v>
      </c>
      <c r="E195" s="21">
        <v>7082.7722000000003</v>
      </c>
      <c r="F195" s="19">
        <f t="shared" si="10"/>
        <v>45895</v>
      </c>
      <c r="G195" s="20">
        <f t="shared" si="11"/>
        <v>2.5175187275054602</v>
      </c>
      <c r="H195" s="20">
        <f t="shared" si="13"/>
        <v>2.4821934975612336</v>
      </c>
      <c r="I195" s="20">
        <f t="shared" si="12"/>
        <v>0.63488829981006578</v>
      </c>
      <c r="J195" s="22">
        <f t="shared" si="14"/>
        <v>0.6034182514639792</v>
      </c>
    </row>
    <row r="196" spans="1:10" x14ac:dyDescent="0.3">
      <c r="A196" s="37">
        <v>45896</v>
      </c>
      <c r="B196" s="21">
        <v>2918.3789000000002</v>
      </c>
      <c r="C196" s="21">
        <v>7336.5036</v>
      </c>
      <c r="D196" s="21">
        <v>4447.634</v>
      </c>
      <c r="E196" s="21">
        <v>6932.848</v>
      </c>
      <c r="F196" s="19">
        <f t="shared" si="10"/>
        <v>45896</v>
      </c>
      <c r="G196" s="20">
        <f t="shared" si="11"/>
        <v>2.5138968761047442</v>
      </c>
      <c r="H196" s="20">
        <f t="shared" si="13"/>
        <v>2.488738892138656</v>
      </c>
      <c r="I196" s="20">
        <f t="shared" si="12"/>
        <v>0.64153058021753828</v>
      </c>
      <c r="J196" s="22">
        <f t="shared" si="14"/>
        <v>0.60590427958526649</v>
      </c>
    </row>
    <row r="197" spans="1:10" x14ac:dyDescent="0.3">
      <c r="A197" s="37">
        <v>45897</v>
      </c>
      <c r="B197" s="21">
        <v>2960.7266</v>
      </c>
      <c r="C197" s="21">
        <v>7447.1100999999999</v>
      </c>
      <c r="D197" s="21">
        <v>4545.4501</v>
      </c>
      <c r="E197" s="21">
        <v>6967.951</v>
      </c>
      <c r="F197" s="19">
        <f t="shared" ref="F197:F260" si="15">A197</f>
        <v>45897</v>
      </c>
      <c r="G197" s="20">
        <f t="shared" ref="G197:G260" si="16">C197/B197</f>
        <v>2.5152981366128166</v>
      </c>
      <c r="H197" s="20">
        <f t="shared" si="13"/>
        <v>2.4945253804319334</v>
      </c>
      <c r="I197" s="20">
        <f t="shared" ref="I197:I260" si="17">D197/E197</f>
        <v>0.65233669123103766</v>
      </c>
      <c r="J197" s="22">
        <f t="shared" si="14"/>
        <v>0.6090118111846915</v>
      </c>
    </row>
    <row r="198" spans="1:10" x14ac:dyDescent="0.3">
      <c r="A198" s="37">
        <v>45898</v>
      </c>
      <c r="B198" s="21">
        <v>2976.4731999999999</v>
      </c>
      <c r="C198" s="21">
        <v>7438.6767</v>
      </c>
      <c r="D198" s="21">
        <v>4619.2993999999999</v>
      </c>
      <c r="E198" s="21">
        <v>6963.4519</v>
      </c>
      <c r="F198" s="19">
        <f t="shared" si="15"/>
        <v>45898</v>
      </c>
      <c r="G198" s="20">
        <f t="shared" si="16"/>
        <v>2.4991579631894552</v>
      </c>
      <c r="H198" s="20">
        <f t="shared" si="13"/>
        <v>2.4983838476349471</v>
      </c>
      <c r="I198" s="20">
        <f t="shared" si="17"/>
        <v>0.66336343904378803</v>
      </c>
      <c r="J198" s="22">
        <f t="shared" si="14"/>
        <v>0.6127548059339657</v>
      </c>
    </row>
    <row r="199" spans="1:10" x14ac:dyDescent="0.3">
      <c r="A199" s="37">
        <v>45901</v>
      </c>
      <c r="B199" s="21">
        <v>2981.2024000000001</v>
      </c>
      <c r="C199" s="21">
        <v>7501.1482999999998</v>
      </c>
      <c r="D199" s="21">
        <v>4694.4633999999996</v>
      </c>
      <c r="E199" s="21">
        <v>6939.9825000000001</v>
      </c>
      <c r="F199" s="19">
        <f t="shared" si="15"/>
        <v>45901</v>
      </c>
      <c r="G199" s="20">
        <f t="shared" si="16"/>
        <v>2.516148618423224</v>
      </c>
      <c r="H199" s="20">
        <f t="shared" si="13"/>
        <v>2.5025095124336061</v>
      </c>
      <c r="I199" s="20">
        <f t="shared" si="17"/>
        <v>0.67643735412877481</v>
      </c>
      <c r="J199" s="22">
        <f t="shared" si="14"/>
        <v>0.61707176015486687</v>
      </c>
    </row>
    <row r="200" spans="1:10" x14ac:dyDescent="0.3">
      <c r="A200" s="37">
        <v>45902</v>
      </c>
      <c r="B200" s="21">
        <v>2992.8809999999999</v>
      </c>
      <c r="C200" s="21">
        <v>7313.8824000000004</v>
      </c>
      <c r="D200" s="21">
        <v>4618.8234000000002</v>
      </c>
      <c r="E200" s="21">
        <v>6967.3447999999999</v>
      </c>
      <c r="F200" s="19">
        <f t="shared" si="15"/>
        <v>45902</v>
      </c>
      <c r="G200" s="20">
        <f t="shared" si="16"/>
        <v>2.4437598421053162</v>
      </c>
      <c r="H200" s="20">
        <f t="shared" si="13"/>
        <v>2.5030898290955372</v>
      </c>
      <c r="I200" s="20">
        <f t="shared" si="17"/>
        <v>0.6629244759065176</v>
      </c>
      <c r="J200" s="22">
        <f t="shared" si="14"/>
        <v>0.620861224001659</v>
      </c>
    </row>
    <row r="201" spans="1:10" x14ac:dyDescent="0.3">
      <c r="A201" s="37">
        <v>45903</v>
      </c>
      <c r="B201" s="21">
        <v>2960.9933000000001</v>
      </c>
      <c r="C201" s="21">
        <v>7206.8757999999998</v>
      </c>
      <c r="D201" s="21">
        <v>4618.0515999999998</v>
      </c>
      <c r="E201" s="21">
        <v>6888.3491999999997</v>
      </c>
      <c r="F201" s="19">
        <f t="shared" si="15"/>
        <v>45903</v>
      </c>
      <c r="G201" s="20">
        <f t="shared" si="16"/>
        <v>2.4339385705465797</v>
      </c>
      <c r="H201" s="20">
        <f t="shared" si="13"/>
        <v>2.502150529227837</v>
      </c>
      <c r="I201" s="20">
        <f t="shared" si="17"/>
        <v>0.67041485062923345</v>
      </c>
      <c r="J201" s="22">
        <f t="shared" si="14"/>
        <v>0.62490708563429986</v>
      </c>
    </row>
    <row r="202" spans="1:10" x14ac:dyDescent="0.3">
      <c r="A202" s="37">
        <v>45904</v>
      </c>
      <c r="B202" s="21">
        <v>2910.47</v>
      </c>
      <c r="C202" s="21">
        <v>7041.1544000000004</v>
      </c>
      <c r="D202" s="21">
        <v>4476.0468000000001</v>
      </c>
      <c r="E202" s="21">
        <v>6863.9709000000003</v>
      </c>
      <c r="F202" s="19">
        <f t="shared" si="15"/>
        <v>45904</v>
      </c>
      <c r="G202" s="20">
        <f t="shared" si="16"/>
        <v>2.4192499493209003</v>
      </c>
      <c r="H202" s="20">
        <f t="shared" si="13"/>
        <v>2.5005006820550029</v>
      </c>
      <c r="I202" s="20">
        <f t="shared" si="17"/>
        <v>0.65210748489624282</v>
      </c>
      <c r="J202" s="22">
        <f t="shared" si="14"/>
        <v>0.62810277110070012</v>
      </c>
    </row>
    <row r="203" spans="1:10" x14ac:dyDescent="0.3">
      <c r="A203" s="37">
        <v>45905</v>
      </c>
      <c r="B203" s="21">
        <v>2942.2161999999998</v>
      </c>
      <c r="C203" s="21">
        <v>7245.6670000000004</v>
      </c>
      <c r="D203" s="21">
        <v>4648.8806999999997</v>
      </c>
      <c r="E203" s="21">
        <v>6903.6882999999998</v>
      </c>
      <c r="F203" s="19">
        <f t="shared" si="15"/>
        <v>45905</v>
      </c>
      <c r="G203" s="20">
        <f t="shared" si="16"/>
        <v>2.4626562113280461</v>
      </c>
      <c r="H203" s="20">
        <f t="shared" si="13"/>
        <v>2.5010500876539714</v>
      </c>
      <c r="I203" s="20">
        <f t="shared" si="17"/>
        <v>0.67339087426644095</v>
      </c>
      <c r="J203" s="22">
        <f t="shared" si="14"/>
        <v>0.6324308671125477</v>
      </c>
    </row>
    <row r="204" spans="1:10" x14ac:dyDescent="0.3">
      <c r="A204" s="37">
        <v>45908</v>
      </c>
      <c r="B204" s="21">
        <v>2939.8823000000002</v>
      </c>
      <c r="C204" s="21">
        <v>7311.0343000000003</v>
      </c>
      <c r="D204" s="21">
        <v>4683.4489999999996</v>
      </c>
      <c r="E204" s="21">
        <v>6935.8942999999999</v>
      </c>
      <c r="F204" s="19">
        <f t="shared" si="15"/>
        <v>45908</v>
      </c>
      <c r="G204" s="20">
        <f t="shared" si="16"/>
        <v>2.486845918967572</v>
      </c>
      <c r="H204" s="20">
        <f t="shared" si="13"/>
        <v>2.5009444319780618</v>
      </c>
      <c r="I204" s="20">
        <f t="shared" si="17"/>
        <v>0.67524803542637601</v>
      </c>
      <c r="J204" s="22">
        <f t="shared" si="14"/>
        <v>0.63649926605019713</v>
      </c>
    </row>
    <row r="205" spans="1:10" x14ac:dyDescent="0.3">
      <c r="A205" s="37">
        <v>45909</v>
      </c>
      <c r="B205" s="21">
        <v>2928.6323000000002</v>
      </c>
      <c r="C205" s="21">
        <v>7226.0276999999996</v>
      </c>
      <c r="D205" s="21">
        <v>4630.3825999999999</v>
      </c>
      <c r="E205" s="21">
        <v>6948.7876999999999</v>
      </c>
      <c r="F205" s="19">
        <f t="shared" si="15"/>
        <v>45909</v>
      </c>
      <c r="G205" s="20">
        <f t="shared" si="16"/>
        <v>2.4673728074364267</v>
      </c>
      <c r="H205" s="20">
        <f t="shared" si="13"/>
        <v>2.500273524109911</v>
      </c>
      <c r="I205" s="20">
        <f t="shared" si="17"/>
        <v>0.66635833470635464</v>
      </c>
      <c r="J205" s="22">
        <f t="shared" si="14"/>
        <v>0.64007817819147683</v>
      </c>
    </row>
    <row r="206" spans="1:10" x14ac:dyDescent="0.3">
      <c r="A206" s="37">
        <v>45910</v>
      </c>
      <c r="B206" s="21">
        <v>2939.5911000000001</v>
      </c>
      <c r="C206" s="21">
        <v>7230.1678000000002</v>
      </c>
      <c r="D206" s="21">
        <v>4637.1872000000003</v>
      </c>
      <c r="E206" s="21">
        <v>6929.5060000000003</v>
      </c>
      <c r="F206" s="19">
        <f t="shared" si="15"/>
        <v>45910</v>
      </c>
      <c r="G206" s="20">
        <f t="shared" si="16"/>
        <v>2.4595828310951138</v>
      </c>
      <c r="H206" s="20">
        <f t="shared" si="13"/>
        <v>2.497685955352714</v>
      </c>
      <c r="I206" s="20">
        <f t="shared" si="17"/>
        <v>0.66919448514800339</v>
      </c>
      <c r="J206" s="22">
        <f t="shared" si="14"/>
        <v>0.64332234900981244</v>
      </c>
    </row>
    <row r="207" spans="1:10" x14ac:dyDescent="0.3">
      <c r="A207" s="37">
        <v>45911</v>
      </c>
      <c r="B207" s="21">
        <v>2983.0828999999999</v>
      </c>
      <c r="C207" s="21">
        <v>7399.8854000000001</v>
      </c>
      <c r="D207" s="21">
        <v>4773.9470000000001</v>
      </c>
      <c r="E207" s="21">
        <v>6994.0658000000003</v>
      </c>
      <c r="F207" s="19">
        <f t="shared" si="15"/>
        <v>45911</v>
      </c>
      <c r="G207" s="20">
        <f t="shared" si="16"/>
        <v>2.4806167471913034</v>
      </c>
      <c r="H207" s="20">
        <f t="shared" si="13"/>
        <v>2.4984342210592034</v>
      </c>
      <c r="I207" s="20">
        <f t="shared" si="17"/>
        <v>0.68257107332333078</v>
      </c>
      <c r="J207" s="22">
        <f t="shared" si="14"/>
        <v>0.6473232975942923</v>
      </c>
    </row>
    <row r="208" spans="1:10" x14ac:dyDescent="0.3">
      <c r="A208" s="37">
        <v>45912</v>
      </c>
      <c r="B208" s="21">
        <v>2968.5396999999998</v>
      </c>
      <c r="C208" s="21">
        <v>7422.8843999999999</v>
      </c>
      <c r="D208" s="21">
        <v>4751.8496999999998</v>
      </c>
      <c r="E208" s="21">
        <v>6942.9471999999996</v>
      </c>
      <c r="F208" s="19">
        <f t="shared" si="15"/>
        <v>45912</v>
      </c>
      <c r="G208" s="20">
        <f t="shared" si="16"/>
        <v>2.5005171397909889</v>
      </c>
      <c r="H208" s="20">
        <f t="shared" si="13"/>
        <v>2.4978368394875434</v>
      </c>
      <c r="I208" s="20">
        <f t="shared" si="17"/>
        <v>0.68441391863098133</v>
      </c>
      <c r="J208" s="22">
        <f t="shared" si="14"/>
        <v>0.65113453665733301</v>
      </c>
    </row>
    <row r="209" spans="1:10" x14ac:dyDescent="0.3">
      <c r="A209" s="37">
        <v>45915</v>
      </c>
      <c r="B209" s="21">
        <v>2962.6154000000001</v>
      </c>
      <c r="C209" s="21">
        <v>7415.5711000000001</v>
      </c>
      <c r="D209" s="21">
        <v>4790.8788000000004</v>
      </c>
      <c r="E209" s="21">
        <v>6920.5726000000004</v>
      </c>
      <c r="F209" s="19">
        <f t="shared" si="15"/>
        <v>45915</v>
      </c>
      <c r="G209" s="20">
        <f t="shared" si="16"/>
        <v>2.5030488601389163</v>
      </c>
      <c r="H209" s="20">
        <f t="shared" si="13"/>
        <v>2.4955161123353213</v>
      </c>
      <c r="I209" s="20">
        <f t="shared" si="17"/>
        <v>0.69226624398102554</v>
      </c>
      <c r="J209" s="22">
        <f t="shared" si="14"/>
        <v>0.65503820036544902</v>
      </c>
    </row>
    <row r="210" spans="1:10" x14ac:dyDescent="0.3">
      <c r="A210" s="37">
        <v>45916</v>
      </c>
      <c r="B210" s="21">
        <v>2947.8222000000001</v>
      </c>
      <c r="C210" s="21">
        <v>7483.6282000000001</v>
      </c>
      <c r="D210" s="21">
        <v>4800.9993000000004</v>
      </c>
      <c r="E210" s="21">
        <v>6879.3642</v>
      </c>
      <c r="F210" s="19">
        <f t="shared" si="15"/>
        <v>45916</v>
      </c>
      <c r="G210" s="20">
        <f t="shared" si="16"/>
        <v>2.538697279639186</v>
      </c>
      <c r="H210" s="20">
        <f t="shared" si="13"/>
        <v>2.4936856610063698</v>
      </c>
      <c r="I210" s="20">
        <f t="shared" si="17"/>
        <v>0.69788415912040247</v>
      </c>
      <c r="J210" s="22">
        <f t="shared" si="14"/>
        <v>0.65923555452936666</v>
      </c>
    </row>
    <row r="211" spans="1:10" x14ac:dyDescent="0.3">
      <c r="A211" s="37">
        <v>45917</v>
      </c>
      <c r="B211" s="21">
        <v>2952.7777999999998</v>
      </c>
      <c r="C211" s="21">
        <v>7554.8125</v>
      </c>
      <c r="D211" s="21">
        <v>4853.9517999999998</v>
      </c>
      <c r="E211" s="21">
        <v>6905.5282999999999</v>
      </c>
      <c r="F211" s="19">
        <f t="shared" si="15"/>
        <v>45917</v>
      </c>
      <c r="G211" s="20">
        <f t="shared" si="16"/>
        <v>2.5585441952320287</v>
      </c>
      <c r="H211" s="20">
        <f t="shared" si="13"/>
        <v>2.4933114102117426</v>
      </c>
      <c r="I211" s="20">
        <f t="shared" si="17"/>
        <v>0.70290810335249798</v>
      </c>
      <c r="J211" s="22">
        <f t="shared" si="14"/>
        <v>0.66357362273545173</v>
      </c>
    </row>
    <row r="212" spans="1:10" x14ac:dyDescent="0.3">
      <c r="A212" s="37">
        <v>45918</v>
      </c>
      <c r="B212" s="21">
        <v>2912.8256000000001</v>
      </c>
      <c r="C212" s="21">
        <v>7476.402</v>
      </c>
      <c r="D212" s="21">
        <v>4814.5873000000001</v>
      </c>
      <c r="E212" s="21">
        <v>6784.5878000000002</v>
      </c>
      <c r="F212" s="19">
        <f t="shared" si="15"/>
        <v>45918</v>
      </c>
      <c r="G212" s="20">
        <f t="shared" si="16"/>
        <v>2.5667180348868124</v>
      </c>
      <c r="H212" s="20">
        <f t="shared" si="13"/>
        <v>2.494937041757503</v>
      </c>
      <c r="I212" s="20">
        <f t="shared" si="17"/>
        <v>0.70963593396197189</v>
      </c>
      <c r="J212" s="22">
        <f t="shared" si="14"/>
        <v>0.66832415552706859</v>
      </c>
    </row>
    <row r="213" spans="1:10" x14ac:dyDescent="0.3">
      <c r="A213" s="37">
        <v>45919</v>
      </c>
      <c r="B213" s="21">
        <v>2909.7442000000001</v>
      </c>
      <c r="C213" s="21">
        <v>7438.1886999999997</v>
      </c>
      <c r="D213" s="21">
        <v>4822.5028000000002</v>
      </c>
      <c r="E213" s="21">
        <v>6799.8179</v>
      </c>
      <c r="F213" s="19">
        <f t="shared" si="15"/>
        <v>45919</v>
      </c>
      <c r="G213" s="20">
        <f t="shared" si="16"/>
        <v>2.5563032997883455</v>
      </c>
      <c r="H213" s="20">
        <f t="shared" si="13"/>
        <v>2.497045287756074</v>
      </c>
      <c r="I213" s="20">
        <f t="shared" si="17"/>
        <v>0.70921058047745666</v>
      </c>
      <c r="J213" s="22">
        <f t="shared" si="14"/>
        <v>0.6725022700113491</v>
      </c>
    </row>
    <row r="214" spans="1:10" x14ac:dyDescent="0.3">
      <c r="A214" s="37">
        <v>45922</v>
      </c>
      <c r="B214" s="21">
        <v>2922.1795000000002</v>
      </c>
      <c r="C214" s="21">
        <v>7489.4784</v>
      </c>
      <c r="D214" s="21">
        <v>4853.1395000000002</v>
      </c>
      <c r="E214" s="21">
        <v>6757.4902000000002</v>
      </c>
      <c r="F214" s="19">
        <f t="shared" si="15"/>
        <v>45922</v>
      </c>
      <c r="G214" s="20">
        <f t="shared" si="16"/>
        <v>2.5629768465626426</v>
      </c>
      <c r="H214" s="20">
        <f t="shared" si="13"/>
        <v>2.5001424427932939</v>
      </c>
      <c r="I214" s="20">
        <f t="shared" si="17"/>
        <v>0.71818668712238753</v>
      </c>
      <c r="J214" s="22">
        <f t="shared" si="14"/>
        <v>0.67676358026902139</v>
      </c>
    </row>
    <row r="215" spans="1:10" x14ac:dyDescent="0.3">
      <c r="A215" s="37">
        <v>45923</v>
      </c>
      <c r="B215" s="21">
        <v>2919.5147999999999</v>
      </c>
      <c r="C215" s="21">
        <v>7408.0690999999997</v>
      </c>
      <c r="D215" s="21">
        <v>4862.3242</v>
      </c>
      <c r="E215" s="21">
        <v>6772.1354000000001</v>
      </c>
      <c r="F215" s="19">
        <f t="shared" si="15"/>
        <v>45923</v>
      </c>
      <c r="G215" s="20">
        <f t="shared" si="16"/>
        <v>2.5374315965104888</v>
      </c>
      <c r="H215" s="20">
        <f t="shared" ref="H215:H278" si="18">AVERAGE(G196:G215)</f>
        <v>2.5011380862435453</v>
      </c>
      <c r="I215" s="20">
        <f t="shared" si="17"/>
        <v>0.71798980865031137</v>
      </c>
      <c r="J215" s="22">
        <f t="shared" ref="J215:J278" si="19">AVERAGE(I196:I215)</f>
        <v>0.68091865571103372</v>
      </c>
    </row>
    <row r="216" spans="1:10" x14ac:dyDescent="0.3">
      <c r="A216" s="37">
        <v>45924</v>
      </c>
      <c r="B216" s="21">
        <v>2939.5077999999999</v>
      </c>
      <c r="C216" s="21">
        <v>7534.2223000000004</v>
      </c>
      <c r="D216" s="21">
        <v>4957.6226999999999</v>
      </c>
      <c r="E216" s="21">
        <v>6803.2919000000002</v>
      </c>
      <c r="F216" s="19">
        <f t="shared" si="15"/>
        <v>45924</v>
      </c>
      <c r="G216" s="20">
        <f t="shared" si="16"/>
        <v>2.5630897458411237</v>
      </c>
      <c r="H216" s="20">
        <f t="shared" si="18"/>
        <v>2.5035977297303647</v>
      </c>
      <c r="I216" s="20">
        <f t="shared" si="17"/>
        <v>0.72870939140506374</v>
      </c>
      <c r="J216" s="22">
        <f t="shared" si="19"/>
        <v>0.68527759627040985</v>
      </c>
    </row>
    <row r="217" spans="1:10" x14ac:dyDescent="0.3">
      <c r="A217" s="37">
        <v>45925</v>
      </c>
      <c r="B217" s="21">
        <v>2952.7352000000001</v>
      </c>
      <c r="C217" s="21">
        <v>7506.5123999999996</v>
      </c>
      <c r="D217" s="21">
        <v>5003.4983000000002</v>
      </c>
      <c r="E217" s="21">
        <v>6774.3049000000001</v>
      </c>
      <c r="F217" s="19">
        <f t="shared" si="15"/>
        <v>45925</v>
      </c>
      <c r="G217" s="20">
        <f t="shared" si="16"/>
        <v>2.5422233595481232</v>
      </c>
      <c r="H217" s="20">
        <f t="shared" si="18"/>
        <v>2.5049439908771296</v>
      </c>
      <c r="I217" s="20">
        <f t="shared" si="17"/>
        <v>0.73859951299210047</v>
      </c>
      <c r="J217" s="22">
        <f t="shared" si="19"/>
        <v>0.68959073735846288</v>
      </c>
    </row>
    <row r="218" spans="1:10" x14ac:dyDescent="0.3">
      <c r="A218" s="37">
        <v>45926</v>
      </c>
      <c r="B218" s="21">
        <v>2941.0183999999999</v>
      </c>
      <c r="C218" s="21">
        <v>7397.5893999999998</v>
      </c>
      <c r="D218" s="21">
        <v>4936.7062999999998</v>
      </c>
      <c r="E218" s="21">
        <v>6782.8490000000002</v>
      </c>
      <c r="F218" s="19">
        <f t="shared" si="15"/>
        <v>45926</v>
      </c>
      <c r="G218" s="20">
        <f t="shared" si="16"/>
        <v>2.5153155791204842</v>
      </c>
      <c r="H218" s="20">
        <f t="shared" si="18"/>
        <v>2.5057518716736813</v>
      </c>
      <c r="I218" s="20">
        <f t="shared" si="17"/>
        <v>0.72782193735995004</v>
      </c>
      <c r="J218" s="22">
        <f t="shared" si="19"/>
        <v>0.69281366227427121</v>
      </c>
    </row>
    <row r="219" spans="1:10" x14ac:dyDescent="0.3">
      <c r="A219" s="37">
        <v>45929</v>
      </c>
      <c r="B219" s="21">
        <v>2973.0417000000002</v>
      </c>
      <c r="C219" s="21">
        <v>7497.8307999999997</v>
      </c>
      <c r="D219" s="21">
        <v>5042.4124000000002</v>
      </c>
      <c r="E219" s="21">
        <v>6830.0370000000003</v>
      </c>
      <c r="F219" s="19">
        <f t="shared" si="15"/>
        <v>45929</v>
      </c>
      <c r="G219" s="20">
        <f t="shared" si="16"/>
        <v>2.5219393323679244</v>
      </c>
      <c r="H219" s="20">
        <f t="shared" si="18"/>
        <v>2.5060414073709163</v>
      </c>
      <c r="I219" s="20">
        <f t="shared" si="17"/>
        <v>0.73827014407096181</v>
      </c>
      <c r="J219" s="22">
        <f t="shared" si="19"/>
        <v>0.69590530177138044</v>
      </c>
    </row>
    <row r="220" spans="1:10" x14ac:dyDescent="0.3">
      <c r="A220" s="37">
        <v>45930</v>
      </c>
      <c r="B220" s="21">
        <v>2988.9386</v>
      </c>
      <c r="C220" s="21">
        <v>7574.9630999999999</v>
      </c>
      <c r="D220" s="21">
        <v>5088.3779999999997</v>
      </c>
      <c r="E220" s="21">
        <v>6820.8764000000001</v>
      </c>
      <c r="F220" s="19">
        <f t="shared" si="15"/>
        <v>45930</v>
      </c>
      <c r="G220" s="20">
        <f t="shared" si="16"/>
        <v>2.5343321204390081</v>
      </c>
      <c r="H220" s="20">
        <f t="shared" si="18"/>
        <v>2.5105700212876005</v>
      </c>
      <c r="I220" s="20">
        <f t="shared" si="17"/>
        <v>0.74600061657765848</v>
      </c>
      <c r="J220" s="22">
        <f t="shared" si="19"/>
        <v>0.70005910880493749</v>
      </c>
    </row>
    <row r="221" spans="1:10" x14ac:dyDescent="0.3">
      <c r="A221" s="37">
        <v>45939</v>
      </c>
      <c r="B221" s="21">
        <v>3020.5963999999999</v>
      </c>
      <c r="C221" s="21">
        <v>7648.0523000000003</v>
      </c>
      <c r="D221" s="21">
        <v>5177.4188000000004</v>
      </c>
      <c r="E221" s="21">
        <v>6900.0016999999998</v>
      </c>
      <c r="F221" s="19">
        <f t="shared" si="15"/>
        <v>45939</v>
      </c>
      <c r="G221" s="20">
        <f t="shared" si="16"/>
        <v>2.531967627320221</v>
      </c>
      <c r="H221" s="20">
        <f t="shared" si="18"/>
        <v>2.5154714741262829</v>
      </c>
      <c r="I221" s="20">
        <f t="shared" si="17"/>
        <v>0.75035036585570702</v>
      </c>
      <c r="J221" s="22">
        <f t="shared" si="19"/>
        <v>0.70405588456626123</v>
      </c>
    </row>
    <row r="222" spans="1:10" x14ac:dyDescent="0.3">
      <c r="A222" s="37">
        <v>45940</v>
      </c>
      <c r="B222" s="21">
        <v>2974.8535000000002</v>
      </c>
      <c r="C222" s="21">
        <v>7533.8200999999999</v>
      </c>
      <c r="D222" s="21">
        <v>5016.6124</v>
      </c>
      <c r="E222" s="21">
        <v>6924.7493000000004</v>
      </c>
      <c r="F222" s="19">
        <f t="shared" si="15"/>
        <v>45940</v>
      </c>
      <c r="G222" s="20">
        <f t="shared" si="16"/>
        <v>2.532501213925324</v>
      </c>
      <c r="H222" s="20">
        <f t="shared" si="18"/>
        <v>2.5211340373565041</v>
      </c>
      <c r="I222" s="20">
        <f t="shared" si="17"/>
        <v>0.72444678971988197</v>
      </c>
      <c r="J222" s="22">
        <f t="shared" si="19"/>
        <v>0.70767284980744338</v>
      </c>
    </row>
    <row r="223" spans="1:10" x14ac:dyDescent="0.3">
      <c r="A223" s="37">
        <v>45943</v>
      </c>
      <c r="B223" s="21">
        <v>2967.2060000000001</v>
      </c>
      <c r="C223" s="21">
        <v>7519.7636000000002</v>
      </c>
      <c r="D223" s="21">
        <v>4986.3811999999998</v>
      </c>
      <c r="E223" s="21">
        <v>6889.7883000000002</v>
      </c>
      <c r="F223" s="19">
        <f t="shared" si="15"/>
        <v>45943</v>
      </c>
      <c r="G223" s="20">
        <f t="shared" si="16"/>
        <v>2.5342910468636153</v>
      </c>
      <c r="H223" s="20">
        <f t="shared" si="18"/>
        <v>2.5247157791332819</v>
      </c>
      <c r="I223" s="20">
        <f t="shared" si="17"/>
        <v>0.72373503841910491</v>
      </c>
      <c r="J223" s="22">
        <f t="shared" si="19"/>
        <v>0.71019005801507651</v>
      </c>
    </row>
    <row r="224" spans="1:10" x14ac:dyDescent="0.3">
      <c r="A224" s="37">
        <v>45944</v>
      </c>
      <c r="B224" s="21">
        <v>2961.1010000000001</v>
      </c>
      <c r="C224" s="21">
        <v>7373.1522000000004</v>
      </c>
      <c r="D224" s="21">
        <v>4853.7469000000001</v>
      </c>
      <c r="E224" s="21">
        <v>6938.3513999999996</v>
      </c>
      <c r="F224" s="19">
        <f t="shared" si="15"/>
        <v>45944</v>
      </c>
      <c r="G224" s="20">
        <f t="shared" si="16"/>
        <v>2.4900036168979041</v>
      </c>
      <c r="H224" s="20">
        <f t="shared" si="18"/>
        <v>2.5248736640297986</v>
      </c>
      <c r="I224" s="20">
        <f t="shared" si="17"/>
        <v>0.69955334058174112</v>
      </c>
      <c r="J224" s="22">
        <f t="shared" si="19"/>
        <v>0.71140532327284478</v>
      </c>
    </row>
    <row r="225" spans="1:10" x14ac:dyDescent="0.3">
      <c r="A225" s="37">
        <v>45945</v>
      </c>
      <c r="B225" s="21">
        <v>3001.3489</v>
      </c>
      <c r="C225" s="21">
        <v>7483.4489999999996</v>
      </c>
      <c r="D225" s="21">
        <v>4938.5878000000002</v>
      </c>
      <c r="E225" s="21">
        <v>6992.6508000000003</v>
      </c>
      <c r="F225" s="19">
        <f t="shared" si="15"/>
        <v>45945</v>
      </c>
      <c r="G225" s="20">
        <f t="shared" si="16"/>
        <v>2.4933619013770776</v>
      </c>
      <c r="H225" s="20">
        <f t="shared" si="18"/>
        <v>2.5261731187268315</v>
      </c>
      <c r="I225" s="20">
        <f t="shared" si="17"/>
        <v>0.70625402887271305</v>
      </c>
      <c r="J225" s="22">
        <f t="shared" si="19"/>
        <v>0.71340010798116271</v>
      </c>
    </row>
    <row r="226" spans="1:10" x14ac:dyDescent="0.3">
      <c r="A226" s="37">
        <v>45946</v>
      </c>
      <c r="B226" s="21">
        <v>3019.1966000000002</v>
      </c>
      <c r="C226" s="21">
        <v>7401.8374999999996</v>
      </c>
      <c r="D226" s="21">
        <v>4930.6844000000001</v>
      </c>
      <c r="E226" s="21">
        <v>7004.1553999999996</v>
      </c>
      <c r="F226" s="19">
        <f t="shared" si="15"/>
        <v>45946</v>
      </c>
      <c r="G226" s="20">
        <f t="shared" si="16"/>
        <v>2.4515917578868494</v>
      </c>
      <c r="H226" s="20">
        <f t="shared" si="18"/>
        <v>2.5257735650664186</v>
      </c>
      <c r="I226" s="20">
        <f t="shared" si="17"/>
        <v>0.70396559162579408</v>
      </c>
      <c r="J226" s="22">
        <f t="shared" si="19"/>
        <v>0.71513866330505216</v>
      </c>
    </row>
    <row r="227" spans="1:10" x14ac:dyDescent="0.3">
      <c r="A227" s="37">
        <v>45947</v>
      </c>
      <c r="B227" s="21">
        <v>2967.7748000000001</v>
      </c>
      <c r="C227" s="21">
        <v>7185.4781000000003</v>
      </c>
      <c r="D227" s="21">
        <v>4785.2040999999999</v>
      </c>
      <c r="E227" s="21">
        <v>6915.9773999999998</v>
      </c>
      <c r="F227" s="19">
        <f t="shared" si="15"/>
        <v>45947</v>
      </c>
      <c r="G227" s="20">
        <f t="shared" si="16"/>
        <v>2.4211668958170276</v>
      </c>
      <c r="H227" s="20">
        <f t="shared" si="18"/>
        <v>2.5228010724977046</v>
      </c>
      <c r="I227" s="20">
        <f t="shared" si="17"/>
        <v>0.69190568783524364</v>
      </c>
      <c r="J227" s="22">
        <f t="shared" si="19"/>
        <v>0.71560539403064782</v>
      </c>
    </row>
    <row r="228" spans="1:10" x14ac:dyDescent="0.3">
      <c r="A228" s="37">
        <v>45950</v>
      </c>
      <c r="B228" s="21">
        <v>2974.8647999999998</v>
      </c>
      <c r="C228" s="21">
        <v>7239.1845000000003</v>
      </c>
      <c r="D228" s="21">
        <v>4824.4705999999996</v>
      </c>
      <c r="E228" s="21">
        <v>6938.0176000000001</v>
      </c>
      <c r="F228" s="19">
        <f t="shared" si="15"/>
        <v>45950</v>
      </c>
      <c r="G228" s="20">
        <f t="shared" si="16"/>
        <v>2.4334499167827732</v>
      </c>
      <c r="H228" s="20">
        <f t="shared" si="18"/>
        <v>2.519447711347294</v>
      </c>
      <c r="I228" s="20">
        <f t="shared" si="17"/>
        <v>0.69536730492006815</v>
      </c>
      <c r="J228" s="22">
        <f t="shared" si="19"/>
        <v>0.7161530633451022</v>
      </c>
    </row>
    <row r="229" spans="1:10" x14ac:dyDescent="0.3">
      <c r="A229" s="37">
        <v>45951</v>
      </c>
      <c r="B229" s="21">
        <v>3007.2633999999998</v>
      </c>
      <c r="C229" s="21">
        <v>7344.0468000000001</v>
      </c>
      <c r="D229" s="21">
        <v>4922.0078999999996</v>
      </c>
      <c r="E229" s="21">
        <v>6982.7421999999997</v>
      </c>
      <c r="F229" s="19">
        <f t="shared" si="15"/>
        <v>45951</v>
      </c>
      <c r="G229" s="20">
        <f t="shared" si="16"/>
        <v>2.4421029431608821</v>
      </c>
      <c r="H229" s="20">
        <f t="shared" si="18"/>
        <v>2.5164004154983921</v>
      </c>
      <c r="I229" s="20">
        <f t="shared" si="17"/>
        <v>0.70488180130722855</v>
      </c>
      <c r="J229" s="22">
        <f t="shared" si="19"/>
        <v>0.71678384121141236</v>
      </c>
    </row>
    <row r="230" spans="1:10" x14ac:dyDescent="0.3">
      <c r="A230" s="37">
        <v>45952</v>
      </c>
      <c r="B230" s="21">
        <v>3010.0951</v>
      </c>
      <c r="C230" s="21">
        <v>7312.21</v>
      </c>
      <c r="D230" s="21">
        <v>4886.3359</v>
      </c>
      <c r="E230" s="21">
        <v>6994.4957999999997</v>
      </c>
      <c r="F230" s="19">
        <f t="shared" si="15"/>
        <v>45952</v>
      </c>
      <c r="G230" s="20">
        <f t="shared" si="16"/>
        <v>2.4292288971202272</v>
      </c>
      <c r="H230" s="20">
        <f t="shared" si="18"/>
        <v>2.5109269963724445</v>
      </c>
      <c r="I230" s="20">
        <f t="shared" si="17"/>
        <v>0.69859730275340226</v>
      </c>
      <c r="J230" s="22">
        <f t="shared" si="19"/>
        <v>0.71681949839306225</v>
      </c>
    </row>
    <row r="231" spans="1:10" x14ac:dyDescent="0.3">
      <c r="A231" s="37">
        <v>45953</v>
      </c>
      <c r="B231" s="21">
        <v>3026.9043999999999</v>
      </c>
      <c r="C231" s="21">
        <v>7308.0991999999997</v>
      </c>
      <c r="D231" s="21">
        <v>4903.4287000000004</v>
      </c>
      <c r="E231" s="21">
        <v>7049.6661000000004</v>
      </c>
      <c r="F231" s="19">
        <f t="shared" si="15"/>
        <v>45953</v>
      </c>
      <c r="G231" s="20">
        <f t="shared" si="16"/>
        <v>2.414380579710413</v>
      </c>
      <c r="H231" s="20">
        <f t="shared" si="18"/>
        <v>2.5037188155963634</v>
      </c>
      <c r="I231" s="20">
        <f t="shared" si="17"/>
        <v>0.69555474407504214</v>
      </c>
      <c r="J231" s="22">
        <f t="shared" si="19"/>
        <v>0.71645183042918947</v>
      </c>
    </row>
    <row r="232" spans="1:10" x14ac:dyDescent="0.3">
      <c r="A232" s="37">
        <v>45954</v>
      </c>
      <c r="B232" s="21">
        <v>3045.8161</v>
      </c>
      <c r="C232" s="21">
        <v>7419.2352000000001</v>
      </c>
      <c r="D232" s="21">
        <v>5001.9683000000005</v>
      </c>
      <c r="E232" s="21">
        <v>7030.9173000000001</v>
      </c>
      <c r="F232" s="19">
        <f t="shared" si="15"/>
        <v>45954</v>
      </c>
      <c r="G232" s="20">
        <f t="shared" si="16"/>
        <v>2.4358775961555921</v>
      </c>
      <c r="H232" s="20">
        <f t="shared" si="18"/>
        <v>2.4971767936598024</v>
      </c>
      <c r="I232" s="20">
        <f t="shared" si="17"/>
        <v>0.71142470983124784</v>
      </c>
      <c r="J232" s="22">
        <f t="shared" si="19"/>
        <v>0.71654126922265327</v>
      </c>
    </row>
    <row r="233" spans="1:10" x14ac:dyDescent="0.3">
      <c r="A233" s="37">
        <v>45957</v>
      </c>
      <c r="B233" s="21">
        <v>3069.5293000000001</v>
      </c>
      <c r="C233" s="21">
        <v>7495.3831</v>
      </c>
      <c r="D233" s="21">
        <v>5074.0735000000004</v>
      </c>
      <c r="E233" s="21">
        <v>7077.1505999999999</v>
      </c>
      <c r="F233" s="19">
        <f t="shared" si="15"/>
        <v>45957</v>
      </c>
      <c r="G233" s="20">
        <f t="shared" si="16"/>
        <v>2.441867259582764</v>
      </c>
      <c r="H233" s="20">
        <f t="shared" si="18"/>
        <v>2.4914549916495234</v>
      </c>
      <c r="I233" s="20">
        <f t="shared" si="17"/>
        <v>0.71696559629520962</v>
      </c>
      <c r="J233" s="22">
        <f t="shared" si="19"/>
        <v>0.71692902001354086</v>
      </c>
    </row>
    <row r="234" spans="1:10" x14ac:dyDescent="0.3">
      <c r="A234" s="37">
        <v>45958</v>
      </c>
      <c r="B234" s="21">
        <v>3050.4162000000001</v>
      </c>
      <c r="C234" s="21">
        <v>7479.2209999999995</v>
      </c>
      <c r="D234" s="21">
        <v>5053.5895</v>
      </c>
      <c r="E234" s="21">
        <v>7033.3055999999997</v>
      </c>
      <c r="F234" s="19">
        <f t="shared" si="15"/>
        <v>45958</v>
      </c>
      <c r="G234" s="20">
        <f t="shared" si="16"/>
        <v>2.4518690269216377</v>
      </c>
      <c r="H234" s="20">
        <f t="shared" si="18"/>
        <v>2.4858996006674725</v>
      </c>
      <c r="I234" s="20">
        <f t="shared" si="17"/>
        <v>0.71852266735004378</v>
      </c>
      <c r="J234" s="22">
        <f t="shared" si="19"/>
        <v>0.7169458190249236</v>
      </c>
    </row>
    <row r="235" spans="1:10" x14ac:dyDescent="0.3">
      <c r="A235" s="37">
        <v>45959</v>
      </c>
      <c r="B235" s="21">
        <v>3063.0210000000002</v>
      </c>
      <c r="C235" s="21">
        <v>7569.1170000000002</v>
      </c>
      <c r="D235" s="21">
        <v>5156.8405000000002</v>
      </c>
      <c r="E235" s="21">
        <v>7073.5457999999999</v>
      </c>
      <c r="F235" s="19">
        <f t="shared" si="15"/>
        <v>45959</v>
      </c>
      <c r="G235" s="20">
        <f t="shared" si="16"/>
        <v>2.471128013813813</v>
      </c>
      <c r="H235" s="20">
        <f t="shared" si="18"/>
        <v>2.4825844215326387</v>
      </c>
      <c r="I235" s="20">
        <f t="shared" si="17"/>
        <v>0.72903189514938893</v>
      </c>
      <c r="J235" s="22">
        <f t="shared" si="19"/>
        <v>0.7174979233498775</v>
      </c>
    </row>
    <row r="236" spans="1:10" x14ac:dyDescent="0.3">
      <c r="A236" s="37">
        <v>45960</v>
      </c>
      <c r="B236" s="21">
        <v>3046.6107999999999</v>
      </c>
      <c r="C236" s="21">
        <v>7485.0847999999996</v>
      </c>
      <c r="D236" s="21">
        <v>5092.9490999999998</v>
      </c>
      <c r="E236" s="21">
        <v>7078.7317999999996</v>
      </c>
      <c r="F236" s="19">
        <f t="shared" si="15"/>
        <v>45960</v>
      </c>
      <c r="G236" s="20">
        <f t="shared" si="16"/>
        <v>2.4568562548258543</v>
      </c>
      <c r="H236" s="20">
        <f t="shared" si="18"/>
        <v>2.4772727469818752</v>
      </c>
      <c r="I236" s="20">
        <f t="shared" si="17"/>
        <v>0.71947196812852832</v>
      </c>
      <c r="J236" s="22">
        <f t="shared" si="19"/>
        <v>0.71703605218605082</v>
      </c>
    </row>
    <row r="237" spans="1:10" x14ac:dyDescent="0.3">
      <c r="A237" s="37">
        <v>45961</v>
      </c>
      <c r="B237" s="21">
        <v>3011.5547000000001</v>
      </c>
      <c r="C237" s="21">
        <v>7506.6746000000003</v>
      </c>
      <c r="D237" s="21">
        <v>5009.1095999999998</v>
      </c>
      <c r="E237" s="21">
        <v>7040.8801000000003</v>
      </c>
      <c r="F237" s="19">
        <f t="shared" si="15"/>
        <v>45961</v>
      </c>
      <c r="G237" s="20">
        <f t="shared" si="16"/>
        <v>2.4926243577777285</v>
      </c>
      <c r="H237" s="20">
        <f t="shared" si="18"/>
        <v>2.4747927968933556</v>
      </c>
      <c r="I237" s="20">
        <f t="shared" si="17"/>
        <v>0.71143231085557035</v>
      </c>
      <c r="J237" s="22">
        <f t="shared" si="19"/>
        <v>0.71567769207922427</v>
      </c>
    </row>
    <row r="238" spans="1:10" x14ac:dyDescent="0.3">
      <c r="A238" s="37">
        <v>45964</v>
      </c>
      <c r="B238" s="21">
        <v>3016.3507</v>
      </c>
      <c r="C238" s="21">
        <v>7538.1178</v>
      </c>
      <c r="D238" s="21">
        <v>5006.5081</v>
      </c>
      <c r="E238" s="21">
        <v>7097.2862999999998</v>
      </c>
      <c r="F238" s="19">
        <f t="shared" si="15"/>
        <v>45964</v>
      </c>
      <c r="G238" s="20">
        <f t="shared" si="16"/>
        <v>2.4990853351369258</v>
      </c>
      <c r="H238" s="20">
        <f t="shared" si="18"/>
        <v>2.4739812846941773</v>
      </c>
      <c r="I238" s="20">
        <f t="shared" si="17"/>
        <v>0.70541160217814525</v>
      </c>
      <c r="J238" s="22">
        <f t="shared" si="19"/>
        <v>0.71455717532013396</v>
      </c>
    </row>
    <row r="239" spans="1:10" x14ac:dyDescent="0.3">
      <c r="A239" s="37">
        <v>45965</v>
      </c>
      <c r="B239" s="21">
        <v>3012.9690999999998</v>
      </c>
      <c r="C239" s="21">
        <v>7435.7308000000003</v>
      </c>
      <c r="D239" s="21">
        <v>4919.9350999999997</v>
      </c>
      <c r="E239" s="21">
        <v>7102.7190000000001</v>
      </c>
      <c r="F239" s="19">
        <f t="shared" si="15"/>
        <v>45965</v>
      </c>
      <c r="G239" s="20">
        <f t="shared" si="16"/>
        <v>2.4679080844207797</v>
      </c>
      <c r="H239" s="20">
        <f t="shared" si="18"/>
        <v>2.4712797222968206</v>
      </c>
      <c r="I239" s="20">
        <f t="shared" si="17"/>
        <v>0.69268333718397135</v>
      </c>
      <c r="J239" s="22">
        <f t="shared" si="19"/>
        <v>0.71227783497578456</v>
      </c>
    </row>
    <row r="240" spans="1:10" x14ac:dyDescent="0.3">
      <c r="A240" s="37">
        <v>45966</v>
      </c>
      <c r="B240" s="21">
        <v>3007.97</v>
      </c>
      <c r="C240" s="21">
        <v>7464.8631999999998</v>
      </c>
      <c r="D240" s="21">
        <v>4946.7389000000003</v>
      </c>
      <c r="E240" s="21">
        <v>7108.9660999999996</v>
      </c>
      <c r="F240" s="19">
        <f t="shared" si="15"/>
        <v>45966</v>
      </c>
      <c r="G240" s="20">
        <f t="shared" si="16"/>
        <v>2.4816946977529697</v>
      </c>
      <c r="H240" s="20">
        <f t="shared" si="18"/>
        <v>2.4686478511625185</v>
      </c>
      <c r="I240" s="20">
        <f t="shared" si="17"/>
        <v>0.69584505403676078</v>
      </c>
      <c r="J240" s="22">
        <f t="shared" si="19"/>
        <v>0.70977005684873962</v>
      </c>
    </row>
    <row r="241" spans="1:10" x14ac:dyDescent="0.3">
      <c r="A241" s="37">
        <v>45967</v>
      </c>
      <c r="B241" s="21">
        <v>3044.7415999999998</v>
      </c>
      <c r="C241" s="21">
        <v>7551.8298999999997</v>
      </c>
      <c r="D241" s="21">
        <v>5044.6230999999998</v>
      </c>
      <c r="E241" s="21">
        <v>7182.5672999999997</v>
      </c>
      <c r="F241" s="19">
        <f t="shared" si="15"/>
        <v>45967</v>
      </c>
      <c r="G241" s="20">
        <f t="shared" si="16"/>
        <v>2.4802859789480984</v>
      </c>
      <c r="H241" s="20">
        <f t="shared" si="18"/>
        <v>2.4660637687439122</v>
      </c>
      <c r="I241" s="20">
        <f t="shared" si="17"/>
        <v>0.70234261501455053</v>
      </c>
      <c r="J241" s="22">
        <f t="shared" si="19"/>
        <v>0.70736966930668199</v>
      </c>
    </row>
    <row r="242" spans="1:10" x14ac:dyDescent="0.3">
      <c r="A242" s="37">
        <v>45968</v>
      </c>
      <c r="B242" s="21">
        <v>3038.3454999999999</v>
      </c>
      <c r="C242" s="21">
        <v>7541.8779999999997</v>
      </c>
      <c r="D242" s="21">
        <v>5044.4089999999997</v>
      </c>
      <c r="E242" s="21">
        <v>7194.0691999999999</v>
      </c>
      <c r="F242" s="19">
        <f t="shared" si="15"/>
        <v>45968</v>
      </c>
      <c r="G242" s="20">
        <f t="shared" si="16"/>
        <v>2.4822318594116437</v>
      </c>
      <c r="H242" s="20">
        <f t="shared" si="18"/>
        <v>2.4635503010182287</v>
      </c>
      <c r="I242" s="20">
        <f t="shared" si="17"/>
        <v>0.70118994685233216</v>
      </c>
      <c r="J242" s="22">
        <f t="shared" si="19"/>
        <v>0.70620682716330452</v>
      </c>
    </row>
    <row r="243" spans="1:10" x14ac:dyDescent="0.3">
      <c r="A243" s="37">
        <v>45971</v>
      </c>
      <c r="B243" s="21">
        <v>3053.857</v>
      </c>
      <c r="C243" s="21">
        <v>7563.2534999999998</v>
      </c>
      <c r="D243" s="21">
        <v>5045.3067000000001</v>
      </c>
      <c r="E243" s="21">
        <v>7265.4637000000002</v>
      </c>
      <c r="F243" s="19">
        <f t="shared" si="15"/>
        <v>45971</v>
      </c>
      <c r="G243" s="20">
        <f t="shared" si="16"/>
        <v>2.4766233323957212</v>
      </c>
      <c r="H243" s="20">
        <f t="shared" si="18"/>
        <v>2.4606669152948339</v>
      </c>
      <c r="I243" s="20">
        <f t="shared" si="17"/>
        <v>0.69442322036513648</v>
      </c>
      <c r="J243" s="22">
        <f t="shared" si="19"/>
        <v>0.70474123626060614</v>
      </c>
    </row>
    <row r="244" spans="1:10" x14ac:dyDescent="0.3">
      <c r="A244" s="37">
        <v>45972</v>
      </c>
      <c r="B244" s="21">
        <v>3034.6329000000001</v>
      </c>
      <c r="C244" s="21">
        <v>7540.7910000000002</v>
      </c>
      <c r="D244" s="21">
        <v>4992.3768</v>
      </c>
      <c r="E244" s="21">
        <v>7247.1662999999999</v>
      </c>
      <c r="F244" s="19">
        <f t="shared" si="15"/>
        <v>45972</v>
      </c>
      <c r="G244" s="20">
        <f t="shared" si="16"/>
        <v>2.4849104483115569</v>
      </c>
      <c r="H244" s="20">
        <f t="shared" si="18"/>
        <v>2.4604122568655167</v>
      </c>
      <c r="I244" s="20">
        <f t="shared" si="17"/>
        <v>0.6888729461058456</v>
      </c>
      <c r="J244" s="22">
        <f t="shared" si="19"/>
        <v>0.70420721653681129</v>
      </c>
    </row>
    <row r="245" spans="1:10" x14ac:dyDescent="0.3">
      <c r="A245" s="37">
        <v>45973</v>
      </c>
      <c r="B245" s="21">
        <v>3044.3011000000001</v>
      </c>
      <c r="C245" s="21">
        <v>7486.3765999999996</v>
      </c>
      <c r="D245" s="21">
        <v>4978.1208999999999</v>
      </c>
      <c r="E245" s="21">
        <v>7277.7312000000002</v>
      </c>
      <c r="F245" s="19">
        <f t="shared" si="15"/>
        <v>45973</v>
      </c>
      <c r="G245" s="20">
        <f t="shared" si="16"/>
        <v>2.4591445964395571</v>
      </c>
      <c r="H245" s="20">
        <f t="shared" si="18"/>
        <v>2.4587013916186407</v>
      </c>
      <c r="I245" s="20">
        <f t="shared" si="17"/>
        <v>0.68402098994807614</v>
      </c>
      <c r="J245" s="22">
        <f t="shared" si="19"/>
        <v>0.70309556459057942</v>
      </c>
    </row>
    <row r="246" spans="1:10" x14ac:dyDescent="0.3">
      <c r="A246" s="37">
        <v>45974</v>
      </c>
      <c r="B246" s="21">
        <v>3073.6655999999998</v>
      </c>
      <c r="C246" s="21">
        <v>7590.5762999999997</v>
      </c>
      <c r="D246" s="21">
        <v>5076.5210999999999</v>
      </c>
      <c r="E246" s="21">
        <v>7326.4636</v>
      </c>
      <c r="F246" s="19">
        <f t="shared" si="15"/>
        <v>45974</v>
      </c>
      <c r="G246" s="20">
        <f t="shared" si="16"/>
        <v>2.4695517625599872</v>
      </c>
      <c r="H246" s="20">
        <f t="shared" si="18"/>
        <v>2.4595993918522976</v>
      </c>
      <c r="I246" s="20">
        <f t="shared" si="17"/>
        <v>0.69290197524491892</v>
      </c>
      <c r="J246" s="22">
        <f t="shared" si="19"/>
        <v>0.70254238377153555</v>
      </c>
    </row>
    <row r="247" spans="1:10" x14ac:dyDescent="0.3">
      <c r="A247" s="37">
        <v>45975</v>
      </c>
      <c r="B247" s="21">
        <v>3038.4254999999998</v>
      </c>
      <c r="C247" s="21">
        <v>7502.7566999999999</v>
      </c>
      <c r="D247" s="21">
        <v>4978.6360000000004</v>
      </c>
      <c r="E247" s="21">
        <v>7272.9690000000001</v>
      </c>
      <c r="F247" s="19">
        <f t="shared" si="15"/>
        <v>45975</v>
      </c>
      <c r="G247" s="20">
        <f t="shared" si="16"/>
        <v>2.4692909864006869</v>
      </c>
      <c r="H247" s="20">
        <f t="shared" si="18"/>
        <v>2.4620055963814806</v>
      </c>
      <c r="I247" s="20">
        <f t="shared" si="17"/>
        <v>0.68453969761180067</v>
      </c>
      <c r="J247" s="22">
        <f t="shared" si="19"/>
        <v>0.70217408426036343</v>
      </c>
    </row>
    <row r="248" spans="1:10" x14ac:dyDescent="0.3">
      <c r="A248" s="37">
        <v>45978</v>
      </c>
      <c r="B248" s="21">
        <v>3012.0713999999998</v>
      </c>
      <c r="C248" s="21">
        <v>7523.0757999999996</v>
      </c>
      <c r="D248" s="21">
        <v>4961.0915999999997</v>
      </c>
      <c r="E248" s="21">
        <v>7211.3609999999999</v>
      </c>
      <c r="F248" s="19">
        <f t="shared" si="15"/>
        <v>45978</v>
      </c>
      <c r="G248" s="20">
        <f t="shared" si="16"/>
        <v>2.4976419217685213</v>
      </c>
      <c r="H248" s="20">
        <f t="shared" si="18"/>
        <v>2.4652151966307683</v>
      </c>
      <c r="I248" s="20">
        <f t="shared" si="17"/>
        <v>0.68795496439576387</v>
      </c>
      <c r="J248" s="22">
        <f t="shared" si="19"/>
        <v>0.70180346723414821</v>
      </c>
    </row>
    <row r="249" spans="1:10" x14ac:dyDescent="0.3">
      <c r="A249" s="37">
        <v>45979</v>
      </c>
      <c r="B249" s="21">
        <v>3003.0174999999999</v>
      </c>
      <c r="C249" s="21">
        <v>7448.1007</v>
      </c>
      <c r="D249" s="21">
        <v>4906.5685999999996</v>
      </c>
      <c r="E249" s="21">
        <v>7142.5281999999997</v>
      </c>
      <c r="F249" s="19">
        <f t="shared" si="15"/>
        <v>45979</v>
      </c>
      <c r="G249" s="20">
        <f t="shared" si="16"/>
        <v>2.4802055599076596</v>
      </c>
      <c r="H249" s="20">
        <f t="shared" si="18"/>
        <v>2.4671203274681068</v>
      </c>
      <c r="I249" s="20">
        <f t="shared" si="17"/>
        <v>0.68695123947848047</v>
      </c>
      <c r="J249" s="22">
        <f t="shared" si="19"/>
        <v>0.70090693914271074</v>
      </c>
    </row>
    <row r="250" spans="1:10" x14ac:dyDescent="0.3">
      <c r="A250" s="37">
        <v>45980</v>
      </c>
      <c r="B250" s="21">
        <v>3020.3487</v>
      </c>
      <c r="C250" s="21">
        <v>7387.2084000000004</v>
      </c>
      <c r="D250" s="21">
        <v>4928.2637999999997</v>
      </c>
      <c r="E250" s="21">
        <v>7181.1598000000004</v>
      </c>
      <c r="F250" s="19">
        <f t="shared" si="15"/>
        <v>45980</v>
      </c>
      <c r="G250" s="20">
        <f t="shared" si="16"/>
        <v>2.4458130943622503</v>
      </c>
      <c r="H250" s="20">
        <f t="shared" si="18"/>
        <v>2.4679495373302083</v>
      </c>
      <c r="I250" s="20">
        <f t="shared" si="17"/>
        <v>0.68627686018071887</v>
      </c>
      <c r="J250" s="22">
        <f t="shared" si="19"/>
        <v>0.70029091701407664</v>
      </c>
    </row>
    <row r="251" spans="1:10" x14ac:dyDescent="0.3">
      <c r="A251" s="37">
        <v>45981</v>
      </c>
      <c r="B251" s="21">
        <v>3008.2903999999999</v>
      </c>
      <c r="C251" s="21">
        <v>7340.4117999999999</v>
      </c>
      <c r="D251" s="21">
        <v>4886.6419999999998</v>
      </c>
      <c r="E251" s="21">
        <v>7171.8047999999999</v>
      </c>
      <c r="F251" s="19">
        <f t="shared" si="15"/>
        <v>45981</v>
      </c>
      <c r="G251" s="20">
        <f t="shared" si="16"/>
        <v>2.4400609063539878</v>
      </c>
      <c r="H251" s="20">
        <f t="shared" si="18"/>
        <v>2.4692335536623871</v>
      </c>
      <c r="I251" s="20">
        <f t="shared" si="17"/>
        <v>0.68136851688991873</v>
      </c>
      <c r="J251" s="22">
        <f t="shared" si="19"/>
        <v>0.69958160565482042</v>
      </c>
    </row>
    <row r="252" spans="1:10" x14ac:dyDescent="0.3">
      <c r="A252" s="37">
        <v>45982</v>
      </c>
      <c r="B252" s="21">
        <v>2955.8541</v>
      </c>
      <c r="C252" s="21">
        <v>7067.7030000000004</v>
      </c>
      <c r="D252" s="21">
        <v>4733.3301000000001</v>
      </c>
      <c r="E252" s="21">
        <v>7032.4654</v>
      </c>
      <c r="F252" s="19">
        <f t="shared" si="15"/>
        <v>45982</v>
      </c>
      <c r="G252" s="20">
        <f t="shared" si="16"/>
        <v>2.3910865559974699</v>
      </c>
      <c r="H252" s="20">
        <f t="shared" si="18"/>
        <v>2.4669940016544802</v>
      </c>
      <c r="I252" s="20">
        <f t="shared" si="17"/>
        <v>0.67306838082701415</v>
      </c>
      <c r="J252" s="22">
        <f t="shared" si="19"/>
        <v>0.6976637892046087</v>
      </c>
    </row>
    <row r="253" spans="1:10" x14ac:dyDescent="0.3">
      <c r="A253" s="37">
        <v>45985</v>
      </c>
      <c r="B253" s="21">
        <v>2950.5619999999999</v>
      </c>
      <c r="C253" s="21">
        <v>7156.4084999999995</v>
      </c>
      <c r="D253" s="21">
        <v>4733.2891</v>
      </c>
      <c r="E253" s="21">
        <v>7001.1495999999997</v>
      </c>
      <c r="F253" s="19">
        <f t="shared" si="15"/>
        <v>45985</v>
      </c>
      <c r="G253" s="20">
        <f t="shared" si="16"/>
        <v>2.4254391197337997</v>
      </c>
      <c r="H253" s="20">
        <f t="shared" si="18"/>
        <v>2.4661725946620323</v>
      </c>
      <c r="I253" s="20">
        <f t="shared" si="17"/>
        <v>0.67607312661909125</v>
      </c>
      <c r="J253" s="22">
        <f t="shared" si="19"/>
        <v>0.69561916572080273</v>
      </c>
    </row>
    <row r="254" spans="1:10" x14ac:dyDescent="0.3">
      <c r="A254" s="37">
        <v>45986</v>
      </c>
      <c r="B254" s="21">
        <v>2968.2022999999999</v>
      </c>
      <c r="C254" s="21">
        <v>7249.9471000000003</v>
      </c>
      <c r="D254" s="21">
        <v>4790.1835000000001</v>
      </c>
      <c r="E254" s="21">
        <v>7063.2611999999999</v>
      </c>
      <c r="F254" s="19">
        <f t="shared" si="15"/>
        <v>45986</v>
      </c>
      <c r="G254" s="20">
        <f t="shared" si="16"/>
        <v>2.4425380642013521</v>
      </c>
      <c r="H254" s="20">
        <f t="shared" si="18"/>
        <v>2.4657060465260181</v>
      </c>
      <c r="I254" s="20">
        <f t="shared" si="17"/>
        <v>0.67818297587522325</v>
      </c>
      <c r="J254" s="22">
        <f t="shared" si="19"/>
        <v>0.69360218114706174</v>
      </c>
    </row>
    <row r="255" spans="1:10" x14ac:dyDescent="0.3">
      <c r="A255" s="37">
        <v>45987</v>
      </c>
      <c r="B255" s="21">
        <v>2971.7984999999999</v>
      </c>
      <c r="C255" s="21">
        <v>7248.4489000000003</v>
      </c>
      <c r="D255" s="21">
        <v>4834.8921</v>
      </c>
      <c r="E255" s="21">
        <v>7049.5918000000001</v>
      </c>
      <c r="F255" s="19">
        <f t="shared" si="15"/>
        <v>45987</v>
      </c>
      <c r="G255" s="20">
        <f t="shared" si="16"/>
        <v>2.4390781878381058</v>
      </c>
      <c r="H255" s="20">
        <f t="shared" si="18"/>
        <v>2.4641035552272323</v>
      </c>
      <c r="I255" s="20">
        <f t="shared" si="17"/>
        <v>0.68584000849524362</v>
      </c>
      <c r="J255" s="22">
        <f t="shared" si="19"/>
        <v>0.69144258681435455</v>
      </c>
    </row>
    <row r="256" spans="1:10" x14ac:dyDescent="0.3">
      <c r="A256" s="37">
        <v>45988</v>
      </c>
      <c r="B256" s="21">
        <v>2972.2651000000001</v>
      </c>
      <c r="C256" s="21">
        <v>7257.4539999999997</v>
      </c>
      <c r="D256" s="21">
        <v>4824.7457000000004</v>
      </c>
      <c r="E256" s="21">
        <v>7062.7375000000002</v>
      </c>
      <c r="F256" s="19">
        <f t="shared" si="15"/>
        <v>45988</v>
      </c>
      <c r="G256" s="20">
        <f t="shared" si="16"/>
        <v>2.4417249995634642</v>
      </c>
      <c r="H256" s="20">
        <f t="shared" si="18"/>
        <v>2.4633469924641131</v>
      </c>
      <c r="I256" s="20">
        <f t="shared" si="17"/>
        <v>0.68312686122059618</v>
      </c>
      <c r="J256" s="22">
        <f t="shared" si="19"/>
        <v>0.68962533146895788</v>
      </c>
    </row>
    <row r="257" spans="1:10" x14ac:dyDescent="0.3">
      <c r="A257" s="37">
        <v>45989</v>
      </c>
      <c r="B257" s="21">
        <v>2969.6170999999999</v>
      </c>
      <c r="C257" s="21">
        <v>7334.2097000000003</v>
      </c>
      <c r="D257" s="21">
        <v>4866.4943999999996</v>
      </c>
      <c r="E257" s="21">
        <v>7065.2812999999996</v>
      </c>
      <c r="F257" s="19">
        <f t="shared" si="15"/>
        <v>45989</v>
      </c>
      <c r="G257" s="20">
        <f t="shared" si="16"/>
        <v>2.4697492818181845</v>
      </c>
      <c r="H257" s="20">
        <f t="shared" si="18"/>
        <v>2.4622032386661354</v>
      </c>
      <c r="I257" s="20">
        <f t="shared" si="17"/>
        <v>0.68878989998600615</v>
      </c>
      <c r="J257" s="22">
        <f t="shared" si="19"/>
        <v>0.68849321092547966</v>
      </c>
    </row>
    <row r="258" spans="1:10" x14ac:dyDescent="0.3">
      <c r="A258" s="37">
        <v>45992</v>
      </c>
      <c r="B258" s="21">
        <v>2993.6761000000001</v>
      </c>
      <c r="C258" s="21">
        <v>7386.6810999999998</v>
      </c>
      <c r="D258" s="21">
        <v>4931.4414999999999</v>
      </c>
      <c r="E258" s="21">
        <v>7122.1214</v>
      </c>
      <c r="F258" s="19">
        <f t="shared" si="15"/>
        <v>45992</v>
      </c>
      <c r="G258" s="20">
        <f t="shared" si="16"/>
        <v>2.4674282899208766</v>
      </c>
      <c r="H258" s="20">
        <f t="shared" si="18"/>
        <v>2.4606203864053335</v>
      </c>
      <c r="I258" s="20">
        <f t="shared" si="17"/>
        <v>0.69241188447026469</v>
      </c>
      <c r="J258" s="22">
        <f t="shared" si="19"/>
        <v>0.68784322504008555</v>
      </c>
    </row>
    <row r="259" spans="1:10" x14ac:dyDescent="0.3">
      <c r="A259" s="37">
        <v>45993</v>
      </c>
      <c r="B259" s="21">
        <v>2978.4670999999998</v>
      </c>
      <c r="C259" s="21">
        <v>7313.1779999999999</v>
      </c>
      <c r="D259" s="21">
        <v>4892.9732999999997</v>
      </c>
      <c r="E259" s="21">
        <v>7117.1760000000004</v>
      </c>
      <c r="F259" s="19">
        <f t="shared" si="15"/>
        <v>45993</v>
      </c>
      <c r="G259" s="20">
        <f t="shared" si="16"/>
        <v>2.4553495991276857</v>
      </c>
      <c r="H259" s="20">
        <f t="shared" si="18"/>
        <v>2.4599924621406788</v>
      </c>
      <c r="I259" s="20">
        <f t="shared" si="17"/>
        <v>0.68748802895980088</v>
      </c>
      <c r="J259" s="22">
        <f t="shared" si="19"/>
        <v>0.68758345962887724</v>
      </c>
    </row>
    <row r="260" spans="1:10" x14ac:dyDescent="0.3">
      <c r="A260" s="37">
        <v>45994</v>
      </c>
      <c r="B260" s="21">
        <v>2963.0763000000002</v>
      </c>
      <c r="C260" s="21">
        <v>7248.2740000000003</v>
      </c>
      <c r="D260" s="21">
        <v>4867.8127000000004</v>
      </c>
      <c r="E260" s="21">
        <v>7099.7417999999998</v>
      </c>
      <c r="F260" s="19">
        <f t="shared" si="15"/>
        <v>45994</v>
      </c>
      <c r="G260" s="20">
        <f t="shared" si="16"/>
        <v>2.4461989048341413</v>
      </c>
      <c r="H260" s="20">
        <f t="shared" si="18"/>
        <v>2.4582176724947375</v>
      </c>
      <c r="I260" s="20">
        <f t="shared" si="17"/>
        <v>0.68563235637667841</v>
      </c>
      <c r="J260" s="22">
        <f t="shared" si="19"/>
        <v>0.68707282474587306</v>
      </c>
    </row>
    <row r="261" spans="1:10" x14ac:dyDescent="0.3">
      <c r="A261" s="37">
        <v>45995</v>
      </c>
      <c r="B261" s="21">
        <v>2974.3371000000002</v>
      </c>
      <c r="C261" s="21">
        <v>7248.6572999999999</v>
      </c>
      <c r="D261" s="21">
        <v>4900.6041999999998</v>
      </c>
      <c r="E261" s="21">
        <v>7088.9409999999998</v>
      </c>
      <c r="F261" s="19">
        <f t="shared" ref="F261:F324" si="20">A261</f>
        <v>45995</v>
      </c>
      <c r="G261" s="20">
        <f t="shared" ref="G261:G324" si="21">C261/B261</f>
        <v>2.4370664979433565</v>
      </c>
      <c r="H261" s="20">
        <f t="shared" si="18"/>
        <v>2.4560566984444998</v>
      </c>
      <c r="I261" s="20">
        <f t="shared" ref="I261:I324" si="22">D261/E261</f>
        <v>0.69130272067435738</v>
      </c>
      <c r="J261" s="22">
        <f t="shared" si="19"/>
        <v>0.68652083002886344</v>
      </c>
    </row>
    <row r="262" spans="1:10" x14ac:dyDescent="0.3">
      <c r="A262" s="37">
        <v>45996</v>
      </c>
      <c r="B262" s="21">
        <v>3002.0086999999999</v>
      </c>
      <c r="C262" s="21">
        <v>7342.4924000000001</v>
      </c>
      <c r="D262" s="21">
        <v>4945.4928</v>
      </c>
      <c r="E262" s="21">
        <v>7149.0555000000004</v>
      </c>
      <c r="F262" s="19">
        <f t="shared" si="20"/>
        <v>45996</v>
      </c>
      <c r="G262" s="20">
        <f t="shared" si="21"/>
        <v>2.4458598004729302</v>
      </c>
      <c r="H262" s="20">
        <f t="shared" si="18"/>
        <v>2.4542380954975647</v>
      </c>
      <c r="I262" s="20">
        <f t="shared" si="22"/>
        <v>0.69176869587877721</v>
      </c>
      <c r="J262" s="22">
        <f t="shared" si="19"/>
        <v>0.68604976748018565</v>
      </c>
    </row>
    <row r="263" spans="1:10" x14ac:dyDescent="0.3">
      <c r="A263" s="37">
        <v>45999</v>
      </c>
      <c r="B263" s="21">
        <v>3019.3620000000001</v>
      </c>
      <c r="C263" s="21">
        <v>7423.0461999999998</v>
      </c>
      <c r="D263" s="21">
        <v>4999.9871000000003</v>
      </c>
      <c r="E263" s="21">
        <v>7150.5999000000002</v>
      </c>
      <c r="F263" s="19">
        <f t="shared" si="20"/>
        <v>45999</v>
      </c>
      <c r="G263" s="20">
        <f t="shared" si="21"/>
        <v>2.4584816924900026</v>
      </c>
      <c r="H263" s="20">
        <f t="shared" si="18"/>
        <v>2.4533310135022783</v>
      </c>
      <c r="I263" s="20">
        <f t="shared" si="22"/>
        <v>0.69924022738288016</v>
      </c>
      <c r="J263" s="22">
        <f t="shared" si="19"/>
        <v>0.68629061783107281</v>
      </c>
    </row>
    <row r="264" spans="1:10" x14ac:dyDescent="0.3">
      <c r="A264" s="37">
        <v>46000</v>
      </c>
      <c r="B264" s="21">
        <v>2997.9603000000002</v>
      </c>
      <c r="C264" s="21">
        <v>7380.5834999999997</v>
      </c>
      <c r="D264" s="21">
        <v>4969.4067999999997</v>
      </c>
      <c r="E264" s="21">
        <v>7070.9994999999999</v>
      </c>
      <c r="F264" s="19">
        <f t="shared" si="20"/>
        <v>46000</v>
      </c>
      <c r="G264" s="20">
        <f t="shared" si="21"/>
        <v>2.4618683242736736</v>
      </c>
      <c r="H264" s="20">
        <f t="shared" si="18"/>
        <v>2.452178907300385</v>
      </c>
      <c r="I264" s="20">
        <f t="shared" si="22"/>
        <v>0.70278703880547577</v>
      </c>
      <c r="J264" s="22">
        <f t="shared" si="19"/>
        <v>0.68698632246605418</v>
      </c>
    </row>
    <row r="265" spans="1:10" x14ac:dyDescent="0.3">
      <c r="A265" s="37">
        <v>46001</v>
      </c>
      <c r="B265" s="21">
        <v>2988.6374999999998</v>
      </c>
      <c r="C265" s="21">
        <v>7408.2440999999999</v>
      </c>
      <c r="D265" s="21">
        <v>4986.6359000000002</v>
      </c>
      <c r="E265" s="21">
        <v>7054.2394000000004</v>
      </c>
      <c r="F265" s="19">
        <f t="shared" si="20"/>
        <v>46001</v>
      </c>
      <c r="G265" s="20">
        <f t="shared" si="21"/>
        <v>2.4788031669949935</v>
      </c>
      <c r="H265" s="20">
        <f t="shared" si="18"/>
        <v>2.4531618358281566</v>
      </c>
      <c r="I265" s="20">
        <f t="shared" si="22"/>
        <v>0.70689915910707535</v>
      </c>
      <c r="J265" s="22">
        <f t="shared" si="19"/>
        <v>0.68813023092400416</v>
      </c>
    </row>
    <row r="266" spans="1:10" x14ac:dyDescent="0.3">
      <c r="A266" s="37">
        <v>46002</v>
      </c>
      <c r="B266" s="21">
        <v>2977.0319</v>
      </c>
      <c r="C266" s="21">
        <v>7311.9952000000003</v>
      </c>
      <c r="D266" s="21">
        <v>4941.8932000000004</v>
      </c>
      <c r="E266" s="21">
        <v>7023.5020999999997</v>
      </c>
      <c r="F266" s="19">
        <f t="shared" si="20"/>
        <v>46002</v>
      </c>
      <c r="G266" s="20">
        <f t="shared" si="21"/>
        <v>2.4561359923620572</v>
      </c>
      <c r="H266" s="20">
        <f t="shared" si="18"/>
        <v>2.4524910473182602</v>
      </c>
      <c r="I266" s="20">
        <f t="shared" si="22"/>
        <v>0.70362237095365865</v>
      </c>
      <c r="J266" s="22">
        <f t="shared" si="19"/>
        <v>0.68866625070944132</v>
      </c>
    </row>
    <row r="267" spans="1:10" x14ac:dyDescent="0.3">
      <c r="A267" s="37">
        <v>46003</v>
      </c>
      <c r="B267" s="21">
        <v>2994.6446000000001</v>
      </c>
      <c r="C267" s="21">
        <v>7370.9416000000001</v>
      </c>
      <c r="D267" s="21">
        <v>4995.4278999999997</v>
      </c>
      <c r="E267" s="21">
        <v>7050.9750999999997</v>
      </c>
      <c r="F267" s="19">
        <f t="shared" si="20"/>
        <v>46003</v>
      </c>
      <c r="G267" s="20">
        <f t="shared" si="21"/>
        <v>2.4613744148470906</v>
      </c>
      <c r="H267" s="20">
        <f t="shared" si="18"/>
        <v>2.4520952187405802</v>
      </c>
      <c r="I267" s="20">
        <f t="shared" si="22"/>
        <v>0.70847334292812914</v>
      </c>
      <c r="J267" s="22">
        <f t="shared" si="19"/>
        <v>0.68986293297525769</v>
      </c>
    </row>
    <row r="268" spans="1:10" x14ac:dyDescent="0.3">
      <c r="A268" s="37">
        <v>46006</v>
      </c>
      <c r="B268" s="21">
        <v>2987.0684000000001</v>
      </c>
      <c r="C268" s="21">
        <v>7309.0775000000003</v>
      </c>
      <c r="D268" s="21">
        <v>4939.0839999999998</v>
      </c>
      <c r="E268" s="21">
        <v>7072.4862000000003</v>
      </c>
      <c r="F268" s="19">
        <f t="shared" si="20"/>
        <v>46006</v>
      </c>
      <c r="G268" s="20">
        <f t="shared" si="21"/>
        <v>2.4469066392989194</v>
      </c>
      <c r="H268" s="20">
        <f t="shared" si="18"/>
        <v>2.4495584546171001</v>
      </c>
      <c r="I268" s="20">
        <f t="shared" si="22"/>
        <v>0.69835187518640895</v>
      </c>
      <c r="J268" s="22">
        <f t="shared" si="19"/>
        <v>0.69038277851478991</v>
      </c>
    </row>
    <row r="269" spans="1:10" x14ac:dyDescent="0.3">
      <c r="A269" s="37">
        <v>46007</v>
      </c>
      <c r="B269" s="21">
        <v>2954.7872000000002</v>
      </c>
      <c r="C269" s="21">
        <v>7181.62</v>
      </c>
      <c r="D269" s="21">
        <v>4862.7524000000003</v>
      </c>
      <c r="E269" s="21">
        <v>7013.5924999999997</v>
      </c>
      <c r="F269" s="19">
        <f t="shared" si="20"/>
        <v>46007</v>
      </c>
      <c r="G269" s="20">
        <f t="shared" si="21"/>
        <v>2.4305032863280305</v>
      </c>
      <c r="H269" s="20">
        <f t="shared" si="18"/>
        <v>2.4470733409381191</v>
      </c>
      <c r="I269" s="20">
        <f t="shared" si="22"/>
        <v>0.69333261092656873</v>
      </c>
      <c r="J269" s="22">
        <f t="shared" si="19"/>
        <v>0.69070184708719429</v>
      </c>
    </row>
    <row r="270" spans="1:10" x14ac:dyDescent="0.3">
      <c r="A270" s="37">
        <v>46008</v>
      </c>
      <c r="B270" s="21">
        <v>2991.6777000000002</v>
      </c>
      <c r="C270" s="21">
        <v>7288.7384000000002</v>
      </c>
      <c r="D270" s="21">
        <v>4977.6206000000002</v>
      </c>
      <c r="E270" s="21">
        <v>7085.5573000000004</v>
      </c>
      <c r="F270" s="19">
        <f t="shared" si="20"/>
        <v>46008</v>
      </c>
      <c r="G270" s="20">
        <f t="shared" si="21"/>
        <v>2.4363381122237864</v>
      </c>
      <c r="H270" s="20">
        <f t="shared" si="18"/>
        <v>2.4465995918311956</v>
      </c>
      <c r="I270" s="20">
        <f t="shared" si="22"/>
        <v>0.70250234233516107</v>
      </c>
      <c r="J270" s="22">
        <f t="shared" si="19"/>
        <v>0.69151312119491659</v>
      </c>
    </row>
    <row r="271" spans="1:10" x14ac:dyDescent="0.3">
      <c r="A271" s="37">
        <v>46009</v>
      </c>
      <c r="B271" s="21">
        <v>2998.5169999999998</v>
      </c>
      <c r="C271" s="21">
        <v>7272.4023999999999</v>
      </c>
      <c r="D271" s="21">
        <v>4916.2241000000004</v>
      </c>
      <c r="E271" s="21">
        <v>7128.6679999999997</v>
      </c>
      <c r="F271" s="19">
        <f t="shared" si="20"/>
        <v>46009</v>
      </c>
      <c r="G271" s="20">
        <f t="shared" si="21"/>
        <v>2.4253330563075015</v>
      </c>
      <c r="H271" s="20">
        <f t="shared" si="18"/>
        <v>2.4458631993288713</v>
      </c>
      <c r="I271" s="20">
        <f t="shared" si="22"/>
        <v>0.68964133271461103</v>
      </c>
      <c r="J271" s="22">
        <f t="shared" si="19"/>
        <v>0.69192676198615133</v>
      </c>
    </row>
    <row r="272" spans="1:10" x14ac:dyDescent="0.3">
      <c r="A272" s="37">
        <v>46010</v>
      </c>
      <c r="B272" s="21">
        <v>3004.3400999999999</v>
      </c>
      <c r="C272" s="21">
        <v>7329.8056999999999</v>
      </c>
      <c r="D272" s="21">
        <v>4947.2788</v>
      </c>
      <c r="E272" s="21">
        <v>7148.2959000000001</v>
      </c>
      <c r="F272" s="19">
        <f t="shared" si="20"/>
        <v>46010</v>
      </c>
      <c r="G272" s="20">
        <f t="shared" si="21"/>
        <v>2.4397389962607763</v>
      </c>
      <c r="H272" s="20">
        <f t="shared" si="18"/>
        <v>2.4482958213420369</v>
      </c>
      <c r="I272" s="20">
        <f t="shared" si="22"/>
        <v>0.69209205511484218</v>
      </c>
      <c r="J272" s="22">
        <f t="shared" si="19"/>
        <v>0.69287794570054262</v>
      </c>
    </row>
    <row r="273" spans="1:10" x14ac:dyDescent="0.3">
      <c r="A273" s="37">
        <v>46013</v>
      </c>
      <c r="B273" s="21">
        <v>3020.2285000000002</v>
      </c>
      <c r="C273" s="21">
        <v>7408.3487999999998</v>
      </c>
      <c r="D273" s="21">
        <v>5025.6625999999997</v>
      </c>
      <c r="E273" s="21">
        <v>7148.3620000000001</v>
      </c>
      <c r="F273" s="19">
        <f t="shared" si="20"/>
        <v>46013</v>
      </c>
      <c r="G273" s="20">
        <f t="shared" si="21"/>
        <v>2.4529100364426069</v>
      </c>
      <c r="H273" s="20">
        <f t="shared" si="18"/>
        <v>2.449669367177477</v>
      </c>
      <c r="I273" s="20">
        <f t="shared" si="22"/>
        <v>0.70305093670410079</v>
      </c>
      <c r="J273" s="22">
        <f t="shared" si="19"/>
        <v>0.69422683620479309</v>
      </c>
    </row>
    <row r="274" spans="1:10" x14ac:dyDescent="0.3">
      <c r="A274" s="37">
        <v>46014</v>
      </c>
      <c r="B274" s="21">
        <v>3027.5194999999999</v>
      </c>
      <c r="C274" s="21">
        <v>7392.4204</v>
      </c>
      <c r="D274" s="21">
        <v>5037.3936999999996</v>
      </c>
      <c r="E274" s="21">
        <v>7162.415</v>
      </c>
      <c r="F274" s="19">
        <f t="shared" si="20"/>
        <v>46014</v>
      </c>
      <c r="G274" s="20">
        <f t="shared" si="21"/>
        <v>2.4417416304007293</v>
      </c>
      <c r="H274" s="20">
        <f t="shared" si="18"/>
        <v>2.4496295454874462</v>
      </c>
      <c r="I274" s="20">
        <f t="shared" si="22"/>
        <v>0.7033093865686364</v>
      </c>
      <c r="J274" s="22">
        <f t="shared" si="19"/>
        <v>0.6954831567394637</v>
      </c>
    </row>
    <row r="275" spans="1:10" x14ac:dyDescent="0.3">
      <c r="A275" s="37">
        <v>46015</v>
      </c>
      <c r="B275" s="21">
        <v>3025.1839</v>
      </c>
      <c r="C275" s="21">
        <v>7506.3814000000002</v>
      </c>
      <c r="D275" s="21">
        <v>5058.7777999999998</v>
      </c>
      <c r="E275" s="21">
        <v>7168.9952999999996</v>
      </c>
      <c r="F275" s="19">
        <f t="shared" si="20"/>
        <v>46015</v>
      </c>
      <c r="G275" s="20">
        <f t="shared" si="21"/>
        <v>2.4812975502084353</v>
      </c>
      <c r="H275" s="20">
        <f t="shared" si="18"/>
        <v>2.4517405136059627</v>
      </c>
      <c r="I275" s="20">
        <f t="shared" si="22"/>
        <v>0.70564668943219977</v>
      </c>
      <c r="J275" s="22">
        <f t="shared" si="19"/>
        <v>0.69647349078631149</v>
      </c>
    </row>
    <row r="276" spans="1:10" x14ac:dyDescent="0.3">
      <c r="A276" s="37">
        <v>46016</v>
      </c>
      <c r="B276" s="21">
        <v>3032.8413999999998</v>
      </c>
      <c r="C276" s="21">
        <v>7579.3791000000001</v>
      </c>
      <c r="D276" s="21">
        <v>5070.4071000000004</v>
      </c>
      <c r="E276" s="21">
        <v>7189.6278000000002</v>
      </c>
      <c r="F276" s="19">
        <f t="shared" si="20"/>
        <v>46016</v>
      </c>
      <c r="G276" s="20">
        <f t="shared" si="21"/>
        <v>2.49910170047138</v>
      </c>
      <c r="H276" s="20">
        <f t="shared" si="18"/>
        <v>2.454609348651358</v>
      </c>
      <c r="I276" s="20">
        <f t="shared" si="22"/>
        <v>0.70523916411917742</v>
      </c>
      <c r="J276" s="22">
        <f t="shared" si="19"/>
        <v>0.69757910593124051</v>
      </c>
    </row>
    <row r="277" spans="1:10" x14ac:dyDescent="0.3">
      <c r="A277" s="37">
        <v>46017</v>
      </c>
      <c r="B277" s="21">
        <v>3045.4036000000001</v>
      </c>
      <c r="C277" s="21">
        <v>7605.5299000000005</v>
      </c>
      <c r="D277" s="21">
        <v>5107.2110000000002</v>
      </c>
      <c r="E277" s="21">
        <v>7215.6081000000004</v>
      </c>
      <c r="F277" s="19">
        <f t="shared" si="20"/>
        <v>46017</v>
      </c>
      <c r="G277" s="20">
        <f t="shared" si="21"/>
        <v>2.4973799531858436</v>
      </c>
      <c r="H277" s="20">
        <f t="shared" si="18"/>
        <v>2.4559908822197412</v>
      </c>
      <c r="I277" s="20">
        <f t="shared" si="22"/>
        <v>0.70780049709185289</v>
      </c>
      <c r="J277" s="22">
        <f t="shared" si="19"/>
        <v>0.69852963578653282</v>
      </c>
    </row>
    <row r="278" spans="1:10" x14ac:dyDescent="0.3">
      <c r="A278" s="37">
        <v>46020</v>
      </c>
      <c r="B278" s="21">
        <v>3034.6347000000001</v>
      </c>
      <c r="C278" s="21">
        <v>7594.1575000000003</v>
      </c>
      <c r="D278" s="21">
        <v>5062.0968000000003</v>
      </c>
      <c r="E278" s="21">
        <v>7194.8035</v>
      </c>
      <c r="F278" s="19">
        <f t="shared" si="20"/>
        <v>46020</v>
      </c>
      <c r="G278" s="20">
        <f t="shared" si="21"/>
        <v>2.5024947813323299</v>
      </c>
      <c r="H278" s="20">
        <f t="shared" si="18"/>
        <v>2.4577442067903137</v>
      </c>
      <c r="I278" s="20">
        <f t="shared" si="22"/>
        <v>0.70357679678117691</v>
      </c>
      <c r="J278" s="22">
        <f t="shared" si="19"/>
        <v>0.69908788140207823</v>
      </c>
    </row>
    <row r="279" spans="1:10" x14ac:dyDescent="0.3">
      <c r="A279" s="37">
        <v>46021</v>
      </c>
      <c r="B279" s="21">
        <v>3036.5522999999998</v>
      </c>
      <c r="C279" s="21">
        <v>7597.299</v>
      </c>
      <c r="D279" s="21">
        <v>5094.2947999999997</v>
      </c>
      <c r="E279" s="21">
        <v>7203.8891999999996</v>
      </c>
      <c r="F279" s="19">
        <f t="shared" si="20"/>
        <v>46021</v>
      </c>
      <c r="G279" s="20">
        <f t="shared" si="21"/>
        <v>2.5019490031507114</v>
      </c>
      <c r="H279" s="20">
        <f t="shared" ref="H279:H342" si="23">AVERAGE(G260:G279)</f>
        <v>2.4600741769914647</v>
      </c>
      <c r="I279" s="20">
        <f t="shared" si="22"/>
        <v>0.70715896074581486</v>
      </c>
      <c r="J279" s="22">
        <f t="shared" ref="J279:J342" si="24">AVERAGE(I260:I279)</f>
        <v>0.70007142799137911</v>
      </c>
    </row>
    <row r="280" spans="1:10" x14ac:dyDescent="0.3">
      <c r="A280" s="37">
        <v>46022</v>
      </c>
      <c r="B280" s="21">
        <v>3031.1257999999998</v>
      </c>
      <c r="C280" s="21">
        <v>7595.2844999999998</v>
      </c>
      <c r="D280" s="21">
        <v>5065.1922999999997</v>
      </c>
      <c r="E280" s="21">
        <v>7203.2636000000002</v>
      </c>
      <c r="F280" s="19">
        <f t="shared" si="20"/>
        <v>46022</v>
      </c>
      <c r="G280" s="20">
        <f t="shared" si="21"/>
        <v>2.5057635351195255</v>
      </c>
      <c r="H280" s="20">
        <f t="shared" si="23"/>
        <v>2.4630524085057344</v>
      </c>
      <c r="I280" s="20">
        <f t="shared" si="22"/>
        <v>0.70318019459957004</v>
      </c>
      <c r="J280" s="22">
        <f t="shared" si="24"/>
        <v>0.70094881990252367</v>
      </c>
    </row>
    <row r="281" spans="1:10" x14ac:dyDescent="0.3">
      <c r="A281" s="37">
        <v>46027</v>
      </c>
      <c r="B281" s="21">
        <v>3099.7462</v>
      </c>
      <c r="C281" s="21">
        <v>7753.88</v>
      </c>
      <c r="D281" s="21">
        <v>5186.2127</v>
      </c>
      <c r="E281" s="21">
        <v>7277.9452000000001</v>
      </c>
      <c r="F281" s="19">
        <f t="shared" si="20"/>
        <v>46027</v>
      </c>
      <c r="G281" s="20">
        <f t="shared" si="21"/>
        <v>2.501456409560241</v>
      </c>
      <c r="H281" s="20">
        <f t="shared" si="23"/>
        <v>2.4662719040865784</v>
      </c>
      <c r="I281" s="20">
        <f t="shared" si="22"/>
        <v>0.71259298572349794</v>
      </c>
      <c r="J281" s="22">
        <f t="shared" si="24"/>
        <v>0.70201333315498071</v>
      </c>
    </row>
    <row r="282" spans="1:10" x14ac:dyDescent="0.3">
      <c r="A282" s="37">
        <v>46028</v>
      </c>
      <c r="B282" s="21">
        <v>3158.7631999999999</v>
      </c>
      <c r="C282" s="21">
        <v>7864.9034000000001</v>
      </c>
      <c r="D282" s="21">
        <v>5263.6891999999998</v>
      </c>
      <c r="E282" s="21">
        <v>7404.4691999999995</v>
      </c>
      <c r="F282" s="19">
        <f t="shared" si="20"/>
        <v>46028</v>
      </c>
      <c r="G282" s="20">
        <f t="shared" si="21"/>
        <v>2.4898679964360735</v>
      </c>
      <c r="H282" s="20">
        <f t="shared" si="23"/>
        <v>2.4684723138847358</v>
      </c>
      <c r="I282" s="20">
        <f t="shared" si="22"/>
        <v>0.71088001824627756</v>
      </c>
      <c r="J282" s="22">
        <f t="shared" si="24"/>
        <v>0.70296889927335582</v>
      </c>
    </row>
    <row r="283" spans="1:10" x14ac:dyDescent="0.3">
      <c r="A283" s="37">
        <v>46029</v>
      </c>
      <c r="B283" s="21">
        <v>3145.1197000000002</v>
      </c>
      <c r="C283" s="21">
        <v>7906.4197000000004</v>
      </c>
      <c r="D283" s="21">
        <v>5272.0326999999997</v>
      </c>
      <c r="E283" s="21">
        <v>7388.7550000000001</v>
      </c>
      <c r="F283" s="19">
        <f t="shared" si="20"/>
        <v>46029</v>
      </c>
      <c r="G283" s="20">
        <f t="shared" si="21"/>
        <v>2.5138692495551123</v>
      </c>
      <c r="H283" s="20">
        <f t="shared" si="23"/>
        <v>2.4712416917379914</v>
      </c>
      <c r="I283" s="20">
        <f t="shared" si="22"/>
        <v>0.71352111417958775</v>
      </c>
      <c r="J283" s="22">
        <f t="shared" si="24"/>
        <v>0.70368294361319117</v>
      </c>
    </row>
    <row r="284" spans="1:10" x14ac:dyDescent="0.3">
      <c r="A284" s="37">
        <v>46030</v>
      </c>
      <c r="B284" s="21">
        <v>3122.0626999999999</v>
      </c>
      <c r="C284" s="21">
        <v>7971.5887000000002</v>
      </c>
      <c r="D284" s="21">
        <v>5233.0941000000003</v>
      </c>
      <c r="E284" s="21">
        <v>7329.0856000000003</v>
      </c>
      <c r="F284" s="19">
        <f t="shared" si="20"/>
        <v>46030</v>
      </c>
      <c r="G284" s="20">
        <f t="shared" si="21"/>
        <v>2.5533083304188606</v>
      </c>
      <c r="H284" s="20">
        <f t="shared" si="23"/>
        <v>2.4758136920452505</v>
      </c>
      <c r="I284" s="20">
        <f t="shared" si="22"/>
        <v>0.71401732570840759</v>
      </c>
      <c r="J284" s="22">
        <f t="shared" si="24"/>
        <v>0.70424445795833779</v>
      </c>
    </row>
    <row r="285" spans="1:10" x14ac:dyDescent="0.3">
      <c r="A285" s="37">
        <v>46031</v>
      </c>
      <c r="B285" s="21">
        <v>3134.3245000000002</v>
      </c>
      <c r="C285" s="21">
        <v>8129.1831000000002</v>
      </c>
      <c r="D285" s="21">
        <v>5274.2253000000001</v>
      </c>
      <c r="E285" s="21">
        <v>7354.7761</v>
      </c>
      <c r="F285" s="19">
        <f t="shared" si="20"/>
        <v>46031</v>
      </c>
      <c r="G285" s="20">
        <f t="shared" si="21"/>
        <v>2.5935997054548756</v>
      </c>
      <c r="H285" s="20">
        <f t="shared" si="23"/>
        <v>2.4815535189682447</v>
      </c>
      <c r="I285" s="20">
        <f t="shared" si="22"/>
        <v>0.71711568486768751</v>
      </c>
      <c r="J285" s="22">
        <f t="shared" si="24"/>
        <v>0.70475528424636846</v>
      </c>
    </row>
    <row r="286" spans="1:10" x14ac:dyDescent="0.3">
      <c r="A286" s="37">
        <v>46034</v>
      </c>
      <c r="B286" s="21">
        <v>3143.7370999999998</v>
      </c>
      <c r="C286" s="21">
        <v>8357.0107000000007</v>
      </c>
      <c r="D286" s="21">
        <v>5311.4618</v>
      </c>
      <c r="E286" s="21">
        <v>7370.9301999999998</v>
      </c>
      <c r="F286" s="19">
        <f t="shared" si="20"/>
        <v>46034</v>
      </c>
      <c r="G286" s="20">
        <f t="shared" si="21"/>
        <v>2.6583045700609</v>
      </c>
      <c r="H286" s="20">
        <f t="shared" si="23"/>
        <v>2.4916619478531867</v>
      </c>
      <c r="I286" s="20">
        <f t="shared" si="22"/>
        <v>0.72059586183572866</v>
      </c>
      <c r="J286" s="22">
        <f t="shared" si="24"/>
        <v>0.705603958790472</v>
      </c>
    </row>
    <row r="287" spans="1:10" x14ac:dyDescent="0.3">
      <c r="A287" s="37">
        <v>46035</v>
      </c>
      <c r="B287" s="21">
        <v>3132.9328</v>
      </c>
      <c r="C287" s="21">
        <v>8203.1327000000001</v>
      </c>
      <c r="D287" s="21">
        <v>5274.0316000000003</v>
      </c>
      <c r="E287" s="21">
        <v>7379.2245000000003</v>
      </c>
      <c r="F287" s="19">
        <f t="shared" si="20"/>
        <v>46035</v>
      </c>
      <c r="G287" s="20">
        <f t="shared" si="21"/>
        <v>2.6183557783301321</v>
      </c>
      <c r="H287" s="20">
        <f t="shared" si="23"/>
        <v>2.4995110160273386</v>
      </c>
      <c r="I287" s="20">
        <f t="shared" si="22"/>
        <v>0.71471353121185022</v>
      </c>
      <c r="J287" s="22">
        <f t="shared" si="24"/>
        <v>0.70591596820465807</v>
      </c>
    </row>
    <row r="288" spans="1:10" x14ac:dyDescent="0.3">
      <c r="A288" s="37">
        <v>46036</v>
      </c>
      <c r="B288" s="21">
        <v>3112.0745000000002</v>
      </c>
      <c r="C288" s="21">
        <v>8257.1715999999997</v>
      </c>
      <c r="D288" s="21">
        <v>5288.2843000000003</v>
      </c>
      <c r="E288" s="21">
        <v>7322.2631000000001</v>
      </c>
      <c r="F288" s="19">
        <f t="shared" si="20"/>
        <v>46036</v>
      </c>
      <c r="G288" s="20">
        <f t="shared" si="21"/>
        <v>2.6532692581748925</v>
      </c>
      <c r="H288" s="20">
        <f t="shared" si="23"/>
        <v>2.5098291469711378</v>
      </c>
      <c r="I288" s="20">
        <f t="shared" si="22"/>
        <v>0.722219924055993</v>
      </c>
      <c r="J288" s="22">
        <f t="shared" si="24"/>
        <v>0.70710937064813728</v>
      </c>
    </row>
    <row r="289" spans="1:10" x14ac:dyDescent="0.3">
      <c r="A289" s="37">
        <v>46037</v>
      </c>
      <c r="B289" s="21">
        <v>3105.5751</v>
      </c>
      <c r="C289" s="21">
        <v>8240.7751000000007</v>
      </c>
      <c r="D289" s="21">
        <v>5335.7614999999996</v>
      </c>
      <c r="E289" s="21">
        <v>7313.7037</v>
      </c>
      <c r="F289" s="19">
        <f t="shared" si="20"/>
        <v>46037</v>
      </c>
      <c r="G289" s="20">
        <f t="shared" si="21"/>
        <v>2.6535423664364131</v>
      </c>
      <c r="H289" s="20">
        <f t="shared" si="23"/>
        <v>2.5209811009765568</v>
      </c>
      <c r="I289" s="20">
        <f t="shared" si="22"/>
        <v>0.72955669505725251</v>
      </c>
      <c r="J289" s="22">
        <f t="shared" si="24"/>
        <v>0.70892057485467141</v>
      </c>
    </row>
    <row r="290" spans="1:10" x14ac:dyDescent="0.3">
      <c r="A290" s="37">
        <v>46038</v>
      </c>
      <c r="B290" s="21">
        <v>3079.7631000000001</v>
      </c>
      <c r="C290" s="21">
        <v>8232.7293000000009</v>
      </c>
      <c r="D290" s="21">
        <v>5342.4313000000002</v>
      </c>
      <c r="E290" s="21">
        <v>7239.1205</v>
      </c>
      <c r="F290" s="19">
        <f t="shared" si="20"/>
        <v>46038</v>
      </c>
      <c r="G290" s="20">
        <f t="shared" si="21"/>
        <v>2.6731696668487261</v>
      </c>
      <c r="H290" s="20">
        <f t="shared" si="23"/>
        <v>2.5328226787078036</v>
      </c>
      <c r="I290" s="20">
        <f t="shared" si="22"/>
        <v>0.73799452571621105</v>
      </c>
      <c r="J290" s="22">
        <f t="shared" si="24"/>
        <v>0.710695184023724</v>
      </c>
    </row>
    <row r="291" spans="1:10" x14ac:dyDescent="0.3">
      <c r="A291" s="37">
        <v>46041</v>
      </c>
      <c r="B291" s="21">
        <v>3075.9357</v>
      </c>
      <c r="C291" s="21">
        <v>8265.6461999999992</v>
      </c>
      <c r="D291" s="21">
        <v>5353.9840000000004</v>
      </c>
      <c r="E291" s="21">
        <v>7273.3041000000003</v>
      </c>
      <c r="F291" s="19">
        <f t="shared" si="20"/>
        <v>46041</v>
      </c>
      <c r="G291" s="20">
        <f t="shared" si="21"/>
        <v>2.6871973299051728</v>
      </c>
      <c r="H291" s="20">
        <f t="shared" si="23"/>
        <v>2.5459158923876872</v>
      </c>
      <c r="I291" s="20">
        <f t="shared" si="22"/>
        <v>0.73611441600523764</v>
      </c>
      <c r="J291" s="22">
        <f t="shared" si="24"/>
        <v>0.7130188381882554</v>
      </c>
    </row>
    <row r="292" spans="1:10" x14ac:dyDescent="0.3">
      <c r="A292" s="37">
        <v>46042</v>
      </c>
      <c r="B292" s="21">
        <v>3070.6460000000002</v>
      </c>
      <c r="C292" s="21">
        <v>8182.7521999999999</v>
      </c>
      <c r="D292" s="21">
        <v>5312.2416000000003</v>
      </c>
      <c r="E292" s="21">
        <v>7339.7560000000003</v>
      </c>
      <c r="F292" s="19">
        <f t="shared" si="20"/>
        <v>46042</v>
      </c>
      <c r="G292" s="20">
        <f t="shared" si="21"/>
        <v>2.6648308531820337</v>
      </c>
      <c r="H292" s="20">
        <f t="shared" si="23"/>
        <v>2.5571704852337502</v>
      </c>
      <c r="I292" s="20">
        <f t="shared" si="22"/>
        <v>0.72376269728857467</v>
      </c>
      <c r="J292" s="22">
        <f t="shared" si="24"/>
        <v>0.71460237029694185</v>
      </c>
    </row>
    <row r="293" spans="1:10" x14ac:dyDescent="0.3">
      <c r="A293" s="37">
        <v>46043</v>
      </c>
      <c r="B293" s="21">
        <v>3067.1752999999999</v>
      </c>
      <c r="C293" s="21">
        <v>8247.6797999999999</v>
      </c>
      <c r="D293" s="21">
        <v>5355.9007000000001</v>
      </c>
      <c r="E293" s="21">
        <v>7294.7362999999996</v>
      </c>
      <c r="F293" s="19">
        <f t="shared" si="20"/>
        <v>46043</v>
      </c>
      <c r="G293" s="20">
        <f t="shared" si="21"/>
        <v>2.6890148078592051</v>
      </c>
      <c r="H293" s="20">
        <f t="shared" si="23"/>
        <v>2.5689757238045798</v>
      </c>
      <c r="I293" s="20">
        <f t="shared" si="22"/>
        <v>0.73421443623671501</v>
      </c>
      <c r="J293" s="22">
        <f t="shared" si="24"/>
        <v>0.71616054527357254</v>
      </c>
    </row>
    <row r="294" spans="1:10" x14ac:dyDescent="0.3">
      <c r="A294" s="37">
        <v>46044</v>
      </c>
      <c r="B294" s="21">
        <v>3053.1277</v>
      </c>
      <c r="C294" s="21">
        <v>8309.3456000000006</v>
      </c>
      <c r="D294" s="21">
        <v>5355.9117999999999</v>
      </c>
      <c r="E294" s="21">
        <v>7303.9436999999998</v>
      </c>
      <c r="F294" s="19">
        <f t="shared" si="20"/>
        <v>46044</v>
      </c>
      <c r="G294" s="20">
        <f t="shared" si="21"/>
        <v>2.7215846883836536</v>
      </c>
      <c r="H294" s="20">
        <f t="shared" si="23"/>
        <v>2.5829678767037256</v>
      </c>
      <c r="I294" s="20">
        <f t="shared" si="22"/>
        <v>0.73329040036275195</v>
      </c>
      <c r="J294" s="22">
        <f t="shared" si="24"/>
        <v>0.71765959596327833</v>
      </c>
    </row>
    <row r="295" spans="1:10" x14ac:dyDescent="0.3">
      <c r="A295" s="37">
        <v>46045</v>
      </c>
      <c r="B295" s="21">
        <v>3032.1930000000002</v>
      </c>
      <c r="C295" s="21">
        <v>8470.7438000000002</v>
      </c>
      <c r="D295" s="21">
        <v>5383.1647000000003</v>
      </c>
      <c r="E295" s="21">
        <v>7300.9359000000004</v>
      </c>
      <c r="F295" s="19">
        <f t="shared" si="20"/>
        <v>46045</v>
      </c>
      <c r="G295" s="20">
        <f t="shared" si="21"/>
        <v>2.7936031116752793</v>
      </c>
      <c r="H295" s="20">
        <f t="shared" si="23"/>
        <v>2.5985831547770681</v>
      </c>
      <c r="I295" s="20">
        <f t="shared" si="22"/>
        <v>0.73732529277513581</v>
      </c>
      <c r="J295" s="22">
        <f t="shared" si="24"/>
        <v>0.71924352613042519</v>
      </c>
    </row>
    <row r="296" spans="1:10" x14ac:dyDescent="0.3">
      <c r="A296" s="37">
        <v>46048</v>
      </c>
      <c r="B296" s="21">
        <v>3049.5871000000002</v>
      </c>
      <c r="C296" s="21">
        <v>8365.4344999999994</v>
      </c>
      <c r="D296" s="21">
        <v>5369.4826999999996</v>
      </c>
      <c r="E296" s="21">
        <v>7357.8774000000003</v>
      </c>
      <c r="F296" s="19">
        <f t="shared" si="20"/>
        <v>46048</v>
      </c>
      <c r="G296" s="20">
        <f t="shared" si="21"/>
        <v>2.7431367675971607</v>
      </c>
      <c r="H296" s="20">
        <f t="shared" si="23"/>
        <v>2.6107849081333567</v>
      </c>
      <c r="I296" s="20">
        <f t="shared" si="22"/>
        <v>0.72975974022073264</v>
      </c>
      <c r="J296" s="22">
        <f t="shared" si="24"/>
        <v>0.7204695549355028</v>
      </c>
    </row>
    <row r="297" spans="1:10" x14ac:dyDescent="0.3">
      <c r="A297" s="37">
        <v>46049</v>
      </c>
      <c r="B297" s="21">
        <v>3052.3932</v>
      </c>
      <c r="C297" s="21">
        <v>8382.1532999999999</v>
      </c>
      <c r="D297" s="21">
        <v>5382.9263000000001</v>
      </c>
      <c r="E297" s="21">
        <v>7320.8941999999997</v>
      </c>
      <c r="F297" s="19">
        <f t="shared" si="20"/>
        <v>46049</v>
      </c>
      <c r="G297" s="20">
        <f t="shared" si="21"/>
        <v>2.7460922465690198</v>
      </c>
      <c r="H297" s="20">
        <f t="shared" si="23"/>
        <v>2.6232205228025158</v>
      </c>
      <c r="I297" s="20">
        <f t="shared" si="22"/>
        <v>0.73528262435482272</v>
      </c>
      <c r="J297" s="22">
        <f t="shared" si="24"/>
        <v>0.72184366129865141</v>
      </c>
    </row>
    <row r="298" spans="1:10" x14ac:dyDescent="0.3">
      <c r="A298" s="37">
        <v>46050</v>
      </c>
      <c r="B298" s="21">
        <v>3060.5569999999998</v>
      </c>
      <c r="C298" s="21">
        <v>8399.7937999999995</v>
      </c>
      <c r="D298" s="21">
        <v>5422.8379999999997</v>
      </c>
      <c r="E298" s="21">
        <v>7381.9830000000002</v>
      </c>
      <c r="F298" s="19">
        <f t="shared" si="20"/>
        <v>46050</v>
      </c>
      <c r="G298" s="20">
        <f t="shared" si="21"/>
        <v>2.7445310771862768</v>
      </c>
      <c r="H298" s="20">
        <f t="shared" si="23"/>
        <v>2.6353223375952131</v>
      </c>
      <c r="I298" s="20">
        <f t="shared" si="22"/>
        <v>0.73460450938453792</v>
      </c>
      <c r="J298" s="22">
        <f t="shared" si="24"/>
        <v>0.72339504692881929</v>
      </c>
    </row>
    <row r="299" spans="1:10" x14ac:dyDescent="0.3">
      <c r="A299" s="37">
        <v>46051</v>
      </c>
      <c r="B299" s="21">
        <v>3110.9135000000001</v>
      </c>
      <c r="C299" s="21">
        <v>8332.2067000000006</v>
      </c>
      <c r="D299" s="21">
        <v>5420.1806999999999</v>
      </c>
      <c r="E299" s="21">
        <v>7483.6752999999999</v>
      </c>
      <c r="F299" s="19">
        <f t="shared" si="20"/>
        <v>46051</v>
      </c>
      <c r="G299" s="20">
        <f t="shared" si="21"/>
        <v>2.6783794213500314</v>
      </c>
      <c r="H299" s="20">
        <f t="shared" si="23"/>
        <v>2.6441438585051786</v>
      </c>
      <c r="I299" s="20">
        <f t="shared" si="22"/>
        <v>0.72426721934341542</v>
      </c>
      <c r="J299" s="22">
        <f t="shared" si="24"/>
        <v>0.7242504598586994</v>
      </c>
    </row>
    <row r="300" spans="1:10" x14ac:dyDescent="0.3">
      <c r="A300" s="37">
        <v>46052</v>
      </c>
      <c r="B300" s="21">
        <v>3066.4962999999998</v>
      </c>
      <c r="C300" s="21">
        <v>8254.8603000000003</v>
      </c>
      <c r="D300" s="21">
        <v>5351.3321999999998</v>
      </c>
      <c r="E300" s="21">
        <v>7374.4750999999997</v>
      </c>
      <c r="F300" s="19">
        <f t="shared" si="20"/>
        <v>46052</v>
      </c>
      <c r="G300" s="20">
        <f t="shared" si="21"/>
        <v>2.691951821366946</v>
      </c>
      <c r="H300" s="20">
        <f t="shared" si="23"/>
        <v>2.6534532728175497</v>
      </c>
      <c r="I300" s="20">
        <f t="shared" si="22"/>
        <v>0.72565601313102268</v>
      </c>
      <c r="J300" s="22">
        <f t="shared" si="24"/>
        <v>0.72537425078527185</v>
      </c>
    </row>
    <row r="301" spans="1:10" x14ac:dyDescent="0.3">
      <c r="A301" s="37">
        <v>46055</v>
      </c>
      <c r="B301" s="21">
        <v>3003.1372999999999</v>
      </c>
      <c r="C301" s="21">
        <v>7975.4282999999996</v>
      </c>
      <c r="D301" s="21">
        <v>5199.7740999999996</v>
      </c>
      <c r="E301" s="21">
        <v>7181.5483000000004</v>
      </c>
      <c r="F301" s="19">
        <f t="shared" si="20"/>
        <v>46055</v>
      </c>
      <c r="G301" s="20">
        <f t="shared" si="21"/>
        <v>2.6556988586569119</v>
      </c>
      <c r="H301" s="20">
        <f t="shared" si="23"/>
        <v>2.6611653952723837</v>
      </c>
      <c r="I301" s="20">
        <f t="shared" si="22"/>
        <v>0.72404638704442037</v>
      </c>
      <c r="J301" s="22">
        <f t="shared" si="24"/>
        <v>0.72594692085131807</v>
      </c>
    </row>
    <row r="302" spans="1:10" x14ac:dyDescent="0.3">
      <c r="A302" s="37">
        <v>46056</v>
      </c>
      <c r="B302" s="21">
        <v>3034.5803000000001</v>
      </c>
      <c r="C302" s="21">
        <v>8209.1010000000006</v>
      </c>
      <c r="D302" s="21">
        <v>5309.9503999999997</v>
      </c>
      <c r="E302" s="21">
        <v>7248.4148999999998</v>
      </c>
      <c r="F302" s="19">
        <f t="shared" si="20"/>
        <v>46056</v>
      </c>
      <c r="G302" s="20">
        <f t="shared" si="21"/>
        <v>2.7051849641283181</v>
      </c>
      <c r="H302" s="20">
        <f t="shared" si="23"/>
        <v>2.6719312436569962</v>
      </c>
      <c r="I302" s="20">
        <f t="shared" si="22"/>
        <v>0.73256711615666481</v>
      </c>
      <c r="J302" s="22">
        <f t="shared" si="24"/>
        <v>0.72703127574683735</v>
      </c>
    </row>
    <row r="303" spans="1:10" x14ac:dyDescent="0.3">
      <c r="A303" s="37">
        <v>46057</v>
      </c>
      <c r="B303" s="21">
        <v>3069.2431999999999</v>
      </c>
      <c r="C303" s="21">
        <v>8207.1203000000005</v>
      </c>
      <c r="D303" s="21">
        <v>5339.1217999999999</v>
      </c>
      <c r="E303" s="21">
        <v>7379.4345000000003</v>
      </c>
      <c r="F303" s="19">
        <f t="shared" si="20"/>
        <v>46057</v>
      </c>
      <c r="G303" s="20">
        <f t="shared" si="21"/>
        <v>2.6739882652505349</v>
      </c>
      <c r="H303" s="20">
        <f t="shared" si="23"/>
        <v>2.6799371944417674</v>
      </c>
      <c r="I303" s="20">
        <f t="shared" si="22"/>
        <v>0.72351367845327441</v>
      </c>
      <c r="J303" s="22">
        <f t="shared" si="24"/>
        <v>0.72753090396052189</v>
      </c>
    </row>
    <row r="304" spans="1:10" x14ac:dyDescent="0.3">
      <c r="A304" s="37">
        <v>46058</v>
      </c>
      <c r="B304" s="21">
        <v>3059.0120000000002</v>
      </c>
      <c r="C304" s="21">
        <v>8068.0766999999996</v>
      </c>
      <c r="D304" s="21">
        <v>5266.1643999999997</v>
      </c>
      <c r="E304" s="21">
        <v>7351.5676000000003</v>
      </c>
      <c r="F304" s="19">
        <f t="shared" si="20"/>
        <v>46058</v>
      </c>
      <c r="G304" s="20">
        <f t="shared" si="21"/>
        <v>2.6374779503970562</v>
      </c>
      <c r="H304" s="20">
        <f t="shared" si="23"/>
        <v>2.6841456754406772</v>
      </c>
      <c r="I304" s="20">
        <f t="shared" si="22"/>
        <v>0.71633217383459813</v>
      </c>
      <c r="J304" s="22">
        <f t="shared" si="24"/>
        <v>0.72764664636683141</v>
      </c>
    </row>
    <row r="305" spans="1:10" x14ac:dyDescent="0.3">
      <c r="A305" s="37">
        <v>46059</v>
      </c>
      <c r="B305" s="21">
        <v>3037.8602000000001</v>
      </c>
      <c r="C305" s="21">
        <v>8051.5742</v>
      </c>
      <c r="D305" s="21">
        <v>5244.9931999999999</v>
      </c>
      <c r="E305" s="21">
        <v>7335.4474</v>
      </c>
      <c r="F305" s="19">
        <f t="shared" si="20"/>
        <v>46059</v>
      </c>
      <c r="G305" s="20">
        <f t="shared" si="21"/>
        <v>2.650409719314931</v>
      </c>
      <c r="H305" s="20">
        <f t="shared" si="23"/>
        <v>2.6869861761336797</v>
      </c>
      <c r="I305" s="20">
        <f t="shared" si="22"/>
        <v>0.71502021812602734</v>
      </c>
      <c r="J305" s="22">
        <f t="shared" si="24"/>
        <v>0.72754187302974827</v>
      </c>
    </row>
    <row r="306" spans="1:10" x14ac:dyDescent="0.3">
      <c r="A306" s="37">
        <v>46062</v>
      </c>
      <c r="B306" s="21">
        <v>3081.7791000000002</v>
      </c>
      <c r="C306" s="21">
        <v>8233.7782999999999</v>
      </c>
      <c r="D306" s="21">
        <v>5341.0337</v>
      </c>
      <c r="E306" s="21">
        <v>7408.0937000000004</v>
      </c>
      <c r="F306" s="19">
        <f t="shared" si="20"/>
        <v>46062</v>
      </c>
      <c r="G306" s="20">
        <f t="shared" si="21"/>
        <v>2.6717613536933906</v>
      </c>
      <c r="H306" s="20">
        <f t="shared" si="23"/>
        <v>2.6876590153153046</v>
      </c>
      <c r="I306" s="20">
        <f t="shared" si="22"/>
        <v>0.72097275173503805</v>
      </c>
      <c r="J306" s="22">
        <f t="shared" si="24"/>
        <v>0.72756071752471363</v>
      </c>
    </row>
    <row r="307" spans="1:10" x14ac:dyDescent="0.3">
      <c r="A307" s="37">
        <v>46063</v>
      </c>
      <c r="B307" s="21">
        <v>3087.4050000000002</v>
      </c>
      <c r="C307" s="21">
        <v>8250.3001000000004</v>
      </c>
      <c r="D307" s="21">
        <v>5336.4408000000003</v>
      </c>
      <c r="E307" s="21">
        <v>7409.1422000000002</v>
      </c>
      <c r="F307" s="19">
        <f t="shared" si="20"/>
        <v>46063</v>
      </c>
      <c r="G307" s="20">
        <f t="shared" si="21"/>
        <v>2.6722441986069208</v>
      </c>
      <c r="H307" s="20">
        <f t="shared" si="23"/>
        <v>2.6903534363291439</v>
      </c>
      <c r="I307" s="20">
        <f t="shared" si="22"/>
        <v>0.72025082741697144</v>
      </c>
      <c r="J307" s="22">
        <f t="shared" si="24"/>
        <v>0.72783758233496987</v>
      </c>
    </row>
    <row r="308" spans="1:10" x14ac:dyDescent="0.3">
      <c r="A308" s="37">
        <v>46064</v>
      </c>
      <c r="B308" s="21">
        <v>3088.4571000000001</v>
      </c>
      <c r="C308" s="21">
        <v>8239.5130000000008</v>
      </c>
      <c r="D308" s="21">
        <v>5332.5114999999996</v>
      </c>
      <c r="E308" s="21">
        <v>7441.5210999999999</v>
      </c>
      <c r="F308" s="19">
        <f t="shared" si="20"/>
        <v>46064</v>
      </c>
      <c r="G308" s="20">
        <f t="shared" si="21"/>
        <v>2.6678411689772217</v>
      </c>
      <c r="H308" s="20">
        <f t="shared" si="23"/>
        <v>2.6910820318692599</v>
      </c>
      <c r="I308" s="20">
        <f t="shared" si="22"/>
        <v>0.71658891083437226</v>
      </c>
      <c r="J308" s="22">
        <f t="shared" si="24"/>
        <v>0.72755603167388894</v>
      </c>
    </row>
    <row r="309" spans="1:10" x14ac:dyDescent="0.3">
      <c r="A309" s="37">
        <v>46065</v>
      </c>
      <c r="B309" s="21">
        <v>3079.7273</v>
      </c>
      <c r="C309" s="21">
        <v>8314.8322000000007</v>
      </c>
      <c r="D309" s="21">
        <v>5366.4525999999996</v>
      </c>
      <c r="E309" s="21">
        <v>7422.6872999999996</v>
      </c>
      <c r="F309" s="19">
        <f t="shared" si="20"/>
        <v>46065</v>
      </c>
      <c r="G309" s="20">
        <f t="shared" si="21"/>
        <v>2.6998598869451853</v>
      </c>
      <c r="H309" s="20">
        <f t="shared" si="23"/>
        <v>2.6933979078946981</v>
      </c>
      <c r="I309" s="20">
        <f t="shared" si="22"/>
        <v>0.72297974885726357</v>
      </c>
      <c r="J309" s="22">
        <f t="shared" si="24"/>
        <v>0.72722718436388933</v>
      </c>
    </row>
    <row r="310" spans="1:10" x14ac:dyDescent="0.3">
      <c r="A310" s="37">
        <v>46066</v>
      </c>
      <c r="B310" s="21">
        <v>3034.3458999999998</v>
      </c>
      <c r="C310" s="21">
        <v>8204.8294000000005</v>
      </c>
      <c r="D310" s="21">
        <v>5283.3877000000002</v>
      </c>
      <c r="E310" s="21">
        <v>7301.1885000000002</v>
      </c>
      <c r="F310" s="19">
        <f t="shared" si="20"/>
        <v>46066</v>
      </c>
      <c r="G310" s="20">
        <f t="shared" si="21"/>
        <v>2.7039861869406518</v>
      </c>
      <c r="H310" s="20">
        <f t="shared" si="23"/>
        <v>2.6949387338992947</v>
      </c>
      <c r="I310" s="20">
        <f t="shared" si="22"/>
        <v>0.72363392617516997</v>
      </c>
      <c r="J310" s="22">
        <f t="shared" si="24"/>
        <v>0.72650915438683727</v>
      </c>
    </row>
    <row r="311" spans="1:10" x14ac:dyDescent="0.3">
      <c r="A311" s="37">
        <v>46077</v>
      </c>
      <c r="B311" s="21">
        <v>3041.3242</v>
      </c>
      <c r="C311" s="21">
        <v>8299.7705000000005</v>
      </c>
      <c r="D311" s="21">
        <v>5354.1399000000001</v>
      </c>
      <c r="E311" s="21">
        <v>7392.2542999999996</v>
      </c>
      <c r="F311" s="19">
        <f t="shared" si="20"/>
        <v>46077</v>
      </c>
      <c r="G311" s="20">
        <f t="shared" si="21"/>
        <v>2.7289989340827265</v>
      </c>
      <c r="H311" s="20">
        <f t="shared" si="23"/>
        <v>2.6970288141081724</v>
      </c>
      <c r="I311" s="20">
        <f t="shared" si="22"/>
        <v>0.72429054557822781</v>
      </c>
      <c r="J311" s="22">
        <f t="shared" si="24"/>
        <v>0.72591796086548688</v>
      </c>
    </row>
    <row r="312" spans="1:10" x14ac:dyDescent="0.3">
      <c r="A312" s="37">
        <v>46078</v>
      </c>
      <c r="B312" s="21">
        <v>3054.9247</v>
      </c>
      <c r="C312" s="21">
        <v>8426.3313999999991</v>
      </c>
      <c r="D312" s="21">
        <v>5424.4237000000003</v>
      </c>
      <c r="E312" s="21">
        <v>7442.5661</v>
      </c>
      <c r="F312" s="19">
        <f t="shared" si="20"/>
        <v>46078</v>
      </c>
      <c r="G312" s="20">
        <f t="shared" si="21"/>
        <v>2.7582779372597952</v>
      </c>
      <c r="H312" s="20">
        <f t="shared" si="23"/>
        <v>2.7017011683120606</v>
      </c>
      <c r="I312" s="20">
        <f t="shared" si="22"/>
        <v>0.72883782651255191</v>
      </c>
      <c r="J312" s="22">
        <f t="shared" si="24"/>
        <v>0.72617171732668573</v>
      </c>
    </row>
    <row r="313" spans="1:10" x14ac:dyDescent="0.3">
      <c r="A313" s="37">
        <v>46079</v>
      </c>
      <c r="B313" s="21">
        <v>3035.0707000000002</v>
      </c>
      <c r="C313" s="21">
        <v>8490.6172999999999</v>
      </c>
      <c r="D313" s="21">
        <v>5418.4484000000002</v>
      </c>
      <c r="E313" s="21">
        <v>7419.7075000000004</v>
      </c>
      <c r="F313" s="19">
        <f t="shared" si="20"/>
        <v>46079</v>
      </c>
      <c r="G313" s="20">
        <f t="shared" si="21"/>
        <v>2.7975023118901312</v>
      </c>
      <c r="H313" s="20">
        <f t="shared" si="23"/>
        <v>2.7071255435136066</v>
      </c>
      <c r="I313" s="20">
        <f t="shared" si="22"/>
        <v>0.73027789842119784</v>
      </c>
      <c r="J313" s="22">
        <f t="shared" si="24"/>
        <v>0.72597489043590979</v>
      </c>
    </row>
    <row r="314" spans="1:10" x14ac:dyDescent="0.3">
      <c r="A314" s="37">
        <v>46080</v>
      </c>
      <c r="B314" s="21">
        <v>3039.431</v>
      </c>
      <c r="C314" s="21">
        <v>8560.8433000000005</v>
      </c>
      <c r="D314" s="21">
        <v>5408.8172000000004</v>
      </c>
      <c r="E314" s="21">
        <v>7466.0473000000002</v>
      </c>
      <c r="F314" s="19">
        <f t="shared" si="20"/>
        <v>46080</v>
      </c>
      <c r="G314" s="20">
        <f t="shared" si="21"/>
        <v>2.816594059875023</v>
      </c>
      <c r="H314" s="20">
        <f t="shared" si="23"/>
        <v>2.7118760120881755</v>
      </c>
      <c r="I314" s="20">
        <f t="shared" si="22"/>
        <v>0.72445525492451679</v>
      </c>
      <c r="J314" s="22">
        <f t="shared" si="24"/>
        <v>0.72553313316399803</v>
      </c>
    </row>
    <row r="315" spans="1:10" x14ac:dyDescent="0.3">
      <c r="A315" s="37">
        <v>46083</v>
      </c>
      <c r="B315" s="21">
        <v>3046.4666999999999</v>
      </c>
      <c r="C315" s="21">
        <v>8476.9650000000001</v>
      </c>
      <c r="D315" s="21">
        <v>5436.5830999999998</v>
      </c>
      <c r="E315" s="21">
        <v>7531.6819999999998</v>
      </c>
      <c r="F315" s="19">
        <f t="shared" si="20"/>
        <v>46083</v>
      </c>
      <c r="G315" s="20">
        <f t="shared" si="21"/>
        <v>2.7825562642782211</v>
      </c>
      <c r="H315" s="20">
        <f t="shared" si="23"/>
        <v>2.7113236697183227</v>
      </c>
      <c r="I315" s="20">
        <f t="shared" si="22"/>
        <v>0.7218285503822387</v>
      </c>
      <c r="J315" s="22">
        <f t="shared" si="24"/>
        <v>0.72475829604435316</v>
      </c>
    </row>
    <row r="316" spans="1:10" x14ac:dyDescent="0.3">
      <c r="A316" s="37">
        <v>46084</v>
      </c>
      <c r="B316" s="21">
        <v>3014.2701999999999</v>
      </c>
      <c r="C316" s="21">
        <v>8142.4538000000002</v>
      </c>
      <c r="D316" s="21">
        <v>5295.5153</v>
      </c>
      <c r="E316" s="21">
        <v>7490.5502999999999</v>
      </c>
      <c r="F316" s="19">
        <f t="shared" si="20"/>
        <v>46084</v>
      </c>
      <c r="G316" s="20">
        <f t="shared" si="21"/>
        <v>2.7013018939045348</v>
      </c>
      <c r="H316" s="20">
        <f t="shared" si="23"/>
        <v>2.7092319260336919</v>
      </c>
      <c r="I316" s="20">
        <f t="shared" si="22"/>
        <v>0.70695944729187654</v>
      </c>
      <c r="J316" s="22">
        <f t="shared" si="24"/>
        <v>0.72361828139791029</v>
      </c>
    </row>
    <row r="317" spans="1:10" x14ac:dyDescent="0.3">
      <c r="A317" s="37">
        <v>46085</v>
      </c>
      <c r="B317" s="21">
        <v>2974.2096999999999</v>
      </c>
      <c r="C317" s="21">
        <v>8094.5182999999997</v>
      </c>
      <c r="D317" s="21">
        <v>5240.4243999999999</v>
      </c>
      <c r="E317" s="21">
        <v>7411.7375000000002</v>
      </c>
      <c r="F317" s="19">
        <f t="shared" si="20"/>
        <v>46085</v>
      </c>
      <c r="G317" s="20">
        <f t="shared" si="21"/>
        <v>2.721569464318538</v>
      </c>
      <c r="H317" s="20">
        <f t="shared" si="23"/>
        <v>2.7080057869211678</v>
      </c>
      <c r="I317" s="20">
        <f t="shared" si="22"/>
        <v>0.70704398260192025</v>
      </c>
      <c r="J317" s="22">
        <f t="shared" si="24"/>
        <v>0.72220634931026517</v>
      </c>
    </row>
    <row r="318" spans="1:10" x14ac:dyDescent="0.3">
      <c r="A318" s="37">
        <v>46086</v>
      </c>
      <c r="B318" s="21">
        <v>2988.4504999999999</v>
      </c>
      <c r="C318" s="21">
        <v>8171.1193999999996</v>
      </c>
      <c r="D318" s="21">
        <v>5291.9479000000001</v>
      </c>
      <c r="E318" s="21">
        <v>7455.9407000000001</v>
      </c>
      <c r="F318" s="19">
        <f t="shared" si="20"/>
        <v>46086</v>
      </c>
      <c r="G318" s="20">
        <f t="shared" si="21"/>
        <v>2.7342328072691853</v>
      </c>
      <c r="H318" s="20">
        <f t="shared" si="23"/>
        <v>2.7074908734253134</v>
      </c>
      <c r="I318" s="20">
        <f t="shared" si="22"/>
        <v>0.70976260581042439</v>
      </c>
      <c r="J318" s="22">
        <f t="shared" si="24"/>
        <v>0.72096425413155951</v>
      </c>
    </row>
    <row r="319" spans="1:10" x14ac:dyDescent="0.3">
      <c r="A319" s="37">
        <v>46087</v>
      </c>
      <c r="B319" s="21">
        <v>2992.7021</v>
      </c>
      <c r="C319" s="21">
        <v>8248.8569000000007</v>
      </c>
      <c r="D319" s="21">
        <v>5298.1818000000003</v>
      </c>
      <c r="E319" s="21">
        <v>7486.4605000000001</v>
      </c>
      <c r="F319" s="19">
        <f t="shared" si="20"/>
        <v>46087</v>
      </c>
      <c r="G319" s="20">
        <f t="shared" si="21"/>
        <v>2.7563240925316292</v>
      </c>
      <c r="H319" s="20">
        <f t="shared" si="23"/>
        <v>2.7113881069843933</v>
      </c>
      <c r="I319" s="20">
        <f t="shared" si="22"/>
        <v>0.70770183052458502</v>
      </c>
      <c r="J319" s="22">
        <f t="shared" si="24"/>
        <v>0.7201359846906179</v>
      </c>
    </row>
    <row r="320" spans="1:10" x14ac:dyDescent="0.3">
      <c r="A320" s="37">
        <v>46090</v>
      </c>
      <c r="B320" s="21">
        <v>2962.9888000000001</v>
      </c>
      <c r="C320" s="21">
        <v>8203.8687000000009</v>
      </c>
      <c r="D320" s="21">
        <v>5245.6347999999998</v>
      </c>
      <c r="E320" s="21">
        <v>7423.3702000000003</v>
      </c>
      <c r="F320" s="19">
        <f t="shared" si="20"/>
        <v>46090</v>
      </c>
      <c r="G320" s="20">
        <f t="shared" si="21"/>
        <v>2.76878154247495</v>
      </c>
      <c r="H320" s="20">
        <f t="shared" si="23"/>
        <v>2.7152295930397927</v>
      </c>
      <c r="I320" s="20">
        <f t="shared" si="22"/>
        <v>0.70663790955757533</v>
      </c>
      <c r="J320" s="22">
        <f t="shared" si="24"/>
        <v>0.71918507951194555</v>
      </c>
    </row>
    <row r="321" spans="1:10" x14ac:dyDescent="0.3">
      <c r="A321" s="37">
        <v>46091</v>
      </c>
      <c r="B321" s="21">
        <v>2981.8350999999998</v>
      </c>
      <c r="C321" s="21">
        <v>8350.0895999999993</v>
      </c>
      <c r="D321" s="21">
        <v>5336.6091999999999</v>
      </c>
      <c r="E321" s="21">
        <v>7436.3325999999997</v>
      </c>
      <c r="F321" s="19">
        <f t="shared" si="20"/>
        <v>46091</v>
      </c>
      <c r="G321" s="20">
        <f t="shared" si="21"/>
        <v>2.8003190384337482</v>
      </c>
      <c r="H321" s="20">
        <f t="shared" si="23"/>
        <v>2.7224606020286339</v>
      </c>
      <c r="I321" s="20">
        <f t="shared" si="22"/>
        <v>0.71763992912312713</v>
      </c>
      <c r="J321" s="22">
        <f t="shared" si="24"/>
        <v>0.71886475661588078</v>
      </c>
    </row>
    <row r="322" spans="1:10" x14ac:dyDescent="0.3">
      <c r="A322" s="37">
        <v>46092</v>
      </c>
      <c r="B322" s="21">
        <v>2985.3449000000001</v>
      </c>
      <c r="C322" s="21">
        <v>8363.5262000000002</v>
      </c>
      <c r="D322" s="21">
        <v>5371.9233999999997</v>
      </c>
      <c r="E322" s="21">
        <v>7521.1079</v>
      </c>
      <c r="F322" s="19">
        <f t="shared" si="20"/>
        <v>46092</v>
      </c>
      <c r="G322" s="20">
        <f t="shared" si="21"/>
        <v>2.8015276224867685</v>
      </c>
      <c r="H322" s="20">
        <f t="shared" si="23"/>
        <v>2.7272777349465569</v>
      </c>
      <c r="I322" s="20">
        <f t="shared" si="22"/>
        <v>0.71424628810337898</v>
      </c>
      <c r="J322" s="22">
        <f t="shared" si="24"/>
        <v>0.71794871521321668</v>
      </c>
    </row>
    <row r="323" spans="1:10" x14ac:dyDescent="0.3">
      <c r="A323" s="37">
        <v>46093</v>
      </c>
      <c r="B323" s="21">
        <v>2971.5612000000001</v>
      </c>
      <c r="C323" s="21">
        <v>8335.9078000000009</v>
      </c>
      <c r="D323" s="21">
        <v>5337.3240999999998</v>
      </c>
      <c r="E323" s="21">
        <v>7558.5506999999998</v>
      </c>
      <c r="F323" s="19">
        <f t="shared" si="20"/>
        <v>46093</v>
      </c>
      <c r="G323" s="20">
        <f t="shared" si="21"/>
        <v>2.8052283762488219</v>
      </c>
      <c r="H323" s="20">
        <f t="shared" si="23"/>
        <v>2.7338397404964709</v>
      </c>
      <c r="I323" s="20">
        <f t="shared" si="22"/>
        <v>0.70613062104617486</v>
      </c>
      <c r="J323" s="22">
        <f t="shared" si="24"/>
        <v>0.71707956234286163</v>
      </c>
    </row>
    <row r="324" spans="1:10" x14ac:dyDescent="0.3">
      <c r="A324" s="37">
        <v>46094</v>
      </c>
      <c r="B324" s="21">
        <v>2956.8467999999998</v>
      </c>
      <c r="C324" s="21">
        <v>8214.2926000000007</v>
      </c>
      <c r="D324" s="21">
        <v>5313.9004000000004</v>
      </c>
      <c r="E324" s="21">
        <v>7518.2772000000004</v>
      </c>
      <c r="F324" s="19">
        <f t="shared" si="20"/>
        <v>46094</v>
      </c>
      <c r="G324" s="20">
        <f t="shared" si="21"/>
        <v>2.7780582341973217</v>
      </c>
      <c r="H324" s="20">
        <f t="shared" si="23"/>
        <v>2.7408687546864843</v>
      </c>
      <c r="I324" s="20">
        <f t="shared" si="22"/>
        <v>0.70679761581549561</v>
      </c>
      <c r="J324" s="22">
        <f t="shared" si="24"/>
        <v>0.71660283444190653</v>
      </c>
    </row>
    <row r="325" spans="1:10" x14ac:dyDescent="0.3">
      <c r="A325" s="37">
        <v>46097</v>
      </c>
      <c r="B325" s="21">
        <v>2954.0884999999998</v>
      </c>
      <c r="C325" s="21">
        <v>8211.3516999999993</v>
      </c>
      <c r="D325" s="21">
        <v>5316.8130000000001</v>
      </c>
      <c r="E325" s="21">
        <v>7450.0699000000004</v>
      </c>
      <c r="F325" s="19">
        <f t="shared" ref="F325:F360" si="25">A325</f>
        <v>46097</v>
      </c>
      <c r="G325" s="20">
        <f t="shared" ref="G325:G360" si="26">C325/B325</f>
        <v>2.7796566352023642</v>
      </c>
      <c r="H325" s="20">
        <f t="shared" si="23"/>
        <v>2.7473311004808565</v>
      </c>
      <c r="I325" s="20">
        <f t="shared" ref="I325:I360" si="27">D325/E325</f>
        <v>0.71365947855066436</v>
      </c>
      <c r="J325" s="22">
        <f t="shared" si="24"/>
        <v>0.71653479746313842</v>
      </c>
    </row>
    <row r="326" spans="1:10" x14ac:dyDescent="0.3">
      <c r="A326" s="37">
        <v>46098</v>
      </c>
      <c r="B326" s="21">
        <v>2963.5779000000002</v>
      </c>
      <c r="C326" s="21">
        <v>8019.8568999999998</v>
      </c>
      <c r="D326" s="21">
        <v>5236.8752999999997</v>
      </c>
      <c r="E326" s="21">
        <v>7416.1842999999999</v>
      </c>
      <c r="F326" s="19">
        <f t="shared" si="25"/>
        <v>46098</v>
      </c>
      <c r="G326" s="20">
        <f t="shared" si="26"/>
        <v>2.7061400680576</v>
      </c>
      <c r="H326" s="20">
        <f t="shared" si="23"/>
        <v>2.7490500361990664</v>
      </c>
      <c r="I326" s="20">
        <f t="shared" si="27"/>
        <v>0.70614147223930235</v>
      </c>
      <c r="J326" s="22">
        <f t="shared" si="24"/>
        <v>0.71579323348835167</v>
      </c>
    </row>
    <row r="327" spans="1:10" x14ac:dyDescent="0.3">
      <c r="A327" s="37">
        <v>46099</v>
      </c>
      <c r="B327" s="21">
        <v>2961.4263999999998</v>
      </c>
      <c r="C327" s="21">
        <v>8096.5947999999999</v>
      </c>
      <c r="D327" s="21">
        <v>5275.2264999999998</v>
      </c>
      <c r="E327" s="21">
        <v>7401.3164999999999</v>
      </c>
      <c r="F327" s="19">
        <f t="shared" si="25"/>
        <v>46099</v>
      </c>
      <c r="G327" s="20">
        <f t="shared" si="26"/>
        <v>2.7340185796952441</v>
      </c>
      <c r="H327" s="20">
        <f t="shared" si="23"/>
        <v>2.7521387552534828</v>
      </c>
      <c r="I327" s="20">
        <f t="shared" si="27"/>
        <v>0.71274164535457984</v>
      </c>
      <c r="J327" s="22">
        <f t="shared" si="24"/>
        <v>0.71541777438523213</v>
      </c>
    </row>
    <row r="328" spans="1:10" x14ac:dyDescent="0.3">
      <c r="A328" s="37">
        <v>46100</v>
      </c>
      <c r="B328" s="21">
        <v>2916.2348000000002</v>
      </c>
      <c r="C328" s="21">
        <v>7909.2343000000001</v>
      </c>
      <c r="D328" s="21">
        <v>5157.0248000000001</v>
      </c>
      <c r="E328" s="21">
        <v>7295.4062000000004</v>
      </c>
      <c r="F328" s="19">
        <f t="shared" si="25"/>
        <v>46100</v>
      </c>
      <c r="G328" s="20">
        <f t="shared" si="26"/>
        <v>2.7121390568413761</v>
      </c>
      <c r="H328" s="20">
        <f t="shared" si="23"/>
        <v>2.7543536496466907</v>
      </c>
      <c r="I328" s="20">
        <f t="shared" si="27"/>
        <v>0.70688658843972252</v>
      </c>
      <c r="J328" s="22">
        <f t="shared" si="24"/>
        <v>0.71493265826549979</v>
      </c>
    </row>
    <row r="329" spans="1:10" x14ac:dyDescent="0.3">
      <c r="A329" s="37">
        <v>46101</v>
      </c>
      <c r="B329" s="21">
        <v>2883.8643999999999</v>
      </c>
      <c r="C329" s="21">
        <v>7783.4345000000003</v>
      </c>
      <c r="D329" s="21">
        <v>5166.2452999999996</v>
      </c>
      <c r="E329" s="21">
        <v>7238.6189000000004</v>
      </c>
      <c r="F329" s="19">
        <f t="shared" si="25"/>
        <v>46101</v>
      </c>
      <c r="G329" s="20">
        <f t="shared" si="26"/>
        <v>2.6989599441638106</v>
      </c>
      <c r="H329" s="20">
        <f t="shared" si="23"/>
        <v>2.7543086525076217</v>
      </c>
      <c r="I329" s="20">
        <f t="shared" si="27"/>
        <v>0.71370593912603952</v>
      </c>
      <c r="J329" s="22">
        <f t="shared" si="24"/>
        <v>0.71446896777893865</v>
      </c>
    </row>
    <row r="330" spans="1:10" x14ac:dyDescent="0.3">
      <c r="A330" s="37">
        <v>46104</v>
      </c>
      <c r="B330" s="21">
        <v>2792.3287999999998</v>
      </c>
      <c r="C330" s="21">
        <v>7409.1067999999996</v>
      </c>
      <c r="D330" s="21">
        <v>5003.1234999999997</v>
      </c>
      <c r="E330" s="21">
        <v>7009.442</v>
      </c>
      <c r="F330" s="19">
        <f t="shared" si="25"/>
        <v>46104</v>
      </c>
      <c r="G330" s="20">
        <f t="shared" si="26"/>
        <v>2.6533790719774837</v>
      </c>
      <c r="H330" s="20">
        <f t="shared" si="23"/>
        <v>2.7517782967594639</v>
      </c>
      <c r="I330" s="20">
        <f t="shared" si="27"/>
        <v>0.71376915594707824</v>
      </c>
      <c r="J330" s="22">
        <f t="shared" si="24"/>
        <v>0.71397572926753394</v>
      </c>
    </row>
    <row r="331" spans="1:10" x14ac:dyDescent="0.3">
      <c r="A331" s="37">
        <v>46105</v>
      </c>
      <c r="B331" s="21">
        <v>2830.8539999999998</v>
      </c>
      <c r="C331" s="21">
        <v>7600.8568999999998</v>
      </c>
      <c r="D331" s="21">
        <v>5067.4056</v>
      </c>
      <c r="E331" s="21">
        <v>7122.5663000000004</v>
      </c>
      <c r="F331" s="19">
        <f t="shared" si="25"/>
        <v>46105</v>
      </c>
      <c r="G331" s="20">
        <f t="shared" si="26"/>
        <v>2.6850049137115515</v>
      </c>
      <c r="H331" s="20">
        <f t="shared" si="23"/>
        <v>2.7495785957409047</v>
      </c>
      <c r="I331" s="20">
        <f t="shared" si="27"/>
        <v>0.71145783507834803</v>
      </c>
      <c r="J331" s="22">
        <f t="shared" si="24"/>
        <v>0.71333409374253998</v>
      </c>
    </row>
    <row r="332" spans="1:10" x14ac:dyDescent="0.3">
      <c r="A332" s="37">
        <v>46106</v>
      </c>
      <c r="B332" s="21">
        <v>2859.5345000000002</v>
      </c>
      <c r="C332" s="21">
        <v>7751.1809000000003</v>
      </c>
      <c r="D332" s="21">
        <v>5160.8783000000003</v>
      </c>
      <c r="E332" s="21">
        <v>7194.6346999999996</v>
      </c>
      <c r="F332" s="19">
        <f t="shared" si="25"/>
        <v>46106</v>
      </c>
      <c r="G332" s="20">
        <f t="shared" si="26"/>
        <v>2.7106443024205511</v>
      </c>
      <c r="H332" s="20">
        <f t="shared" si="23"/>
        <v>2.7471969139989425</v>
      </c>
      <c r="I332" s="20">
        <f t="shared" si="27"/>
        <v>0.7173231880695764</v>
      </c>
      <c r="J332" s="22">
        <f t="shared" si="24"/>
        <v>0.71275836182039121</v>
      </c>
    </row>
    <row r="333" spans="1:10" x14ac:dyDescent="0.3">
      <c r="A333" s="37">
        <v>46107</v>
      </c>
      <c r="B333" s="21">
        <v>2824.6743999999999</v>
      </c>
      <c r="C333" s="21">
        <v>7639.3761999999997</v>
      </c>
      <c r="D333" s="21">
        <v>5099.1207000000004</v>
      </c>
      <c r="E333" s="21">
        <v>7142.8612999999996</v>
      </c>
      <c r="F333" s="19">
        <f t="shared" si="25"/>
        <v>46107</v>
      </c>
      <c r="G333" s="20">
        <f t="shared" si="26"/>
        <v>2.704515677983983</v>
      </c>
      <c r="H333" s="20">
        <f t="shared" si="23"/>
        <v>2.7425475823036356</v>
      </c>
      <c r="I333" s="20">
        <f t="shared" si="27"/>
        <v>0.71387648252388725</v>
      </c>
      <c r="J333" s="22">
        <f t="shared" si="24"/>
        <v>0.71193829102552564</v>
      </c>
    </row>
    <row r="334" spans="1:10" x14ac:dyDescent="0.3">
      <c r="A334" s="37">
        <v>46108</v>
      </c>
      <c r="B334" s="21">
        <v>2837.3063999999999</v>
      </c>
      <c r="C334" s="21">
        <v>7746.3131000000003</v>
      </c>
      <c r="D334" s="21">
        <v>5162.759</v>
      </c>
      <c r="E334" s="21">
        <v>7164.1072000000004</v>
      </c>
      <c r="F334" s="19">
        <f t="shared" si="25"/>
        <v>46108</v>
      </c>
      <c r="G334" s="20">
        <f t="shared" si="26"/>
        <v>2.73016446161754</v>
      </c>
      <c r="H334" s="20">
        <f t="shared" si="23"/>
        <v>2.7382261023907608</v>
      </c>
      <c r="I334" s="20">
        <f t="shared" si="27"/>
        <v>0.72064234326365184</v>
      </c>
      <c r="J334" s="22">
        <f t="shared" si="24"/>
        <v>0.71174764544248237</v>
      </c>
    </row>
    <row r="335" spans="1:10" x14ac:dyDescent="0.3">
      <c r="A335" s="37">
        <v>46111</v>
      </c>
      <c r="B335" s="21">
        <v>2833.2053999999998</v>
      </c>
      <c r="C335" s="21">
        <v>7767.9300999999996</v>
      </c>
      <c r="D335" s="21">
        <v>5152.6809999999996</v>
      </c>
      <c r="E335" s="21">
        <v>7175.5227999999997</v>
      </c>
      <c r="F335" s="19">
        <f t="shared" si="25"/>
        <v>46111</v>
      </c>
      <c r="G335" s="20">
        <f t="shared" si="26"/>
        <v>2.7417461861395576</v>
      </c>
      <c r="H335" s="20">
        <f t="shared" si="23"/>
        <v>2.7361855984838281</v>
      </c>
      <c r="I335" s="20">
        <f t="shared" si="27"/>
        <v>0.71809137029012016</v>
      </c>
      <c r="J335" s="22">
        <f t="shared" si="24"/>
        <v>0.71156078643787646</v>
      </c>
    </row>
    <row r="336" spans="1:10" x14ac:dyDescent="0.3">
      <c r="A336" s="37">
        <v>46112</v>
      </c>
      <c r="B336" s="21">
        <v>2826.1248999999998</v>
      </c>
      <c r="C336" s="21">
        <v>7619.8503000000001</v>
      </c>
      <c r="D336" s="21">
        <v>5058.9344000000001</v>
      </c>
      <c r="E336" s="21">
        <v>7143.0352999999996</v>
      </c>
      <c r="F336" s="19">
        <f t="shared" si="25"/>
        <v>46112</v>
      </c>
      <c r="G336" s="20">
        <f t="shared" si="26"/>
        <v>2.6962185216937868</v>
      </c>
      <c r="H336" s="20">
        <f t="shared" si="23"/>
        <v>2.7359314298732911</v>
      </c>
      <c r="I336" s="20">
        <f t="shared" si="27"/>
        <v>0.70823315124874164</v>
      </c>
      <c r="J336" s="22">
        <f t="shared" si="24"/>
        <v>0.71162447163571962</v>
      </c>
    </row>
    <row r="337" spans="1:10" x14ac:dyDescent="0.3">
      <c r="A337" s="37">
        <v>46113</v>
      </c>
      <c r="B337" s="21">
        <v>2878.7943</v>
      </c>
      <c r="C337" s="21">
        <v>7764.1525000000001</v>
      </c>
      <c r="D337" s="21">
        <v>5145.0366999999997</v>
      </c>
      <c r="E337" s="21">
        <v>7214.5707000000002</v>
      </c>
      <c r="F337" s="19">
        <f t="shared" si="25"/>
        <v>46113</v>
      </c>
      <c r="G337" s="20">
        <f t="shared" si="26"/>
        <v>2.6970153789730653</v>
      </c>
      <c r="H337" s="20">
        <f t="shared" si="23"/>
        <v>2.7347037256060167</v>
      </c>
      <c r="I337" s="20">
        <f t="shared" si="27"/>
        <v>0.71314523260545493</v>
      </c>
      <c r="J337" s="22">
        <f t="shared" si="24"/>
        <v>0.71192953413589632</v>
      </c>
    </row>
    <row r="338" spans="1:10" x14ac:dyDescent="0.3">
      <c r="A338" s="37">
        <v>46114</v>
      </c>
      <c r="B338" s="21">
        <v>2853.4529000000002</v>
      </c>
      <c r="C338" s="21">
        <v>7623.4168</v>
      </c>
      <c r="D338" s="21">
        <v>5074.1418000000003</v>
      </c>
      <c r="E338" s="21">
        <v>7200.7515000000003</v>
      </c>
      <c r="F338" s="19">
        <f t="shared" si="25"/>
        <v>46114</v>
      </c>
      <c r="G338" s="20">
        <f t="shared" si="26"/>
        <v>2.6716462710844113</v>
      </c>
      <c r="H338" s="20">
        <f t="shared" si="23"/>
        <v>2.7315743987967784</v>
      </c>
      <c r="I338" s="20">
        <f t="shared" si="27"/>
        <v>0.70466836690587087</v>
      </c>
      <c r="J338" s="22">
        <f t="shared" si="24"/>
        <v>0.7116748221906688</v>
      </c>
    </row>
    <row r="339" spans="1:10" x14ac:dyDescent="0.3">
      <c r="A339" s="37">
        <v>46115</v>
      </c>
      <c r="B339" s="21">
        <v>2830.5967000000001</v>
      </c>
      <c r="C339" s="21">
        <v>7536.5999000000002</v>
      </c>
      <c r="D339" s="21">
        <v>5021.8314</v>
      </c>
      <c r="E339" s="21">
        <v>7120.5969999999998</v>
      </c>
      <c r="F339" s="19">
        <f t="shared" si="25"/>
        <v>46115</v>
      </c>
      <c r="G339" s="20">
        <f t="shared" si="26"/>
        <v>2.6625481122054584</v>
      </c>
      <c r="H339" s="20">
        <f t="shared" si="23"/>
        <v>2.72688559978047</v>
      </c>
      <c r="I339" s="20">
        <f t="shared" si="27"/>
        <v>0.70525426449495743</v>
      </c>
      <c r="J339" s="22">
        <f t="shared" si="24"/>
        <v>0.71155244388918737</v>
      </c>
    </row>
    <row r="340" spans="1:10" x14ac:dyDescent="0.3">
      <c r="A340" s="37">
        <v>46119</v>
      </c>
      <c r="B340" s="21">
        <v>2830.5227</v>
      </c>
      <c r="C340" s="21">
        <v>7606.0165999999999</v>
      </c>
      <c r="D340" s="21">
        <v>5023.2307000000001</v>
      </c>
      <c r="E340" s="21">
        <v>7124.4198999999999</v>
      </c>
      <c r="F340" s="19">
        <f t="shared" si="25"/>
        <v>46119</v>
      </c>
      <c r="G340" s="20">
        <f t="shared" si="26"/>
        <v>2.6871420603692737</v>
      </c>
      <c r="H340" s="20">
        <f t="shared" si="23"/>
        <v>2.7228036256751862</v>
      </c>
      <c r="I340" s="20">
        <f t="shared" si="27"/>
        <v>0.70507224033777127</v>
      </c>
      <c r="J340" s="22">
        <f t="shared" si="24"/>
        <v>0.71147416042819711</v>
      </c>
    </row>
    <row r="341" spans="1:10" x14ac:dyDescent="0.3">
      <c r="A341" s="37">
        <v>46120</v>
      </c>
      <c r="B341" s="21">
        <v>2907.0657999999999</v>
      </c>
      <c r="C341" s="21">
        <v>7955.7683999999999</v>
      </c>
      <c r="D341" s="21">
        <v>5249.7718999999997</v>
      </c>
      <c r="E341" s="21">
        <v>7263.7575999999999</v>
      </c>
      <c r="F341" s="19">
        <f t="shared" si="25"/>
        <v>46120</v>
      </c>
      <c r="G341" s="20">
        <f t="shared" si="26"/>
        <v>2.7367004902331415</v>
      </c>
      <c r="H341" s="20">
        <f t="shared" si="23"/>
        <v>2.7196226982651557</v>
      </c>
      <c r="I341" s="20">
        <f t="shared" si="27"/>
        <v>0.7227350070162033</v>
      </c>
      <c r="J341" s="22">
        <f t="shared" si="24"/>
        <v>0.7117289143228509</v>
      </c>
    </row>
    <row r="342" spans="1:10" x14ac:dyDescent="0.3">
      <c r="A342" s="37">
        <v>46121</v>
      </c>
      <c r="B342" s="21">
        <v>2884.76</v>
      </c>
      <c r="C342" s="21">
        <v>7921.4465</v>
      </c>
      <c r="D342" s="21">
        <v>5230.2</v>
      </c>
      <c r="E342" s="21">
        <v>7216.9263000000001</v>
      </c>
      <c r="F342" s="19">
        <f t="shared" si="25"/>
        <v>46121</v>
      </c>
      <c r="G342" s="20">
        <f t="shared" si="26"/>
        <v>2.7459637890153772</v>
      </c>
      <c r="H342" s="20">
        <f t="shared" si="23"/>
        <v>2.7168445065915856</v>
      </c>
      <c r="I342" s="20">
        <f t="shared" si="27"/>
        <v>0.72471295709365913</v>
      </c>
      <c r="J342" s="22">
        <f t="shared" si="24"/>
        <v>0.71225224777236495</v>
      </c>
    </row>
    <row r="343" spans="1:10" x14ac:dyDescent="0.3">
      <c r="A343" s="37">
        <v>46122</v>
      </c>
      <c r="B343" s="21">
        <v>2899.5794999999998</v>
      </c>
      <c r="C343" s="21">
        <v>7998.232</v>
      </c>
      <c r="D343" s="21">
        <v>5326.0101999999997</v>
      </c>
      <c r="E343" s="21">
        <v>7238.6252999999997</v>
      </c>
      <c r="F343" s="19">
        <f t="shared" si="25"/>
        <v>46122</v>
      </c>
      <c r="G343" s="20">
        <f t="shared" si="26"/>
        <v>2.7584110040783503</v>
      </c>
      <c r="H343" s="20">
        <f t="shared" ref="H343:H360" si="28">AVERAGE(G324:G343)</f>
        <v>2.714503637983062</v>
      </c>
      <c r="I343" s="20">
        <f t="shared" si="27"/>
        <v>0.73577647402193891</v>
      </c>
      <c r="J343" s="22">
        <f t="shared" ref="J343:J360" si="29">AVERAGE(I324:I343)</f>
        <v>0.71373454042115325</v>
      </c>
    </row>
    <row r="344" spans="1:10" x14ac:dyDescent="0.3">
      <c r="A344" s="37">
        <v>46125</v>
      </c>
      <c r="B344" s="21">
        <v>2899.4701</v>
      </c>
      <c r="C344" s="21">
        <v>8025.5724</v>
      </c>
      <c r="D344" s="21">
        <v>5340.308</v>
      </c>
      <c r="E344" s="21">
        <v>7226.9656000000004</v>
      </c>
      <c r="F344" s="19">
        <f t="shared" si="25"/>
        <v>46125</v>
      </c>
      <c r="G344" s="20">
        <f t="shared" si="26"/>
        <v>2.7679445288985738</v>
      </c>
      <c r="H344" s="20">
        <f t="shared" si="28"/>
        <v>2.7139979527181248</v>
      </c>
      <c r="I344" s="20">
        <f t="shared" si="27"/>
        <v>0.73894194265986257</v>
      </c>
      <c r="J344" s="22">
        <f t="shared" si="29"/>
        <v>0.71534175676337153</v>
      </c>
    </row>
    <row r="345" spans="1:10" x14ac:dyDescent="0.3">
      <c r="A345" s="37">
        <v>46126</v>
      </c>
      <c r="B345" s="21">
        <v>2924.1833999999999</v>
      </c>
      <c r="C345" s="21">
        <v>8144.7622000000001</v>
      </c>
      <c r="D345" s="21">
        <v>5424.1911</v>
      </c>
      <c r="E345" s="21">
        <v>7271.7866999999997</v>
      </c>
      <c r="F345" s="19">
        <f t="shared" si="25"/>
        <v>46126</v>
      </c>
      <c r="G345" s="20">
        <f t="shared" si="26"/>
        <v>2.7853116873585972</v>
      </c>
      <c r="H345" s="20">
        <f t="shared" si="28"/>
        <v>2.7142807053259368</v>
      </c>
      <c r="I345" s="20">
        <f t="shared" si="27"/>
        <v>0.74592274550627291</v>
      </c>
      <c r="J345" s="22">
        <f t="shared" si="29"/>
        <v>0.71695492011115203</v>
      </c>
    </row>
    <row r="346" spans="1:10" x14ac:dyDescent="0.3">
      <c r="A346" s="37">
        <v>46127</v>
      </c>
      <c r="B346" s="21">
        <v>2934.2159000000001</v>
      </c>
      <c r="C346" s="21">
        <v>8106.1646000000001</v>
      </c>
      <c r="D346" s="21">
        <v>5381.5614999999998</v>
      </c>
      <c r="E346" s="21">
        <v>7275.6401999999998</v>
      </c>
      <c r="F346" s="19">
        <f t="shared" si="25"/>
        <v>46127</v>
      </c>
      <c r="G346" s="20">
        <f t="shared" si="26"/>
        <v>2.7626339970415947</v>
      </c>
      <c r="H346" s="20">
        <f t="shared" si="28"/>
        <v>2.7171054017751368</v>
      </c>
      <c r="I346" s="20">
        <f t="shared" si="27"/>
        <v>0.73966844869541515</v>
      </c>
      <c r="J346" s="22">
        <f t="shared" si="29"/>
        <v>0.71863126893395746</v>
      </c>
    </row>
    <row r="347" spans="1:10" x14ac:dyDescent="0.3">
      <c r="A347" s="37">
        <v>46128</v>
      </c>
      <c r="B347" s="21">
        <v>2939.7645000000002</v>
      </c>
      <c r="C347" s="21">
        <v>8232.9833999999992</v>
      </c>
      <c r="D347" s="21">
        <v>5496.2080999999998</v>
      </c>
      <c r="E347" s="21">
        <v>7316.6327000000001</v>
      </c>
      <c r="F347" s="19">
        <f t="shared" si="25"/>
        <v>46128</v>
      </c>
      <c r="G347" s="20">
        <f t="shared" si="26"/>
        <v>2.800558820272848</v>
      </c>
      <c r="H347" s="20">
        <f t="shared" si="28"/>
        <v>2.720432413804017</v>
      </c>
      <c r="I347" s="20">
        <f t="shared" si="27"/>
        <v>0.75119366043890656</v>
      </c>
      <c r="J347" s="22">
        <f t="shared" si="29"/>
        <v>0.72055386968817381</v>
      </c>
    </row>
    <row r="348" spans="1:10" x14ac:dyDescent="0.3">
      <c r="A348" s="37">
        <v>46129</v>
      </c>
      <c r="B348" s="21">
        <v>2910.8732</v>
      </c>
      <c r="C348" s="21">
        <v>8307.4361000000008</v>
      </c>
      <c r="D348" s="21">
        <v>5491.4530000000004</v>
      </c>
      <c r="E348" s="21">
        <v>7277.8486000000003</v>
      </c>
      <c r="F348" s="19">
        <f t="shared" si="25"/>
        <v>46129</v>
      </c>
      <c r="G348" s="20">
        <f t="shared" si="26"/>
        <v>2.8539326618555561</v>
      </c>
      <c r="H348" s="20">
        <f t="shared" si="28"/>
        <v>2.7275220940547262</v>
      </c>
      <c r="I348" s="20">
        <f t="shared" si="27"/>
        <v>0.75454345120617106</v>
      </c>
      <c r="J348" s="22">
        <f t="shared" si="29"/>
        <v>0.72293671282649641</v>
      </c>
    </row>
    <row r="349" spans="1:10" x14ac:dyDescent="0.3">
      <c r="A349" s="37">
        <v>46132</v>
      </c>
      <c r="B349" s="21">
        <v>2933.6534000000001</v>
      </c>
      <c r="C349" s="21">
        <v>8357.8138999999992</v>
      </c>
      <c r="D349" s="21">
        <v>5511.8625000000002</v>
      </c>
      <c r="E349" s="21">
        <v>7299.4488000000001</v>
      </c>
      <c r="F349" s="19">
        <f t="shared" si="25"/>
        <v>46132</v>
      </c>
      <c r="G349" s="20">
        <f t="shared" si="26"/>
        <v>2.8489438800098195</v>
      </c>
      <c r="H349" s="20">
        <f t="shared" si="28"/>
        <v>2.7350212908470266</v>
      </c>
      <c r="I349" s="20">
        <f t="shared" si="27"/>
        <v>0.75510667326004122</v>
      </c>
      <c r="J349" s="22">
        <f t="shared" si="29"/>
        <v>0.72500674953319644</v>
      </c>
    </row>
    <row r="350" spans="1:10" x14ac:dyDescent="0.3">
      <c r="A350" s="37">
        <v>46133</v>
      </c>
      <c r="B350" s="21">
        <v>2932.0720999999999</v>
      </c>
      <c r="C350" s="21">
        <v>8351.1560000000009</v>
      </c>
      <c r="D350" s="21">
        <v>5524.6331</v>
      </c>
      <c r="E350" s="21">
        <v>7324.6961000000001</v>
      </c>
      <c r="F350" s="19">
        <f t="shared" si="25"/>
        <v>46133</v>
      </c>
      <c r="G350" s="20">
        <f t="shared" si="26"/>
        <v>2.8482096330441538</v>
      </c>
      <c r="H350" s="20">
        <f t="shared" si="28"/>
        <v>2.7447628189003601</v>
      </c>
      <c r="I350" s="20">
        <f t="shared" si="27"/>
        <v>0.7542474151248405</v>
      </c>
      <c r="J350" s="22">
        <f t="shared" si="29"/>
        <v>0.72703066249208459</v>
      </c>
    </row>
    <row r="351" spans="1:10" x14ac:dyDescent="0.3">
      <c r="A351" s="37">
        <v>46134</v>
      </c>
      <c r="B351" s="21">
        <v>2930.5752000000002</v>
      </c>
      <c r="C351" s="21">
        <v>8481.2397000000001</v>
      </c>
      <c r="D351" s="21">
        <v>5579.9479000000001</v>
      </c>
      <c r="E351" s="21">
        <v>7316.1134000000002</v>
      </c>
      <c r="F351" s="19">
        <f t="shared" si="25"/>
        <v>46134</v>
      </c>
      <c r="G351" s="20">
        <f t="shared" si="26"/>
        <v>2.8940529149362892</v>
      </c>
      <c r="H351" s="20">
        <f t="shared" si="28"/>
        <v>2.755215218961597</v>
      </c>
      <c r="I351" s="20">
        <f t="shared" si="27"/>
        <v>0.76269292108020081</v>
      </c>
      <c r="J351" s="22">
        <f t="shared" si="29"/>
        <v>0.72959241679217701</v>
      </c>
    </row>
    <row r="352" spans="1:10" x14ac:dyDescent="0.3">
      <c r="A352" s="37">
        <v>46135</v>
      </c>
      <c r="B352" s="21">
        <v>2927.9306999999999</v>
      </c>
      <c r="C352" s="21">
        <v>8362.7402000000002</v>
      </c>
      <c r="D352" s="21">
        <v>5544.1552000000001</v>
      </c>
      <c r="E352" s="21">
        <v>7320.59</v>
      </c>
      <c r="F352" s="19">
        <f t="shared" si="25"/>
        <v>46135</v>
      </c>
      <c r="G352" s="20">
        <f t="shared" si="26"/>
        <v>2.8561947179965701</v>
      </c>
      <c r="H352" s="20">
        <f t="shared" si="28"/>
        <v>2.7624927397403978</v>
      </c>
      <c r="I352" s="20">
        <f t="shared" si="27"/>
        <v>0.75733720915937108</v>
      </c>
      <c r="J352" s="22">
        <f t="shared" si="29"/>
        <v>0.73159311784666681</v>
      </c>
    </row>
    <row r="353" spans="1:10" x14ac:dyDescent="0.3">
      <c r="A353" s="37">
        <v>46136</v>
      </c>
      <c r="B353" s="21">
        <v>2945.0425</v>
      </c>
      <c r="C353" s="21">
        <v>8304.1412</v>
      </c>
      <c r="D353" s="21">
        <v>5533.3226000000004</v>
      </c>
      <c r="E353" s="21">
        <v>7306.1547</v>
      </c>
      <c r="F353" s="19">
        <f t="shared" si="25"/>
        <v>46136</v>
      </c>
      <c r="G353" s="20">
        <f t="shared" si="26"/>
        <v>2.8197016511646265</v>
      </c>
      <c r="H353" s="20">
        <f t="shared" si="28"/>
        <v>2.7682520383994302</v>
      </c>
      <c r="I353" s="20">
        <f t="shared" si="27"/>
        <v>0.75735086748163172</v>
      </c>
      <c r="J353" s="22">
        <f t="shared" si="29"/>
        <v>0.73376683709455404</v>
      </c>
    </row>
    <row r="354" spans="1:10" x14ac:dyDescent="0.3">
      <c r="A354" s="37">
        <v>46139</v>
      </c>
      <c r="B354" s="21">
        <v>2939.0529000000001</v>
      </c>
      <c r="C354" s="21">
        <v>8338.7263000000003</v>
      </c>
      <c r="D354" s="21">
        <v>5543.4377999999997</v>
      </c>
      <c r="E354" s="21">
        <v>7284.7637999999997</v>
      </c>
      <c r="F354" s="19">
        <f t="shared" si="25"/>
        <v>46139</v>
      </c>
      <c r="G354" s="20">
        <f t="shared" si="26"/>
        <v>2.8372154512768382</v>
      </c>
      <c r="H354" s="20">
        <f t="shared" si="28"/>
        <v>2.7736045878823949</v>
      </c>
      <c r="I354" s="20">
        <f t="shared" si="27"/>
        <v>0.76096328613976472</v>
      </c>
      <c r="J354" s="22">
        <f t="shared" si="29"/>
        <v>0.73578288423835969</v>
      </c>
    </row>
    <row r="355" spans="1:10" x14ac:dyDescent="0.3">
      <c r="A355" s="37">
        <v>46140</v>
      </c>
      <c r="B355" s="21">
        <v>2950.4212000000002</v>
      </c>
      <c r="C355" s="21">
        <v>8226.6918999999998</v>
      </c>
      <c r="D355" s="21">
        <v>5491.2165000000005</v>
      </c>
      <c r="E355" s="21">
        <v>7314.91</v>
      </c>
      <c r="F355" s="19">
        <f t="shared" si="25"/>
        <v>46140</v>
      </c>
      <c r="G355" s="20">
        <f t="shared" si="26"/>
        <v>2.7883110045440289</v>
      </c>
      <c r="H355" s="20">
        <f t="shared" si="28"/>
        <v>2.7759328288026186</v>
      </c>
      <c r="I355" s="20">
        <f t="shared" si="27"/>
        <v>0.75068818344996735</v>
      </c>
      <c r="J355" s="22">
        <f t="shared" si="29"/>
        <v>0.73741272489635201</v>
      </c>
    </row>
    <row r="356" spans="1:10" x14ac:dyDescent="0.3">
      <c r="A356" s="37">
        <v>46141</v>
      </c>
      <c r="B356" s="21">
        <v>2967.5034000000001</v>
      </c>
      <c r="C356" s="21">
        <v>8343.0650999999998</v>
      </c>
      <c r="D356" s="21">
        <v>5591.6872000000003</v>
      </c>
      <c r="E356" s="21">
        <v>7402.8858</v>
      </c>
      <c r="F356" s="19">
        <f t="shared" si="25"/>
        <v>46141</v>
      </c>
      <c r="G356" s="20">
        <f t="shared" si="26"/>
        <v>2.8114761721924229</v>
      </c>
      <c r="H356" s="20">
        <f t="shared" si="28"/>
        <v>2.7816957113275502</v>
      </c>
      <c r="I356" s="20">
        <f t="shared" si="27"/>
        <v>0.75533884367093718</v>
      </c>
      <c r="J356" s="22">
        <f t="shared" si="29"/>
        <v>0.73976800951746191</v>
      </c>
    </row>
    <row r="357" spans="1:10" x14ac:dyDescent="0.3">
      <c r="A357" s="37">
        <v>46142</v>
      </c>
      <c r="B357" s="21">
        <v>2985.5048000000002</v>
      </c>
      <c r="C357" s="21">
        <v>8381.9465</v>
      </c>
      <c r="D357" s="21">
        <v>5577.2664000000004</v>
      </c>
      <c r="E357" s="21">
        <v>7362.1511</v>
      </c>
      <c r="F357" s="19">
        <f t="shared" si="25"/>
        <v>46142</v>
      </c>
      <c r="G357" s="20">
        <f t="shared" si="26"/>
        <v>2.807547487446679</v>
      </c>
      <c r="H357" s="20">
        <f t="shared" si="28"/>
        <v>2.7872223167512304</v>
      </c>
      <c r="I357" s="20">
        <f t="shared" si="27"/>
        <v>0.75755934973950756</v>
      </c>
      <c r="J357" s="22">
        <f t="shared" si="29"/>
        <v>0.74198871537416444</v>
      </c>
    </row>
    <row r="358" spans="1:10" x14ac:dyDescent="0.3">
      <c r="A358" s="37">
        <v>46148</v>
      </c>
      <c r="B358" s="21">
        <v>3026.4434000000001</v>
      </c>
      <c r="C358" s="21">
        <v>8574.5557000000008</v>
      </c>
      <c r="D358" s="21">
        <v>5691.9054999999998</v>
      </c>
      <c r="E358" s="21">
        <v>7406.0769</v>
      </c>
      <c r="F358" s="19">
        <f t="shared" si="25"/>
        <v>46148</v>
      </c>
      <c r="G358" s="20">
        <f t="shared" si="26"/>
        <v>2.8332119807692422</v>
      </c>
      <c r="H358" s="20">
        <f t="shared" si="28"/>
        <v>2.7953006022354723</v>
      </c>
      <c r="I358" s="20">
        <f t="shared" si="27"/>
        <v>0.76854528745171413</v>
      </c>
      <c r="J358" s="22">
        <f t="shared" si="29"/>
        <v>0.74518256140145667</v>
      </c>
    </row>
    <row r="359" spans="1:10" x14ac:dyDescent="0.3">
      <c r="A359" s="37">
        <v>46149</v>
      </c>
      <c r="B359" s="21">
        <v>3029.1939000000002</v>
      </c>
      <c r="C359" s="21">
        <v>8714.51</v>
      </c>
      <c r="D359" s="21">
        <v>5735.9396999999999</v>
      </c>
      <c r="E359" s="21">
        <v>7379.1396000000004</v>
      </c>
      <c r="F359" s="19">
        <f t="shared" si="25"/>
        <v>46149</v>
      </c>
      <c r="G359" s="20">
        <f t="shared" si="26"/>
        <v>2.8768412613005725</v>
      </c>
      <c r="H359" s="20">
        <f t="shared" si="28"/>
        <v>2.8060152596902279</v>
      </c>
      <c r="I359" s="20">
        <f t="shared" si="27"/>
        <v>0.77731822555572738</v>
      </c>
      <c r="J359" s="22">
        <f t="shared" si="29"/>
        <v>0.7487857594544951</v>
      </c>
    </row>
    <row r="360" spans="1:10" x14ac:dyDescent="0.3">
      <c r="A360" s="37">
        <v>46150</v>
      </c>
      <c r="B360" s="21">
        <v>3003.5839000000001</v>
      </c>
      <c r="C360" s="21">
        <v>8741.1507000000001</v>
      </c>
      <c r="D360" s="21">
        <v>5699.2128000000002</v>
      </c>
      <c r="E360" s="21">
        <v>7357.8109000000004</v>
      </c>
      <c r="F360" s="19">
        <f t="shared" si="25"/>
        <v>46150</v>
      </c>
      <c r="G360" s="20">
        <f t="shared" si="26"/>
        <v>2.9102402300132186</v>
      </c>
      <c r="H360" s="20">
        <f t="shared" si="28"/>
        <v>2.8171701681724244</v>
      </c>
      <c r="I360" s="20">
        <f t="shared" si="27"/>
        <v>0.77457995013163494</v>
      </c>
      <c r="J360" s="22">
        <f t="shared" si="29"/>
        <v>0.75226114494418839</v>
      </c>
    </row>
  </sheetData>
  <autoFilter ref="A1:J360" xr:uid="{00000000-0009-0000-0000-000006000000}"/>
  <phoneticPr fontId="9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176E-6BBF-464D-BFE6-ED5BA7458656}">
  <dimension ref="A1:ADW25"/>
  <sheetViews>
    <sheetView zoomScaleNormal="100" workbookViewId="0">
      <selection activeCell="B12" sqref="B12"/>
    </sheetView>
  </sheetViews>
  <sheetFormatPr defaultColWidth="8.25" defaultRowHeight="14" x14ac:dyDescent="0.3"/>
  <cols>
    <col min="1" max="1" width="34.08203125" style="24" customWidth="1"/>
    <col min="2" max="44" width="10.4140625" style="24" customWidth="1"/>
    <col min="45" max="288" width="11.58203125" style="24" customWidth="1"/>
    <col min="289" max="293" width="8.25" style="24"/>
    <col min="294" max="299" width="10.4140625" style="24" customWidth="1"/>
    <col min="300" max="303" width="8.25" style="24"/>
    <col min="304" max="321" width="11.4140625" style="24" customWidth="1"/>
    <col min="322" max="326" width="10" style="24" customWidth="1"/>
    <col min="327" max="336" width="9.9140625" style="24" customWidth="1"/>
    <col min="337" max="338" width="9" style="24" customWidth="1"/>
    <col min="339" max="341" width="8.25" style="24"/>
    <col min="342" max="345" width="9.9140625" style="24" customWidth="1"/>
    <col min="346" max="350" width="10.08203125" style="24" customWidth="1"/>
    <col min="351" max="355" width="9.9140625" style="24" customWidth="1"/>
    <col min="356" max="362" width="8.25" style="24"/>
    <col min="363" max="365" width="9.9140625" style="24" customWidth="1"/>
    <col min="366" max="370" width="16.58203125" style="24" customWidth="1"/>
    <col min="371" max="375" width="9.9140625" style="24" customWidth="1"/>
    <col min="376" max="376" width="11.75" style="24" customWidth="1"/>
    <col min="377" max="379" width="9.9140625" style="24" customWidth="1"/>
    <col min="380" max="385" width="10.75" style="24" customWidth="1"/>
    <col min="386" max="390" width="11.75" style="24" customWidth="1"/>
    <col min="391" max="395" width="10" style="24" customWidth="1"/>
    <col min="396" max="400" width="9.9140625" style="24" customWidth="1"/>
    <col min="401" max="408" width="11" style="24" customWidth="1"/>
    <col min="409" max="434" width="13" style="24" customWidth="1"/>
    <col min="435" max="463" width="11" style="24" customWidth="1"/>
    <col min="464" max="464" width="10" style="24" customWidth="1"/>
    <col min="465" max="481" width="11" style="24" customWidth="1"/>
    <col min="482" max="482" width="9.33203125" style="24" bestFit="1" customWidth="1"/>
    <col min="483" max="483" width="9" style="24" customWidth="1"/>
    <col min="484" max="486" width="8.25" style="24"/>
    <col min="487" max="498" width="10" style="24" customWidth="1"/>
    <col min="499" max="499" width="9" style="24" customWidth="1"/>
    <col min="500" max="501" width="8.25" style="24"/>
    <col min="502" max="516" width="10" style="24" customWidth="1"/>
    <col min="517" max="521" width="8.25" style="24"/>
    <col min="522" max="522" width="10" style="24" customWidth="1"/>
    <col min="523" max="525" width="8.25" style="24"/>
    <col min="526" max="537" width="10" style="24" customWidth="1"/>
    <col min="538" max="540" width="8.25" style="24"/>
    <col min="541" max="541" width="9" style="24" customWidth="1"/>
    <col min="542" max="542" width="11.58203125" style="24" customWidth="1"/>
    <col min="543" max="543" width="11.25" style="24" customWidth="1"/>
    <col min="544" max="544" width="11.4140625" style="24" customWidth="1"/>
    <col min="545" max="546" width="14" style="24" customWidth="1"/>
    <col min="547" max="547" width="11.9140625" style="24" customWidth="1"/>
    <col min="548" max="548" width="11.58203125" style="24" customWidth="1"/>
    <col min="549" max="549" width="14.25" style="24" customWidth="1"/>
    <col min="550" max="550" width="15" style="24" customWidth="1"/>
    <col min="551" max="551" width="12.75" style="24" customWidth="1"/>
    <col min="552" max="552" width="14.58203125" style="24" customWidth="1"/>
    <col min="553" max="553" width="11.25" style="24" customWidth="1"/>
    <col min="554" max="554" width="11.08203125" style="24" customWidth="1"/>
    <col min="555" max="555" width="13.75" style="24" customWidth="1"/>
    <col min="556" max="556" width="11.6640625" style="24" customWidth="1"/>
    <col min="557" max="557" width="12.25" style="24" customWidth="1"/>
    <col min="558" max="558" width="10.08203125" style="24" bestFit="1" customWidth="1"/>
    <col min="559" max="560" width="9.08203125" style="24" bestFit="1" customWidth="1"/>
    <col min="561" max="561" width="8.83203125" style="24" bestFit="1" customWidth="1"/>
    <col min="562" max="562" width="9.08203125" style="24" bestFit="1" customWidth="1"/>
    <col min="563" max="563" width="9" style="24" customWidth="1"/>
    <col min="564" max="567" width="10.08203125" style="24" bestFit="1" customWidth="1"/>
    <col min="568" max="569" width="9.6640625" style="24" bestFit="1" customWidth="1"/>
    <col min="570" max="570" width="9.75" style="24" customWidth="1"/>
    <col min="571" max="571" width="9.6640625" style="24" bestFit="1" customWidth="1"/>
    <col min="572" max="572" width="10.08203125" style="24" customWidth="1"/>
    <col min="573" max="574" width="9.6640625" style="24" bestFit="1" customWidth="1"/>
    <col min="575" max="575" width="9.5" style="24" bestFit="1" customWidth="1"/>
    <col min="576" max="577" width="10" style="24" bestFit="1" customWidth="1"/>
    <col min="578" max="582" width="8.9140625" style="24" bestFit="1" customWidth="1"/>
    <col min="583" max="583" width="10" style="24" bestFit="1" customWidth="1"/>
    <col min="584" max="592" width="10.33203125" style="24" bestFit="1" customWidth="1"/>
    <col min="593" max="596" width="10.4140625" style="24" bestFit="1" customWidth="1"/>
    <col min="597" max="597" width="10.6640625" style="24" bestFit="1" customWidth="1"/>
    <col min="598" max="601" width="9.08203125" style="24" bestFit="1" customWidth="1"/>
    <col min="602" max="604" width="8.83203125" style="24" bestFit="1" customWidth="1"/>
    <col min="605" max="620" width="9.83203125" style="24" bestFit="1" customWidth="1"/>
    <col min="621" max="621" width="8.83203125" style="24" bestFit="1" customWidth="1"/>
    <col min="622" max="622" width="9.08203125" style="24" bestFit="1" customWidth="1"/>
    <col min="623" max="652" width="11.4140625" style="24" bestFit="1" customWidth="1"/>
    <col min="653" max="664" width="9.83203125" style="24" bestFit="1" customWidth="1"/>
    <col min="665" max="679" width="10.9140625" style="24" bestFit="1" customWidth="1"/>
    <col min="680" max="680" width="11.1640625" style="24" customWidth="1"/>
    <col min="681" max="682" width="9.83203125" style="24" bestFit="1" customWidth="1"/>
    <col min="683" max="683" width="9.83203125" style="24" customWidth="1"/>
    <col min="684" max="685" width="9.83203125" style="24" bestFit="1" customWidth="1"/>
    <col min="686" max="688" width="10.9140625" style="24" bestFit="1" customWidth="1"/>
    <col min="689" max="689" width="13.1640625" style="24" customWidth="1"/>
    <col min="690" max="695" width="8.25" style="24"/>
    <col min="696" max="697" width="10.9140625" style="24" bestFit="1" customWidth="1"/>
    <col min="698" max="698" width="8.25" style="24"/>
    <col min="699" max="700" width="10.9140625" style="24" bestFit="1" customWidth="1"/>
    <col min="701" max="701" width="9.83203125" style="24" bestFit="1" customWidth="1"/>
    <col min="702" max="705" width="8.25" style="24"/>
    <col min="706" max="707" width="10.6640625" style="24" bestFit="1" customWidth="1"/>
    <col min="708" max="709" width="12.75" style="24" customWidth="1"/>
    <col min="710" max="710" width="8.25" style="24"/>
    <col min="711" max="711" width="11.9140625" style="24" bestFit="1" customWidth="1"/>
    <col min="712" max="714" width="8.25" style="24"/>
    <col min="715" max="716" width="11.9140625" style="24" bestFit="1" customWidth="1"/>
    <col min="717" max="719" width="8.25" style="24"/>
    <col min="720" max="720" width="15.75" style="24" customWidth="1"/>
    <col min="721" max="721" width="13.83203125" style="24" customWidth="1"/>
    <col min="722" max="722" width="12.75" style="24" customWidth="1"/>
    <col min="723" max="723" width="11.58203125" style="24" customWidth="1"/>
    <col min="724" max="724" width="8.83203125" style="24" bestFit="1" customWidth="1"/>
    <col min="725" max="726" width="8.25" style="24"/>
    <col min="727" max="727" width="8.25" style="24" customWidth="1"/>
    <col min="728" max="728" width="8.25" style="24"/>
    <col min="729" max="729" width="9.83203125" style="24" bestFit="1" customWidth="1"/>
    <col min="730" max="730" width="10.58203125" style="24" customWidth="1"/>
    <col min="731" max="731" width="10.5" style="24" customWidth="1"/>
    <col min="732" max="732" width="12" style="24" customWidth="1"/>
    <col min="733" max="733" width="10.83203125" style="24" customWidth="1"/>
    <col min="734" max="734" width="11.83203125" style="24" customWidth="1"/>
    <col min="735" max="735" width="10.5" style="24" customWidth="1"/>
    <col min="736" max="736" width="10.83203125" style="24" customWidth="1"/>
    <col min="737" max="737" width="10.9140625" style="24" customWidth="1"/>
    <col min="738" max="738" width="12.58203125" style="24" customWidth="1"/>
    <col min="739" max="739" width="9.83203125" style="24" bestFit="1" customWidth="1"/>
    <col min="740" max="743" width="10.75" style="24" bestFit="1" customWidth="1"/>
    <col min="744" max="745" width="9.75" style="24" bestFit="1" customWidth="1"/>
    <col min="746" max="749" width="9.08203125" style="24" bestFit="1" customWidth="1"/>
    <col min="750" max="758" width="10.08203125" style="24" bestFit="1" customWidth="1"/>
    <col min="759" max="761" width="9.08203125" style="24" bestFit="1" customWidth="1"/>
    <col min="762" max="762" width="8.25" style="24"/>
    <col min="763" max="763" width="8.5" style="24" bestFit="1" customWidth="1"/>
    <col min="764" max="779" width="9.5" style="24" bestFit="1" customWidth="1"/>
    <col min="780" max="782" width="8.25" style="24"/>
    <col min="783" max="783" width="8.5" style="24" bestFit="1" customWidth="1"/>
    <col min="784" max="785" width="8.25" style="24"/>
    <col min="786" max="800" width="9.5" style="24" bestFit="1" customWidth="1"/>
    <col min="801" max="801" width="8.5" style="24" bestFit="1" customWidth="1"/>
    <col min="802" max="16384" width="8.25" style="24"/>
  </cols>
  <sheetData>
    <row r="1" spans="1:803" x14ac:dyDescent="0.3">
      <c r="A1" s="24" t="str">
        <f>[1]!HX_AutoDate(1,"2023-03-13","2024-03-13",-1,-1,0,0,0,1,0,"SSE",0,244)</f>
        <v>日期</v>
      </c>
      <c r="B1" s="38">
        <v>44998</v>
      </c>
      <c r="C1" s="38">
        <v>44999</v>
      </c>
      <c r="D1" s="38">
        <v>45000</v>
      </c>
      <c r="E1" s="38">
        <v>45001</v>
      </c>
      <c r="F1" s="38">
        <v>45002</v>
      </c>
      <c r="G1" s="38">
        <v>45005</v>
      </c>
      <c r="H1" s="38">
        <v>45006</v>
      </c>
      <c r="I1" s="38">
        <v>45007</v>
      </c>
      <c r="J1" s="38">
        <v>45008</v>
      </c>
      <c r="K1" s="38">
        <v>45009</v>
      </c>
      <c r="L1" s="38">
        <v>45012</v>
      </c>
      <c r="M1" s="38">
        <v>45013</v>
      </c>
      <c r="N1" s="38">
        <v>45014</v>
      </c>
      <c r="O1" s="38">
        <v>45015</v>
      </c>
      <c r="P1" s="38">
        <v>45016</v>
      </c>
      <c r="Q1" s="38">
        <v>45019</v>
      </c>
      <c r="R1" s="38">
        <v>45020</v>
      </c>
      <c r="S1" s="38">
        <v>45022</v>
      </c>
      <c r="T1" s="38">
        <v>45023</v>
      </c>
      <c r="U1" s="38">
        <v>45026</v>
      </c>
      <c r="V1" s="38">
        <v>45027</v>
      </c>
      <c r="W1" s="38">
        <v>45028</v>
      </c>
      <c r="X1" s="38">
        <v>45029</v>
      </c>
      <c r="Y1" s="38">
        <v>45030</v>
      </c>
      <c r="Z1" s="38">
        <v>45033</v>
      </c>
      <c r="AA1" s="38">
        <v>45034</v>
      </c>
      <c r="AB1" s="38">
        <v>45035</v>
      </c>
      <c r="AC1" s="38">
        <v>45036</v>
      </c>
      <c r="AD1" s="38">
        <v>45037</v>
      </c>
      <c r="AE1" s="38">
        <v>45040</v>
      </c>
      <c r="AF1" s="38">
        <v>45041</v>
      </c>
      <c r="AG1" s="38">
        <v>45042</v>
      </c>
      <c r="AH1" s="38">
        <v>45043</v>
      </c>
      <c r="AI1" s="38">
        <v>45044</v>
      </c>
      <c r="AJ1" s="38">
        <v>45050</v>
      </c>
      <c r="AK1" s="38">
        <v>45051</v>
      </c>
      <c r="AL1" s="38">
        <v>45054</v>
      </c>
      <c r="AM1" s="38">
        <v>45055</v>
      </c>
      <c r="AN1" s="41">
        <v>45056</v>
      </c>
      <c r="AO1" s="38">
        <v>45057</v>
      </c>
      <c r="AP1" s="38">
        <v>45058</v>
      </c>
      <c r="AQ1" s="38">
        <v>45061</v>
      </c>
      <c r="AR1" s="38">
        <v>45062</v>
      </c>
      <c r="AS1" s="38">
        <v>45063</v>
      </c>
      <c r="AT1" s="38">
        <v>45064</v>
      </c>
      <c r="AU1" s="38">
        <v>45065</v>
      </c>
      <c r="AV1" s="38">
        <v>45068</v>
      </c>
      <c r="AW1" s="38">
        <v>45069</v>
      </c>
      <c r="AX1" s="38">
        <v>45070</v>
      </c>
      <c r="AY1" s="38">
        <v>45071</v>
      </c>
      <c r="AZ1" s="38">
        <v>45072</v>
      </c>
      <c r="BA1" s="38">
        <v>45075</v>
      </c>
      <c r="BB1" s="38">
        <v>45076</v>
      </c>
      <c r="BC1" s="38">
        <v>45077</v>
      </c>
      <c r="BD1" s="38">
        <v>45078</v>
      </c>
      <c r="BE1" s="38">
        <v>45079</v>
      </c>
      <c r="BF1" s="38">
        <v>45082</v>
      </c>
      <c r="BG1" s="38">
        <v>45083</v>
      </c>
      <c r="BH1" s="38">
        <v>45084</v>
      </c>
      <c r="BI1" s="38">
        <v>45085</v>
      </c>
      <c r="BJ1" s="38">
        <v>45086</v>
      </c>
      <c r="BK1" s="38">
        <v>45089</v>
      </c>
      <c r="BL1" s="38">
        <v>45090</v>
      </c>
      <c r="BM1" s="38">
        <v>45091</v>
      </c>
      <c r="BN1" s="38">
        <v>45092</v>
      </c>
      <c r="BO1" s="38">
        <v>45093</v>
      </c>
      <c r="BP1" s="38">
        <v>45096</v>
      </c>
      <c r="BQ1" s="38">
        <v>45097</v>
      </c>
      <c r="BR1" s="38">
        <v>45098</v>
      </c>
      <c r="BS1" s="38">
        <v>45103</v>
      </c>
      <c r="BT1" s="38">
        <v>45104</v>
      </c>
      <c r="BU1" s="38">
        <v>45105</v>
      </c>
      <c r="BV1" s="38">
        <v>45106</v>
      </c>
      <c r="BW1" s="38">
        <v>45107</v>
      </c>
      <c r="BX1" s="38">
        <v>45110</v>
      </c>
      <c r="BY1" s="38">
        <v>45111</v>
      </c>
      <c r="BZ1" s="38">
        <v>45112</v>
      </c>
      <c r="CA1" s="38">
        <v>45113</v>
      </c>
      <c r="CB1" s="38">
        <v>45114</v>
      </c>
      <c r="CC1" s="38">
        <v>45117</v>
      </c>
      <c r="CD1" s="38">
        <v>45118</v>
      </c>
      <c r="CE1" s="38">
        <v>45119</v>
      </c>
      <c r="CF1" s="38">
        <v>45120</v>
      </c>
      <c r="CG1" s="38">
        <v>45121</v>
      </c>
      <c r="CH1" s="38">
        <v>45124</v>
      </c>
      <c r="CI1" s="38">
        <v>45125</v>
      </c>
      <c r="CJ1" s="38">
        <v>45126</v>
      </c>
      <c r="CK1" s="38">
        <v>45127</v>
      </c>
      <c r="CL1" s="38">
        <v>45128</v>
      </c>
      <c r="CM1" s="38">
        <v>45131</v>
      </c>
      <c r="CN1" s="38">
        <v>45132</v>
      </c>
      <c r="CO1" s="38">
        <v>45133</v>
      </c>
      <c r="CP1" s="38">
        <v>45134</v>
      </c>
      <c r="CQ1" s="38">
        <v>45135</v>
      </c>
      <c r="CR1" s="38">
        <v>45138</v>
      </c>
      <c r="CS1" s="38">
        <v>45139</v>
      </c>
      <c r="CT1" s="38">
        <v>45140</v>
      </c>
      <c r="CU1" s="38">
        <v>45141</v>
      </c>
      <c r="CV1" s="38">
        <v>45142</v>
      </c>
      <c r="CW1" s="38">
        <v>45145</v>
      </c>
      <c r="CX1" s="38">
        <v>45146</v>
      </c>
      <c r="CY1" s="38">
        <v>45147</v>
      </c>
      <c r="CZ1" s="38">
        <v>45148</v>
      </c>
      <c r="DA1" s="38">
        <v>45149</v>
      </c>
      <c r="DB1" s="38">
        <v>45152</v>
      </c>
      <c r="DC1" s="38">
        <v>45153</v>
      </c>
      <c r="DD1" s="38">
        <v>45154</v>
      </c>
      <c r="DE1" s="38">
        <v>45155</v>
      </c>
      <c r="DF1" s="38">
        <v>45156</v>
      </c>
      <c r="DG1" s="38">
        <v>45159</v>
      </c>
      <c r="DH1" s="38">
        <v>45160</v>
      </c>
      <c r="DI1" s="38">
        <v>45161</v>
      </c>
      <c r="DJ1" s="38">
        <v>45162</v>
      </c>
      <c r="DK1" s="38">
        <v>45163</v>
      </c>
      <c r="DL1" s="38">
        <v>45166</v>
      </c>
      <c r="DM1" s="38">
        <v>45167</v>
      </c>
      <c r="DN1" s="38">
        <v>45168</v>
      </c>
      <c r="DO1" s="38">
        <v>45169</v>
      </c>
      <c r="DP1" s="38">
        <v>45170</v>
      </c>
      <c r="DQ1" s="42">
        <v>45173</v>
      </c>
      <c r="DR1" s="42">
        <v>45174</v>
      </c>
      <c r="DS1" s="38">
        <v>45175</v>
      </c>
      <c r="DT1" s="38">
        <v>45176</v>
      </c>
      <c r="DU1" s="38">
        <v>45177</v>
      </c>
      <c r="DV1" s="38">
        <v>45180</v>
      </c>
      <c r="DW1" s="38">
        <v>45181</v>
      </c>
      <c r="DX1" s="38">
        <v>45182</v>
      </c>
      <c r="DY1" s="38">
        <v>45183</v>
      </c>
      <c r="DZ1" s="38">
        <v>45184</v>
      </c>
      <c r="EA1" s="38">
        <v>45187</v>
      </c>
      <c r="EB1" s="38">
        <v>45188</v>
      </c>
      <c r="EC1" s="38">
        <v>45189</v>
      </c>
      <c r="ED1" s="38">
        <v>45190</v>
      </c>
      <c r="EE1" s="38">
        <v>45191</v>
      </c>
      <c r="EF1" s="38">
        <v>45194</v>
      </c>
      <c r="EG1" s="38">
        <v>45195</v>
      </c>
      <c r="EH1" s="38">
        <v>45196</v>
      </c>
      <c r="EI1" s="38">
        <v>45197</v>
      </c>
      <c r="EJ1" s="38">
        <v>45208</v>
      </c>
      <c r="EK1" s="38">
        <v>45209</v>
      </c>
      <c r="EL1" s="38">
        <v>45210</v>
      </c>
      <c r="EM1" s="38">
        <v>45211</v>
      </c>
      <c r="EN1" s="38">
        <v>45212</v>
      </c>
      <c r="EO1" s="38">
        <v>45215</v>
      </c>
      <c r="EP1" s="38">
        <v>45216</v>
      </c>
      <c r="EQ1" s="43">
        <v>45217</v>
      </c>
      <c r="ER1" s="42">
        <v>45218</v>
      </c>
      <c r="ES1" s="38">
        <v>45219</v>
      </c>
      <c r="ET1" s="38">
        <v>45222</v>
      </c>
      <c r="EU1" s="38">
        <v>45223</v>
      </c>
      <c r="EV1" s="38">
        <v>45224</v>
      </c>
      <c r="EW1" s="38">
        <v>45225</v>
      </c>
      <c r="EX1" s="38">
        <v>45226</v>
      </c>
      <c r="EY1" s="38">
        <v>45229</v>
      </c>
      <c r="EZ1" s="38">
        <v>45230</v>
      </c>
      <c r="FA1" s="38">
        <v>45231</v>
      </c>
      <c r="FB1" s="38">
        <v>45232</v>
      </c>
      <c r="FC1" s="38">
        <v>45233</v>
      </c>
      <c r="FD1" s="38">
        <v>45236</v>
      </c>
      <c r="FE1" s="42">
        <v>45237</v>
      </c>
      <c r="FF1" s="42">
        <v>45238</v>
      </c>
      <c r="FG1" s="38">
        <v>45239</v>
      </c>
      <c r="FH1" s="38">
        <v>45240</v>
      </c>
      <c r="FI1" s="38">
        <v>45243</v>
      </c>
      <c r="FJ1" s="38">
        <v>45244</v>
      </c>
      <c r="FK1" s="38">
        <v>45245</v>
      </c>
      <c r="FL1" s="38">
        <v>45246</v>
      </c>
      <c r="FM1" s="38">
        <v>45247</v>
      </c>
      <c r="FN1" s="38">
        <v>45250</v>
      </c>
      <c r="FO1" s="42">
        <v>45251</v>
      </c>
      <c r="FP1" s="42">
        <v>45252</v>
      </c>
      <c r="FQ1" s="42">
        <v>45253</v>
      </c>
      <c r="FR1" s="38">
        <v>45254</v>
      </c>
      <c r="FS1" s="38">
        <v>45257</v>
      </c>
      <c r="FT1" s="42">
        <v>45258</v>
      </c>
      <c r="FU1" s="42">
        <v>45259</v>
      </c>
      <c r="FV1" s="42">
        <v>45260</v>
      </c>
      <c r="FW1" s="42">
        <v>45261</v>
      </c>
      <c r="FX1" s="38">
        <v>45264</v>
      </c>
      <c r="FY1" s="38">
        <v>45265</v>
      </c>
      <c r="FZ1" s="38">
        <v>45266</v>
      </c>
      <c r="GA1" s="38">
        <v>45267</v>
      </c>
      <c r="GB1" s="38">
        <v>45268</v>
      </c>
      <c r="GC1" s="38">
        <v>45271</v>
      </c>
      <c r="GD1" s="38">
        <v>45272</v>
      </c>
      <c r="GE1" s="38">
        <v>45273</v>
      </c>
      <c r="GF1" s="38">
        <v>45274</v>
      </c>
      <c r="GG1" s="38">
        <v>45275</v>
      </c>
      <c r="GH1" s="38">
        <v>45278</v>
      </c>
      <c r="GI1" s="38">
        <v>45279</v>
      </c>
      <c r="GJ1" s="38">
        <v>45280</v>
      </c>
      <c r="GK1" s="38">
        <v>45281</v>
      </c>
      <c r="GL1" s="38">
        <v>45282</v>
      </c>
      <c r="GM1" s="38">
        <v>45285</v>
      </c>
      <c r="GN1" s="38">
        <v>45286</v>
      </c>
      <c r="GO1" s="38">
        <v>45287</v>
      </c>
      <c r="GP1" s="38">
        <v>45288</v>
      </c>
      <c r="GQ1" s="38">
        <v>45289</v>
      </c>
      <c r="GR1" s="38">
        <v>45293</v>
      </c>
      <c r="GS1" s="38">
        <v>45294</v>
      </c>
      <c r="GT1" s="38">
        <v>45295</v>
      </c>
      <c r="GU1" s="38">
        <v>45296</v>
      </c>
      <c r="GV1" s="38">
        <v>45299</v>
      </c>
      <c r="GW1" s="38">
        <v>45300</v>
      </c>
      <c r="GX1" s="38">
        <v>45301</v>
      </c>
      <c r="GY1" s="38">
        <v>45302</v>
      </c>
      <c r="GZ1" s="38">
        <v>45303</v>
      </c>
      <c r="HA1" s="38">
        <v>45306</v>
      </c>
      <c r="HB1" s="38">
        <v>45307</v>
      </c>
      <c r="HC1" s="38">
        <v>45308</v>
      </c>
      <c r="HD1" s="38">
        <v>45309</v>
      </c>
      <c r="HE1" s="38">
        <v>45310</v>
      </c>
      <c r="HF1" s="38">
        <v>45313</v>
      </c>
      <c r="HG1" s="38">
        <v>45314</v>
      </c>
      <c r="HH1" s="38">
        <v>45315</v>
      </c>
      <c r="HI1" s="38">
        <v>45316</v>
      </c>
      <c r="HJ1" s="38">
        <v>45317</v>
      </c>
      <c r="HK1" s="38">
        <v>45320</v>
      </c>
      <c r="HL1" s="38">
        <v>45321</v>
      </c>
      <c r="HM1" s="38">
        <v>45322</v>
      </c>
      <c r="HN1" s="38">
        <v>45323</v>
      </c>
      <c r="HO1" s="38">
        <v>45324</v>
      </c>
      <c r="HP1" s="38">
        <v>45327</v>
      </c>
      <c r="HQ1" s="38">
        <v>45328</v>
      </c>
      <c r="HR1" s="38">
        <v>45329</v>
      </c>
      <c r="HS1" s="38">
        <v>45330</v>
      </c>
      <c r="HT1" s="38">
        <v>45341</v>
      </c>
      <c r="HU1" s="38">
        <v>45342</v>
      </c>
      <c r="HV1" s="38">
        <v>45343</v>
      </c>
      <c r="HW1" s="38">
        <v>45344</v>
      </c>
      <c r="HX1" s="38">
        <v>45345</v>
      </c>
      <c r="HY1" s="38">
        <v>45348</v>
      </c>
      <c r="HZ1" s="38">
        <v>45349</v>
      </c>
      <c r="IA1" s="38">
        <v>45350</v>
      </c>
      <c r="IB1" s="38">
        <v>45351</v>
      </c>
      <c r="IC1" s="38">
        <v>45352</v>
      </c>
      <c r="ID1" s="38">
        <v>45355</v>
      </c>
      <c r="IE1" s="38">
        <v>45356</v>
      </c>
      <c r="IF1" s="38">
        <v>45357</v>
      </c>
      <c r="IG1" s="38">
        <v>45358</v>
      </c>
      <c r="IH1" s="38">
        <v>45359</v>
      </c>
      <c r="II1" s="38">
        <v>45362</v>
      </c>
      <c r="IJ1" s="38">
        <v>45363</v>
      </c>
      <c r="IK1" s="38">
        <v>45364</v>
      </c>
      <c r="IL1" s="25">
        <v>45302</v>
      </c>
      <c r="IM1" s="25">
        <v>45303</v>
      </c>
      <c r="IN1" s="25">
        <v>45306</v>
      </c>
      <c r="IO1" s="25">
        <v>45307</v>
      </c>
      <c r="IP1" s="25">
        <v>45308</v>
      </c>
      <c r="IQ1" s="25">
        <v>45309</v>
      </c>
      <c r="IR1" s="25">
        <v>45310</v>
      </c>
      <c r="IS1" s="25">
        <v>45313</v>
      </c>
      <c r="IT1" s="25">
        <v>45314</v>
      </c>
      <c r="IU1" s="25">
        <v>45315</v>
      </c>
      <c r="IV1" s="25">
        <v>45316</v>
      </c>
      <c r="IW1" s="25">
        <v>45317</v>
      </c>
      <c r="IX1" s="25">
        <v>45320</v>
      </c>
      <c r="IY1" s="25">
        <v>45321</v>
      </c>
      <c r="IZ1" s="25">
        <v>45322</v>
      </c>
      <c r="JA1" s="25">
        <v>45323</v>
      </c>
      <c r="JB1" s="25">
        <v>45324</v>
      </c>
      <c r="JC1" s="25">
        <v>45327</v>
      </c>
      <c r="JD1" s="25">
        <v>45328</v>
      </c>
      <c r="JE1" s="25">
        <v>45329</v>
      </c>
      <c r="JF1" s="25">
        <v>45330</v>
      </c>
      <c r="JG1" s="25">
        <v>45341</v>
      </c>
      <c r="JH1" s="25">
        <v>45342</v>
      </c>
      <c r="JI1" s="25">
        <v>45343</v>
      </c>
      <c r="JJ1" s="25">
        <v>45344</v>
      </c>
      <c r="JK1" s="25">
        <v>45345</v>
      </c>
      <c r="JL1" s="25">
        <v>45348</v>
      </c>
      <c r="JM1" s="25">
        <v>45349</v>
      </c>
      <c r="JN1" s="25">
        <v>45350</v>
      </c>
      <c r="JO1" s="25">
        <v>45351</v>
      </c>
      <c r="JP1" s="25">
        <v>45352</v>
      </c>
      <c r="JQ1" s="25">
        <v>45355</v>
      </c>
      <c r="JR1" s="25">
        <v>45356</v>
      </c>
      <c r="JS1" s="25">
        <v>45357</v>
      </c>
      <c r="JT1" s="25">
        <v>45358</v>
      </c>
      <c r="JU1" s="25">
        <v>45359</v>
      </c>
      <c r="JV1" s="25">
        <v>45362</v>
      </c>
      <c r="JW1" s="25">
        <v>45363</v>
      </c>
      <c r="JX1" s="25">
        <v>45364</v>
      </c>
      <c r="JY1" s="25">
        <v>45365</v>
      </c>
      <c r="JZ1" s="25">
        <v>45366</v>
      </c>
      <c r="KA1" s="25">
        <v>45369</v>
      </c>
      <c r="KB1" s="25">
        <v>45370</v>
      </c>
      <c r="KC1" s="25">
        <v>45371</v>
      </c>
      <c r="KD1" s="25">
        <v>45372</v>
      </c>
      <c r="KE1" s="25">
        <v>45373</v>
      </c>
      <c r="KF1" s="25">
        <v>45376</v>
      </c>
      <c r="KG1" s="25">
        <v>45377</v>
      </c>
      <c r="KH1" s="25">
        <v>45378</v>
      </c>
      <c r="KI1" s="25">
        <v>45379</v>
      </c>
      <c r="KJ1" s="25">
        <v>45380</v>
      </c>
      <c r="KK1" s="25">
        <v>45383</v>
      </c>
      <c r="KL1" s="25">
        <v>45384</v>
      </c>
      <c r="KM1" s="25">
        <v>45385</v>
      </c>
      <c r="KN1" s="25">
        <v>45390</v>
      </c>
      <c r="KO1" s="25">
        <v>45391</v>
      </c>
      <c r="KP1" s="25">
        <v>45392</v>
      </c>
      <c r="KQ1" s="25">
        <v>45393</v>
      </c>
      <c r="KR1" s="25">
        <v>45394</v>
      </c>
      <c r="KS1" s="25">
        <v>45397</v>
      </c>
      <c r="KT1" s="25">
        <v>45398</v>
      </c>
      <c r="KU1" s="25">
        <v>45399</v>
      </c>
      <c r="KV1" s="25">
        <v>45400</v>
      </c>
      <c r="KW1" s="25">
        <v>45401</v>
      </c>
      <c r="KX1" s="25">
        <v>45404</v>
      </c>
      <c r="KY1" s="25">
        <v>45405</v>
      </c>
      <c r="KZ1" s="25">
        <v>45406</v>
      </c>
      <c r="LA1" s="25">
        <v>45407</v>
      </c>
      <c r="LB1" s="25">
        <v>45408</v>
      </c>
      <c r="LC1" s="25">
        <v>45411</v>
      </c>
      <c r="LD1" s="25">
        <v>45412</v>
      </c>
      <c r="LE1" s="25">
        <v>45418</v>
      </c>
      <c r="LF1" s="25">
        <v>45419</v>
      </c>
      <c r="LG1" s="25">
        <v>45420</v>
      </c>
      <c r="LH1" s="25">
        <v>45421</v>
      </c>
      <c r="LI1" s="25">
        <v>45422</v>
      </c>
      <c r="LJ1" s="27">
        <v>45425</v>
      </c>
      <c r="LK1" s="27">
        <v>45426</v>
      </c>
      <c r="LL1" s="27">
        <v>45427</v>
      </c>
      <c r="LM1" s="27">
        <v>45428</v>
      </c>
      <c r="LN1" s="27">
        <v>45429</v>
      </c>
      <c r="LO1" s="27">
        <v>45432</v>
      </c>
      <c r="LP1" s="27">
        <v>45433</v>
      </c>
      <c r="LQ1" s="27">
        <v>45434</v>
      </c>
      <c r="LR1" s="27">
        <v>45435</v>
      </c>
      <c r="LS1" s="27">
        <v>45436</v>
      </c>
      <c r="LT1" s="27">
        <v>45439</v>
      </c>
      <c r="LU1" s="27">
        <v>45440</v>
      </c>
      <c r="LV1" s="27">
        <v>45441</v>
      </c>
      <c r="LW1" s="27">
        <v>45442</v>
      </c>
      <c r="LX1" s="27">
        <v>45443</v>
      </c>
      <c r="LY1" s="27">
        <v>45446</v>
      </c>
      <c r="LZ1" s="27">
        <v>45447</v>
      </c>
      <c r="MA1" s="27">
        <v>45448</v>
      </c>
      <c r="MB1" s="27">
        <v>45449</v>
      </c>
      <c r="MC1" s="27">
        <v>45450</v>
      </c>
      <c r="MD1" s="27">
        <v>45454</v>
      </c>
      <c r="ME1" s="27">
        <v>45455</v>
      </c>
      <c r="MF1" s="27">
        <v>45456</v>
      </c>
      <c r="MG1" s="27">
        <v>45457</v>
      </c>
      <c r="MH1" s="27">
        <v>45460</v>
      </c>
      <c r="MI1" s="27">
        <v>45461</v>
      </c>
      <c r="MJ1" s="27">
        <v>45462</v>
      </c>
      <c r="MK1" s="27">
        <v>45463</v>
      </c>
      <c r="ML1" s="27">
        <v>45464</v>
      </c>
      <c r="MM1" s="27">
        <v>45467</v>
      </c>
      <c r="MN1" s="27">
        <v>45468</v>
      </c>
      <c r="MO1" s="27">
        <v>45469</v>
      </c>
      <c r="MP1" s="27">
        <v>45470</v>
      </c>
      <c r="MQ1" s="27">
        <v>45471</v>
      </c>
      <c r="MR1" s="27">
        <v>45474</v>
      </c>
      <c r="MS1" s="27">
        <v>45475</v>
      </c>
      <c r="MT1" s="27">
        <v>45476</v>
      </c>
      <c r="MU1" s="27">
        <v>45477</v>
      </c>
      <c r="MV1" s="27">
        <v>45478</v>
      </c>
      <c r="MW1" s="27">
        <v>45481</v>
      </c>
      <c r="MX1" s="27">
        <v>45482</v>
      </c>
      <c r="MY1" s="27">
        <v>45483</v>
      </c>
      <c r="MZ1" s="27">
        <v>45484</v>
      </c>
      <c r="NA1" s="27">
        <v>45485</v>
      </c>
      <c r="NB1" s="27">
        <v>45488</v>
      </c>
      <c r="NC1" s="27">
        <v>45489</v>
      </c>
      <c r="ND1" s="27">
        <v>45490</v>
      </c>
      <c r="NE1" s="27">
        <v>45491</v>
      </c>
      <c r="NF1" s="27">
        <v>45492</v>
      </c>
      <c r="NG1" s="27">
        <v>45495</v>
      </c>
      <c r="NH1" s="27">
        <v>45496</v>
      </c>
      <c r="NI1" s="27">
        <v>45497</v>
      </c>
      <c r="NJ1" s="27">
        <v>45498</v>
      </c>
      <c r="NK1" s="27">
        <v>45499</v>
      </c>
      <c r="NL1" s="27">
        <v>45502</v>
      </c>
      <c r="NM1" s="27">
        <v>45503</v>
      </c>
      <c r="NN1" s="27">
        <v>45504</v>
      </c>
      <c r="NO1" s="27">
        <v>45505</v>
      </c>
      <c r="NP1" s="27">
        <v>45506</v>
      </c>
      <c r="NQ1" s="27">
        <v>45509</v>
      </c>
      <c r="NR1" s="27">
        <v>45510</v>
      </c>
      <c r="NS1" s="27">
        <v>45511</v>
      </c>
      <c r="NT1" s="27">
        <v>45512</v>
      </c>
      <c r="NU1" s="27">
        <v>45513</v>
      </c>
      <c r="NV1" s="27">
        <v>45516</v>
      </c>
      <c r="NW1" s="27">
        <v>45517</v>
      </c>
      <c r="NX1" s="27">
        <v>45518</v>
      </c>
      <c r="NY1" s="27">
        <v>45519</v>
      </c>
      <c r="NZ1" s="27">
        <v>45520</v>
      </c>
      <c r="OA1" s="27">
        <v>45523</v>
      </c>
      <c r="OB1" s="27">
        <v>45524</v>
      </c>
      <c r="OC1" s="27">
        <v>45525</v>
      </c>
      <c r="OD1" s="27">
        <v>45526</v>
      </c>
      <c r="OE1" s="27">
        <v>45527</v>
      </c>
      <c r="OF1" s="27">
        <v>45530</v>
      </c>
      <c r="OG1" s="27">
        <v>45531</v>
      </c>
      <c r="OH1" s="27">
        <v>45532</v>
      </c>
      <c r="OI1" s="27">
        <v>45533</v>
      </c>
      <c r="OJ1" s="27">
        <v>45534</v>
      </c>
      <c r="OK1" s="25">
        <v>45537</v>
      </c>
      <c r="OL1" s="25">
        <v>45538</v>
      </c>
      <c r="OM1" s="25">
        <v>45539</v>
      </c>
      <c r="ON1" s="25">
        <v>45540</v>
      </c>
      <c r="OO1" s="25">
        <v>45541</v>
      </c>
      <c r="OP1" s="25">
        <v>45544</v>
      </c>
      <c r="OQ1" s="25">
        <v>45545</v>
      </c>
      <c r="OR1" s="25">
        <v>45546</v>
      </c>
      <c r="OS1" s="25">
        <v>45547</v>
      </c>
      <c r="OT1" s="25">
        <v>45548</v>
      </c>
      <c r="OU1" s="25">
        <v>45553</v>
      </c>
      <c r="OV1" s="25">
        <v>45554</v>
      </c>
      <c r="OW1" s="25">
        <v>45555</v>
      </c>
      <c r="OX1" s="25">
        <v>45558</v>
      </c>
      <c r="OY1" s="25">
        <v>45559</v>
      </c>
      <c r="OZ1" s="25">
        <v>45560</v>
      </c>
      <c r="PA1" s="25">
        <v>45561</v>
      </c>
      <c r="PB1" s="25">
        <v>45562</v>
      </c>
      <c r="PC1" s="25">
        <v>45565</v>
      </c>
      <c r="PD1" s="25">
        <v>45573</v>
      </c>
      <c r="PE1" s="25">
        <v>45574</v>
      </c>
      <c r="PF1" s="25">
        <v>45575</v>
      </c>
      <c r="PG1" s="25">
        <v>45576</v>
      </c>
      <c r="PH1" s="25">
        <v>45579</v>
      </c>
      <c r="PI1" s="25">
        <v>45580</v>
      </c>
      <c r="PJ1" s="25">
        <v>45581</v>
      </c>
      <c r="PK1" s="25">
        <v>45582</v>
      </c>
      <c r="PL1" s="25">
        <v>45583</v>
      </c>
      <c r="PM1" s="25">
        <v>45586</v>
      </c>
      <c r="PN1" s="25">
        <v>45587</v>
      </c>
      <c r="PO1" s="25">
        <v>45588</v>
      </c>
      <c r="PP1" s="25">
        <v>45589</v>
      </c>
      <c r="PQ1" s="25">
        <v>45590</v>
      </c>
      <c r="PR1" s="25">
        <v>45593</v>
      </c>
      <c r="PS1" s="25">
        <v>45594</v>
      </c>
      <c r="PT1" s="25">
        <v>45595</v>
      </c>
      <c r="PU1" s="25">
        <v>45596</v>
      </c>
      <c r="PV1" s="25">
        <v>45597</v>
      </c>
      <c r="PW1" s="25">
        <v>45600</v>
      </c>
      <c r="PX1" s="25">
        <v>45601</v>
      </c>
      <c r="PY1" s="25">
        <v>45602</v>
      </c>
      <c r="PZ1" s="25">
        <v>45603</v>
      </c>
      <c r="QA1" s="25">
        <v>45604</v>
      </c>
      <c r="QB1" s="25">
        <v>45607</v>
      </c>
      <c r="QC1" s="25">
        <v>45608</v>
      </c>
      <c r="QD1" s="25">
        <v>45609</v>
      </c>
      <c r="QE1" s="25">
        <v>45610</v>
      </c>
      <c r="QF1" s="25">
        <v>45611</v>
      </c>
      <c r="QG1" s="25">
        <v>45614</v>
      </c>
      <c r="QH1" s="25">
        <v>45615</v>
      </c>
      <c r="QI1" s="25">
        <v>45616</v>
      </c>
      <c r="QJ1" s="25">
        <v>45617</v>
      </c>
      <c r="QK1" s="25">
        <v>45618</v>
      </c>
      <c r="QL1" s="25">
        <v>45621</v>
      </c>
      <c r="QM1" s="25">
        <v>45622</v>
      </c>
      <c r="QN1" s="25">
        <v>45623</v>
      </c>
      <c r="QO1" s="25">
        <v>45624</v>
      </c>
      <c r="QP1" s="25">
        <v>45625</v>
      </c>
      <c r="QQ1" s="25">
        <v>45628</v>
      </c>
      <c r="QR1" s="25">
        <v>45629</v>
      </c>
      <c r="QS1" s="25">
        <v>45630</v>
      </c>
      <c r="QT1" s="25">
        <v>45631</v>
      </c>
      <c r="QU1" s="25">
        <v>45632</v>
      </c>
      <c r="QV1" s="27">
        <v>45635</v>
      </c>
      <c r="QW1" s="27">
        <v>45636</v>
      </c>
      <c r="QX1" s="27">
        <v>45637</v>
      </c>
      <c r="QY1" s="27">
        <v>45638</v>
      </c>
      <c r="QZ1" s="27">
        <v>45639</v>
      </c>
      <c r="RA1" s="27">
        <v>45642</v>
      </c>
      <c r="RB1" s="27">
        <v>45643</v>
      </c>
      <c r="RC1" s="27">
        <v>45644</v>
      </c>
      <c r="RD1" s="27">
        <v>45645</v>
      </c>
      <c r="RE1" s="27">
        <v>45646</v>
      </c>
      <c r="RF1" s="27">
        <v>45649</v>
      </c>
      <c r="RG1" s="27">
        <v>45650</v>
      </c>
      <c r="RH1" s="27">
        <v>45651</v>
      </c>
      <c r="RI1" s="27">
        <v>45652</v>
      </c>
      <c r="RJ1" s="27">
        <v>45653</v>
      </c>
      <c r="RK1" s="27">
        <v>45656</v>
      </c>
      <c r="RL1" s="27">
        <v>45657</v>
      </c>
      <c r="RM1" s="27">
        <v>45659</v>
      </c>
      <c r="RN1" s="27">
        <v>45660</v>
      </c>
      <c r="RO1" s="27">
        <v>45663</v>
      </c>
      <c r="RP1" s="27">
        <v>45664</v>
      </c>
      <c r="RQ1" s="27">
        <v>45665</v>
      </c>
      <c r="RR1" s="27">
        <v>45666</v>
      </c>
      <c r="RS1" s="27">
        <v>45667</v>
      </c>
      <c r="RT1" s="27">
        <v>45670</v>
      </c>
      <c r="RU1" s="27">
        <v>45671</v>
      </c>
      <c r="RV1" s="27">
        <v>45672</v>
      </c>
      <c r="RW1" s="27">
        <v>45673</v>
      </c>
      <c r="RX1" s="27">
        <v>45674</v>
      </c>
      <c r="RY1" s="27">
        <v>45677</v>
      </c>
      <c r="RZ1" s="27">
        <v>45678</v>
      </c>
      <c r="SA1" s="27">
        <v>45679</v>
      </c>
      <c r="SB1" s="27">
        <v>45680</v>
      </c>
      <c r="SC1" s="27">
        <v>45681</v>
      </c>
      <c r="SD1" s="27">
        <v>45684</v>
      </c>
      <c r="SE1" s="27">
        <v>45693</v>
      </c>
      <c r="SF1" s="27">
        <v>45694</v>
      </c>
      <c r="SG1" s="27">
        <v>45695</v>
      </c>
      <c r="SH1" s="27">
        <v>45698</v>
      </c>
      <c r="SI1" s="27">
        <v>45699</v>
      </c>
      <c r="SJ1" s="27">
        <v>45700</v>
      </c>
      <c r="SK1" s="27">
        <v>45701</v>
      </c>
      <c r="SL1" s="27">
        <v>45702</v>
      </c>
      <c r="SM1" s="27">
        <v>45705</v>
      </c>
      <c r="SN1" s="27">
        <v>45706</v>
      </c>
      <c r="SO1" s="27">
        <v>45707</v>
      </c>
      <c r="SP1" s="27">
        <v>45708</v>
      </c>
      <c r="SQ1" s="27">
        <v>45709</v>
      </c>
      <c r="SR1" s="27">
        <v>45712</v>
      </c>
      <c r="SS1" s="27">
        <v>45713</v>
      </c>
      <c r="ST1" s="27">
        <v>45714</v>
      </c>
      <c r="SU1" s="27">
        <v>45715</v>
      </c>
      <c r="SV1" s="27">
        <v>45716</v>
      </c>
      <c r="SW1" s="27">
        <v>45719</v>
      </c>
      <c r="SX1" s="27">
        <v>45720</v>
      </c>
      <c r="SY1" s="27">
        <v>45721</v>
      </c>
      <c r="SZ1" s="27">
        <v>45722</v>
      </c>
      <c r="TA1" s="27">
        <v>45723</v>
      </c>
      <c r="TB1" s="27">
        <v>45726</v>
      </c>
      <c r="TC1" s="27">
        <v>45727</v>
      </c>
      <c r="TD1" s="27">
        <v>45728</v>
      </c>
      <c r="TE1" s="27">
        <v>45729</v>
      </c>
      <c r="TF1" s="27">
        <v>45730</v>
      </c>
      <c r="TG1" s="27">
        <v>45733</v>
      </c>
      <c r="TH1" s="27">
        <v>45734</v>
      </c>
      <c r="TI1" s="27">
        <v>45735</v>
      </c>
      <c r="TJ1" s="27">
        <v>45736</v>
      </c>
      <c r="TK1" s="27">
        <v>45737</v>
      </c>
      <c r="TL1" s="27">
        <v>45740</v>
      </c>
      <c r="TM1" s="27">
        <v>45741</v>
      </c>
      <c r="TN1" s="27">
        <v>45742</v>
      </c>
      <c r="TO1" s="27">
        <v>45743</v>
      </c>
      <c r="TP1" s="27">
        <v>45744</v>
      </c>
      <c r="TQ1" s="27">
        <v>45747</v>
      </c>
      <c r="TR1" s="27">
        <v>45748</v>
      </c>
      <c r="TS1" s="27">
        <v>45749</v>
      </c>
      <c r="TT1" s="27">
        <v>45750</v>
      </c>
      <c r="TU1" s="27">
        <v>45754</v>
      </c>
      <c r="TV1" s="27">
        <v>45755</v>
      </c>
      <c r="TW1" s="27">
        <v>45756</v>
      </c>
      <c r="TX1" s="27">
        <v>45757</v>
      </c>
      <c r="TY1" s="27">
        <v>45758</v>
      </c>
      <c r="TZ1" s="27">
        <v>45761</v>
      </c>
      <c r="UA1" s="27">
        <v>45762</v>
      </c>
      <c r="UB1" s="27">
        <v>45763</v>
      </c>
      <c r="UC1" s="27">
        <v>45764</v>
      </c>
      <c r="UD1" s="27">
        <v>45765</v>
      </c>
      <c r="UE1" s="27">
        <v>45768</v>
      </c>
      <c r="UF1" s="27">
        <v>45769</v>
      </c>
      <c r="UG1" s="27">
        <v>45770</v>
      </c>
      <c r="UH1" s="27">
        <v>45771</v>
      </c>
      <c r="UI1" s="27">
        <v>45772</v>
      </c>
      <c r="UJ1" s="27">
        <v>45775</v>
      </c>
      <c r="UK1" s="27">
        <v>45776</v>
      </c>
      <c r="UL1" s="27">
        <v>45777</v>
      </c>
      <c r="UM1" s="27">
        <v>45783</v>
      </c>
      <c r="UN1" s="27">
        <v>45784</v>
      </c>
      <c r="UO1" s="27">
        <v>45785</v>
      </c>
      <c r="UP1" s="27">
        <v>45786</v>
      </c>
      <c r="UQ1" s="27">
        <v>45789</v>
      </c>
      <c r="UR1" s="27">
        <v>45790</v>
      </c>
      <c r="US1" s="27">
        <v>45791</v>
      </c>
      <c r="UT1" s="27">
        <v>45792</v>
      </c>
      <c r="UU1" s="27">
        <v>45793</v>
      </c>
      <c r="UV1" s="27">
        <v>45796</v>
      </c>
      <c r="UW1" s="27">
        <v>45797</v>
      </c>
      <c r="UX1" s="27">
        <v>45798</v>
      </c>
      <c r="UY1" s="27">
        <v>45799</v>
      </c>
      <c r="UZ1" s="27">
        <v>45800</v>
      </c>
      <c r="VA1" s="27">
        <v>45803</v>
      </c>
      <c r="VB1" s="27">
        <v>45804</v>
      </c>
      <c r="VC1" s="27">
        <v>45805</v>
      </c>
      <c r="VD1" s="27">
        <v>45806</v>
      </c>
      <c r="VE1" s="27">
        <v>45807</v>
      </c>
      <c r="VF1" s="27">
        <v>45811</v>
      </c>
      <c r="VG1" s="27">
        <v>45812</v>
      </c>
      <c r="VH1" s="27">
        <v>45813</v>
      </c>
      <c r="VI1" s="27">
        <v>45814</v>
      </c>
      <c r="VJ1" s="27">
        <v>45817</v>
      </c>
      <c r="VK1" s="27">
        <v>45818</v>
      </c>
      <c r="VL1" s="27">
        <v>45819</v>
      </c>
      <c r="VM1" s="27">
        <v>45820</v>
      </c>
      <c r="VN1" s="27">
        <v>45821</v>
      </c>
      <c r="VO1" s="27">
        <v>45824</v>
      </c>
      <c r="VP1" s="27">
        <v>45825</v>
      </c>
      <c r="VQ1" s="27">
        <v>45826</v>
      </c>
      <c r="VR1" s="27">
        <v>45827</v>
      </c>
      <c r="VS1" s="27">
        <v>45828</v>
      </c>
      <c r="VT1" s="27">
        <v>45831</v>
      </c>
      <c r="VU1" s="27">
        <v>45832</v>
      </c>
      <c r="VV1" s="27">
        <v>45833</v>
      </c>
      <c r="VW1" s="27">
        <v>45834</v>
      </c>
      <c r="VX1" s="27">
        <v>45835</v>
      </c>
      <c r="VY1" s="27">
        <v>45838</v>
      </c>
      <c r="VZ1" s="27">
        <v>45839</v>
      </c>
      <c r="WA1" s="27">
        <v>45840</v>
      </c>
      <c r="WB1" s="27">
        <v>45841</v>
      </c>
      <c r="WC1" s="27">
        <v>45842</v>
      </c>
      <c r="WD1" s="27">
        <v>45845</v>
      </c>
      <c r="WE1" s="27">
        <v>45846</v>
      </c>
      <c r="WF1" s="27">
        <v>45847</v>
      </c>
      <c r="WG1" s="27">
        <v>45848</v>
      </c>
      <c r="WH1" s="27">
        <v>45849</v>
      </c>
      <c r="WI1" s="27">
        <v>45852</v>
      </c>
      <c r="WJ1" s="27">
        <v>45853</v>
      </c>
      <c r="WK1" s="27">
        <v>45854</v>
      </c>
      <c r="WL1" s="27">
        <v>45855</v>
      </c>
      <c r="WM1" s="27">
        <v>45856</v>
      </c>
      <c r="WN1" s="27">
        <v>45859</v>
      </c>
      <c r="WO1" s="27">
        <v>45860</v>
      </c>
      <c r="WP1" s="27">
        <v>45861</v>
      </c>
      <c r="WQ1" s="27">
        <v>45862</v>
      </c>
      <c r="WR1" s="27">
        <v>45863</v>
      </c>
      <c r="WS1" s="27">
        <v>45866</v>
      </c>
      <c r="WT1" s="27">
        <v>45867</v>
      </c>
      <c r="WU1" s="27">
        <v>45868</v>
      </c>
      <c r="WV1" s="27">
        <v>45869</v>
      </c>
      <c r="WW1" s="27">
        <v>45870</v>
      </c>
      <c r="WX1" s="27">
        <v>45873</v>
      </c>
      <c r="WY1" s="27">
        <v>45874</v>
      </c>
      <c r="WZ1" s="27">
        <v>45875</v>
      </c>
      <c r="XA1" s="27">
        <v>45876</v>
      </c>
      <c r="XB1" s="27">
        <v>45877</v>
      </c>
      <c r="XC1" s="27">
        <v>45880</v>
      </c>
      <c r="XD1" s="27">
        <v>45881</v>
      </c>
      <c r="XE1" s="27">
        <v>45882</v>
      </c>
      <c r="XF1" s="27">
        <v>45883</v>
      </c>
      <c r="XG1" s="27">
        <v>45884</v>
      </c>
      <c r="XH1" s="27">
        <v>45887</v>
      </c>
      <c r="XI1" s="27">
        <v>45888</v>
      </c>
      <c r="XJ1" s="27">
        <v>45889</v>
      </c>
      <c r="XK1" s="27">
        <v>45890</v>
      </c>
      <c r="XL1" s="27">
        <v>45891</v>
      </c>
      <c r="XM1" s="27">
        <v>45894</v>
      </c>
      <c r="XN1" s="27">
        <v>45895</v>
      </c>
      <c r="XO1" s="27">
        <v>45896</v>
      </c>
      <c r="XP1" s="27">
        <v>45897</v>
      </c>
      <c r="XQ1" s="27">
        <v>45898</v>
      </c>
      <c r="XR1" s="27">
        <v>45901</v>
      </c>
      <c r="XS1" s="27">
        <v>45902</v>
      </c>
      <c r="XT1" s="27">
        <v>45903</v>
      </c>
      <c r="XU1" s="27">
        <v>45904</v>
      </c>
      <c r="XV1" s="27">
        <v>45905</v>
      </c>
      <c r="XW1" s="27">
        <v>45908</v>
      </c>
      <c r="XX1" s="27">
        <v>45909</v>
      </c>
      <c r="XY1" s="27">
        <v>45910</v>
      </c>
      <c r="XZ1" s="27">
        <v>45911</v>
      </c>
      <c r="YA1" s="27">
        <v>45912</v>
      </c>
      <c r="YB1" s="27">
        <v>45915</v>
      </c>
      <c r="YC1" s="27">
        <v>45916</v>
      </c>
      <c r="YD1" s="27">
        <v>45917</v>
      </c>
      <c r="YE1" s="27">
        <v>45918</v>
      </c>
      <c r="YF1" s="27">
        <v>45919</v>
      </c>
      <c r="YG1" s="27">
        <v>45922</v>
      </c>
      <c r="YH1" s="27">
        <v>45923</v>
      </c>
      <c r="YI1" s="27">
        <v>45924</v>
      </c>
      <c r="YJ1" s="27">
        <v>45925</v>
      </c>
      <c r="YK1" s="27">
        <v>45926</v>
      </c>
      <c r="YL1" s="27">
        <v>45929</v>
      </c>
      <c r="YM1" s="27">
        <v>45930</v>
      </c>
      <c r="YN1" s="27">
        <v>45939</v>
      </c>
      <c r="YO1" s="27">
        <v>45940</v>
      </c>
      <c r="YP1" s="27">
        <v>45943</v>
      </c>
      <c r="YQ1" s="27">
        <v>45944</v>
      </c>
      <c r="YR1" s="27">
        <v>45945</v>
      </c>
      <c r="YS1" s="27">
        <v>45946</v>
      </c>
      <c r="YT1" s="27">
        <v>45947</v>
      </c>
      <c r="YU1" s="27">
        <v>45950</v>
      </c>
      <c r="YV1" s="27">
        <v>45951</v>
      </c>
      <c r="YW1" s="27">
        <v>45952</v>
      </c>
      <c r="YX1" s="27">
        <v>45953</v>
      </c>
      <c r="YY1" s="27">
        <v>45954</v>
      </c>
      <c r="YZ1" s="27">
        <v>45957</v>
      </c>
      <c r="ZA1" s="27">
        <v>45958</v>
      </c>
      <c r="ZB1" s="27">
        <v>45959</v>
      </c>
      <c r="ZC1" s="27">
        <v>45960</v>
      </c>
      <c r="ZD1" s="27">
        <v>45961</v>
      </c>
      <c r="ZE1" s="27">
        <v>45964</v>
      </c>
      <c r="ZF1" s="27">
        <v>45965</v>
      </c>
      <c r="ZG1" s="27">
        <v>45966</v>
      </c>
      <c r="ZH1" s="27">
        <v>45967</v>
      </c>
      <c r="ZI1" s="27">
        <v>45968</v>
      </c>
      <c r="ZJ1" s="27">
        <v>45971</v>
      </c>
      <c r="ZK1" s="27">
        <v>45972</v>
      </c>
      <c r="ZL1" s="27">
        <v>45973</v>
      </c>
      <c r="ZM1" s="27">
        <v>45974</v>
      </c>
      <c r="ZN1" s="27">
        <v>45975</v>
      </c>
      <c r="ZO1" s="27">
        <v>45978</v>
      </c>
      <c r="ZP1" s="27">
        <v>45979</v>
      </c>
      <c r="ZQ1" s="27">
        <v>45980</v>
      </c>
      <c r="ZR1" s="27">
        <v>45981</v>
      </c>
      <c r="ZS1" s="27">
        <v>45982</v>
      </c>
      <c r="ZT1" s="27">
        <v>45985</v>
      </c>
      <c r="ZU1" s="27">
        <v>45986</v>
      </c>
      <c r="ZV1" s="27">
        <v>45987</v>
      </c>
      <c r="ZW1" s="27">
        <v>45988</v>
      </c>
      <c r="ZX1" s="27">
        <v>45989</v>
      </c>
      <c r="ZY1" s="27">
        <v>45992</v>
      </c>
      <c r="ZZ1" s="27">
        <v>45993</v>
      </c>
      <c r="AAA1" s="27">
        <v>45994</v>
      </c>
      <c r="AAB1" s="27">
        <v>45995</v>
      </c>
      <c r="AAC1" s="27">
        <v>45996</v>
      </c>
      <c r="AAD1" s="27">
        <v>45999</v>
      </c>
      <c r="AAE1" s="27">
        <v>46000</v>
      </c>
      <c r="AAF1" s="27">
        <v>46001</v>
      </c>
      <c r="AAG1" s="27">
        <v>46002</v>
      </c>
      <c r="AAH1" s="27">
        <v>46003</v>
      </c>
      <c r="AAI1" s="27">
        <v>46006</v>
      </c>
      <c r="AAJ1" s="27">
        <v>46007</v>
      </c>
      <c r="AAK1" s="27">
        <v>46008</v>
      </c>
      <c r="AAL1" s="27">
        <v>46009</v>
      </c>
      <c r="AAM1" s="27">
        <v>46010</v>
      </c>
      <c r="AAN1" s="27">
        <v>46013</v>
      </c>
      <c r="AAO1" s="27">
        <v>46014</v>
      </c>
      <c r="AAP1" s="27">
        <v>46015</v>
      </c>
      <c r="AAQ1" s="27">
        <v>46016</v>
      </c>
      <c r="AAR1" s="27">
        <v>46017</v>
      </c>
      <c r="AAS1" s="27">
        <v>46020</v>
      </c>
      <c r="AAT1" s="27">
        <v>46021</v>
      </c>
      <c r="AAU1" s="27">
        <v>46022</v>
      </c>
      <c r="AAV1" s="27">
        <v>46027</v>
      </c>
      <c r="AAW1" s="27">
        <v>46028</v>
      </c>
      <c r="AAX1" s="27">
        <v>46029</v>
      </c>
      <c r="AAY1" s="27">
        <v>46030</v>
      </c>
      <c r="AAZ1" s="27">
        <v>46031</v>
      </c>
      <c r="ABA1" s="27">
        <v>46034</v>
      </c>
      <c r="ABB1" s="27">
        <v>46035</v>
      </c>
      <c r="ABC1" s="27">
        <v>46036</v>
      </c>
      <c r="ABD1" s="27">
        <v>46037</v>
      </c>
      <c r="ABE1" s="27">
        <v>46038</v>
      </c>
      <c r="ABF1" s="27">
        <v>46041</v>
      </c>
      <c r="ABG1" s="27">
        <v>46042</v>
      </c>
      <c r="ABH1" s="27">
        <v>46043</v>
      </c>
      <c r="ABI1" s="27">
        <v>46044</v>
      </c>
      <c r="ABJ1" s="27">
        <v>46045</v>
      </c>
      <c r="ABK1" s="27">
        <v>46048</v>
      </c>
      <c r="ABL1" s="27">
        <v>46049</v>
      </c>
      <c r="ABM1" s="27">
        <v>46050</v>
      </c>
      <c r="ABN1" s="27">
        <v>46051</v>
      </c>
      <c r="ABO1" s="27">
        <v>46052</v>
      </c>
      <c r="ABP1" s="27">
        <v>46055</v>
      </c>
      <c r="ABQ1" s="27">
        <v>46056</v>
      </c>
      <c r="ABR1" s="27">
        <v>46057</v>
      </c>
      <c r="ABS1" s="27">
        <v>46058</v>
      </c>
      <c r="ABT1" s="27">
        <v>46059</v>
      </c>
      <c r="ABU1" s="27">
        <v>46062</v>
      </c>
      <c r="ABV1" s="27">
        <v>46063</v>
      </c>
      <c r="ABW1" s="27">
        <v>46064</v>
      </c>
      <c r="ABX1" s="27">
        <v>46065</v>
      </c>
      <c r="ABY1" s="27">
        <v>46066</v>
      </c>
      <c r="ABZ1" s="27">
        <v>46077</v>
      </c>
      <c r="ACA1" s="27">
        <v>46078</v>
      </c>
      <c r="ACB1" s="27">
        <v>46079</v>
      </c>
      <c r="ACC1" s="27">
        <v>46080</v>
      </c>
      <c r="ACD1" s="27">
        <v>46083</v>
      </c>
      <c r="ACE1" s="27">
        <v>46084</v>
      </c>
      <c r="ACF1" s="27">
        <v>46085</v>
      </c>
      <c r="ACG1" s="27">
        <v>46086</v>
      </c>
      <c r="ACH1" s="27">
        <v>46087</v>
      </c>
      <c r="ACI1" s="27">
        <v>46090</v>
      </c>
      <c r="ACJ1" s="27">
        <v>46091</v>
      </c>
      <c r="ACK1" s="27">
        <v>46092</v>
      </c>
      <c r="ACL1" s="27">
        <v>46093</v>
      </c>
      <c r="ACM1" s="27">
        <v>46094</v>
      </c>
      <c r="ACN1" s="27">
        <v>46097</v>
      </c>
      <c r="ACO1" s="27">
        <v>46098</v>
      </c>
      <c r="ACP1" s="27">
        <v>46099</v>
      </c>
      <c r="ACQ1" s="27">
        <v>46100</v>
      </c>
      <c r="ACR1" s="27">
        <v>46101</v>
      </c>
      <c r="ACS1" s="27">
        <v>46104</v>
      </c>
      <c r="ACT1" s="27">
        <v>46105</v>
      </c>
      <c r="ACU1" s="27">
        <v>46106</v>
      </c>
      <c r="ACV1" s="27">
        <v>46107</v>
      </c>
      <c r="ACW1" s="27">
        <v>46108</v>
      </c>
      <c r="ACX1" s="27">
        <v>46111</v>
      </c>
      <c r="ACY1" s="27">
        <v>46112</v>
      </c>
      <c r="ACZ1" s="27">
        <v>46113</v>
      </c>
      <c r="ADA1" s="27">
        <v>46114</v>
      </c>
      <c r="ADB1" s="27">
        <v>46115</v>
      </c>
      <c r="ADC1" s="27">
        <v>46119</v>
      </c>
      <c r="ADD1" s="27">
        <v>46120</v>
      </c>
      <c r="ADE1" s="27">
        <v>46121</v>
      </c>
      <c r="ADF1" s="27">
        <v>46122</v>
      </c>
      <c r="ADG1" s="27">
        <v>46125</v>
      </c>
      <c r="ADH1" s="27">
        <v>46126</v>
      </c>
      <c r="ADI1" s="27">
        <v>46127</v>
      </c>
      <c r="ADJ1" s="27">
        <v>46128</v>
      </c>
      <c r="ADK1" s="27">
        <v>46129</v>
      </c>
      <c r="ADL1" s="27">
        <v>46132</v>
      </c>
      <c r="ADM1" s="27">
        <v>46133</v>
      </c>
      <c r="ADN1" s="27">
        <v>46134</v>
      </c>
      <c r="ADO1" s="27">
        <v>46135</v>
      </c>
      <c r="ADP1" s="27">
        <v>46136</v>
      </c>
      <c r="ADQ1" s="27">
        <v>46139</v>
      </c>
      <c r="ADR1" s="27">
        <v>46140</v>
      </c>
      <c r="ADS1" s="27">
        <v>46141</v>
      </c>
      <c r="ADT1" s="27">
        <v>46142</v>
      </c>
      <c r="ADU1" s="27">
        <v>46148</v>
      </c>
      <c r="ADV1" s="27">
        <v>46149</v>
      </c>
      <c r="ADW1" s="27">
        <v>46150</v>
      </c>
    </row>
    <row r="2" spans="1:803" x14ac:dyDescent="0.3">
      <c r="A2" s="24" t="s">
        <v>303</v>
      </c>
      <c r="B2" s="24">
        <f>AVERAGE(A5:B5)</f>
        <v>2</v>
      </c>
      <c r="C2" s="24">
        <f>AVERAGE(A5:C5)</f>
        <v>1.5</v>
      </c>
      <c r="D2" s="24">
        <f>AVERAGE(A5:D5)</f>
        <v>1.6666666666666667</v>
      </c>
      <c r="E2" s="24">
        <f>AVERAGE(A5:E5)</f>
        <v>1.5</v>
      </c>
      <c r="F2" s="24">
        <f t="shared" ref="F2:BQ2" si="0">AVERAGE(B5:F5)</f>
        <v>1.4</v>
      </c>
      <c r="G2" s="24">
        <f t="shared" si="0"/>
        <v>1.2</v>
      </c>
      <c r="H2" s="24">
        <f t="shared" si="0"/>
        <v>1.4</v>
      </c>
      <c r="I2" s="24">
        <f t="shared" si="0"/>
        <v>1.2</v>
      </c>
      <c r="J2" s="24">
        <f t="shared" si="0"/>
        <v>1</v>
      </c>
      <c r="K2" s="24">
        <f t="shared" si="0"/>
        <v>1</v>
      </c>
      <c r="L2" s="24">
        <f t="shared" si="0"/>
        <v>0.8</v>
      </c>
      <c r="M2" s="24">
        <f t="shared" si="0"/>
        <v>1</v>
      </c>
      <c r="N2" s="24">
        <f t="shared" si="0"/>
        <v>1.8</v>
      </c>
      <c r="O2" s="24">
        <f t="shared" si="0"/>
        <v>2.4</v>
      </c>
      <c r="P2" s="24">
        <f t="shared" si="0"/>
        <v>2.6</v>
      </c>
      <c r="Q2" s="24">
        <f t="shared" si="0"/>
        <v>3.2</v>
      </c>
      <c r="R2" s="24">
        <f t="shared" si="0"/>
        <v>3.2</v>
      </c>
      <c r="S2" s="24">
        <f t="shared" si="0"/>
        <v>2.6</v>
      </c>
      <c r="T2" s="24">
        <f t="shared" si="0"/>
        <v>2.6</v>
      </c>
      <c r="U2" s="24">
        <f t="shared" si="0"/>
        <v>2.6</v>
      </c>
      <c r="V2" s="24">
        <f t="shared" si="0"/>
        <v>2</v>
      </c>
      <c r="W2" s="24">
        <f t="shared" si="0"/>
        <v>1.4</v>
      </c>
      <c r="X2" s="24">
        <f t="shared" si="0"/>
        <v>1.2</v>
      </c>
      <c r="Y2" s="24">
        <f t="shared" si="0"/>
        <v>0.6</v>
      </c>
      <c r="Z2" s="24">
        <f t="shared" si="0"/>
        <v>0.4</v>
      </c>
      <c r="AA2" s="24">
        <f t="shared" si="0"/>
        <v>1</v>
      </c>
      <c r="AB2" s="24">
        <f t="shared" si="0"/>
        <v>1.6</v>
      </c>
      <c r="AC2" s="24">
        <f t="shared" si="0"/>
        <v>2</v>
      </c>
      <c r="AD2" s="24">
        <f t="shared" si="0"/>
        <v>2.4</v>
      </c>
      <c r="AE2" s="24">
        <f t="shared" si="0"/>
        <v>2.2000000000000002</v>
      </c>
      <c r="AF2" s="24">
        <f t="shared" si="0"/>
        <v>1.6</v>
      </c>
      <c r="AG2" s="24">
        <f t="shared" si="0"/>
        <v>1.8</v>
      </c>
      <c r="AH2" s="24">
        <f t="shared" si="0"/>
        <v>1.6</v>
      </c>
      <c r="AI2" s="24">
        <f t="shared" si="0"/>
        <v>1.4</v>
      </c>
      <c r="AJ2" s="24">
        <f t="shared" si="0"/>
        <v>1.4</v>
      </c>
      <c r="AK2" s="24">
        <f t="shared" si="0"/>
        <v>1.6</v>
      </c>
      <c r="AL2" s="24">
        <f t="shared" si="0"/>
        <v>1</v>
      </c>
      <c r="AM2" s="24">
        <f t="shared" si="0"/>
        <v>0.8</v>
      </c>
      <c r="AN2" s="24">
        <f t="shared" si="0"/>
        <v>0.8</v>
      </c>
      <c r="AO2" s="24">
        <f t="shared" si="0"/>
        <v>1</v>
      </c>
      <c r="AP2" s="24">
        <f t="shared" si="0"/>
        <v>1.2</v>
      </c>
      <c r="AQ2" s="24">
        <f t="shared" si="0"/>
        <v>1.2</v>
      </c>
      <c r="AR2" s="24">
        <f t="shared" si="0"/>
        <v>1.4</v>
      </c>
      <c r="AS2" s="24">
        <f t="shared" si="0"/>
        <v>1.6</v>
      </c>
      <c r="AT2" s="24">
        <f t="shared" si="0"/>
        <v>2</v>
      </c>
      <c r="AU2" s="24">
        <f t="shared" si="0"/>
        <v>1.6</v>
      </c>
      <c r="AV2" s="24">
        <f t="shared" si="0"/>
        <v>1.6</v>
      </c>
      <c r="AW2" s="24">
        <f t="shared" si="0"/>
        <v>1.2</v>
      </c>
      <c r="AX2" s="24">
        <f t="shared" si="0"/>
        <v>0.8</v>
      </c>
      <c r="AY2" s="24">
        <f t="shared" si="0"/>
        <v>0.4</v>
      </c>
      <c r="AZ2" s="24">
        <f t="shared" si="0"/>
        <v>0.4</v>
      </c>
      <c r="BA2" s="24">
        <f t="shared" si="0"/>
        <v>0.2</v>
      </c>
      <c r="BB2" s="24">
        <f t="shared" si="0"/>
        <v>0.4</v>
      </c>
      <c r="BC2" s="24">
        <f t="shared" si="0"/>
        <v>0.8</v>
      </c>
      <c r="BD2" s="24">
        <f t="shared" si="0"/>
        <v>0.8</v>
      </c>
      <c r="BE2" s="24">
        <f t="shared" si="0"/>
        <v>1</v>
      </c>
      <c r="BF2" s="24">
        <f t="shared" si="0"/>
        <v>1.2</v>
      </c>
      <c r="BG2" s="24">
        <f t="shared" si="0"/>
        <v>1.2</v>
      </c>
      <c r="BH2" s="24">
        <f t="shared" si="0"/>
        <v>0.8</v>
      </c>
      <c r="BI2" s="24">
        <f t="shared" si="0"/>
        <v>0.6</v>
      </c>
      <c r="BJ2" s="24">
        <f t="shared" si="0"/>
        <v>0.6</v>
      </c>
      <c r="BK2" s="24">
        <f t="shared" si="0"/>
        <v>0.8</v>
      </c>
      <c r="BL2" s="24">
        <f t="shared" si="0"/>
        <v>1</v>
      </c>
      <c r="BM2" s="24">
        <f t="shared" si="0"/>
        <v>1</v>
      </c>
      <c r="BN2" s="24">
        <f t="shared" si="0"/>
        <v>1</v>
      </c>
      <c r="BO2" s="24">
        <f t="shared" si="0"/>
        <v>0.8</v>
      </c>
      <c r="BP2" s="24">
        <f t="shared" si="0"/>
        <v>0.4</v>
      </c>
      <c r="BQ2" s="24">
        <f t="shared" si="0"/>
        <v>0</v>
      </c>
      <c r="BR2" s="24">
        <f t="shared" ref="BR2:EC2" si="1">AVERAGE(BN5:BR5)</f>
        <v>0</v>
      </c>
      <c r="BS2" s="24">
        <f t="shared" si="1"/>
        <v>0</v>
      </c>
      <c r="BT2" s="24">
        <f t="shared" si="1"/>
        <v>0</v>
      </c>
      <c r="BU2" s="24">
        <f t="shared" si="1"/>
        <v>0</v>
      </c>
      <c r="BV2" s="24">
        <f t="shared" si="1"/>
        <v>0</v>
      </c>
      <c r="BW2" s="24">
        <f t="shared" si="1"/>
        <v>0</v>
      </c>
      <c r="BX2" s="24">
        <f t="shared" si="1"/>
        <v>0.2</v>
      </c>
      <c r="BY2" s="24">
        <f t="shared" si="1"/>
        <v>0.6</v>
      </c>
      <c r="BZ2" s="24">
        <f t="shared" si="1"/>
        <v>0.6</v>
      </c>
      <c r="CA2" s="24">
        <f t="shared" si="1"/>
        <v>0.6</v>
      </c>
      <c r="CB2" s="24">
        <f t="shared" si="1"/>
        <v>0.6</v>
      </c>
      <c r="CC2" s="24">
        <f t="shared" si="1"/>
        <v>0.4</v>
      </c>
      <c r="CD2" s="24">
        <f t="shared" si="1"/>
        <v>0</v>
      </c>
      <c r="CE2" s="24">
        <f t="shared" si="1"/>
        <v>0</v>
      </c>
      <c r="CF2" s="24">
        <f t="shared" si="1"/>
        <v>0.2</v>
      </c>
      <c r="CG2" s="24">
        <f t="shared" si="1"/>
        <v>0.2</v>
      </c>
      <c r="CH2" s="24">
        <f t="shared" si="1"/>
        <v>0.6</v>
      </c>
      <c r="CI2" s="24">
        <f t="shared" si="1"/>
        <v>1.2</v>
      </c>
      <c r="CJ2" s="24">
        <f t="shared" si="1"/>
        <v>2.2000000000000002</v>
      </c>
      <c r="CK2" s="24">
        <f t="shared" si="1"/>
        <v>2.8</v>
      </c>
      <c r="CL2" s="24">
        <f t="shared" si="1"/>
        <v>4</v>
      </c>
      <c r="CM2" s="24">
        <f t="shared" si="1"/>
        <v>4.2</v>
      </c>
      <c r="CN2" s="24">
        <f t="shared" si="1"/>
        <v>4.2</v>
      </c>
      <c r="CO2" s="24">
        <f t="shared" si="1"/>
        <v>4</v>
      </c>
      <c r="CP2" s="24">
        <f t="shared" si="1"/>
        <v>3.8</v>
      </c>
      <c r="CQ2" s="24">
        <f t="shared" si="1"/>
        <v>3</v>
      </c>
      <c r="CR2" s="24">
        <f t="shared" si="1"/>
        <v>2.4</v>
      </c>
      <c r="CS2" s="24">
        <f t="shared" si="1"/>
        <v>2</v>
      </c>
      <c r="CT2" s="24">
        <f t="shared" si="1"/>
        <v>1.6</v>
      </c>
      <c r="CU2" s="24">
        <f t="shared" si="1"/>
        <v>1.2</v>
      </c>
      <c r="CV2" s="24">
        <f t="shared" si="1"/>
        <v>1</v>
      </c>
      <c r="CW2" s="24">
        <f t="shared" si="1"/>
        <v>1.4</v>
      </c>
      <c r="CX2" s="24">
        <f t="shared" si="1"/>
        <v>1.6</v>
      </c>
      <c r="CY2" s="24">
        <f t="shared" si="1"/>
        <v>1.6</v>
      </c>
      <c r="CZ2" s="24">
        <f t="shared" si="1"/>
        <v>1.8</v>
      </c>
      <c r="DA2" s="24">
        <f t="shared" si="1"/>
        <v>1.8</v>
      </c>
      <c r="DB2" s="24">
        <f t="shared" si="1"/>
        <v>1.4</v>
      </c>
      <c r="DC2" s="24">
        <f t="shared" si="1"/>
        <v>1.4</v>
      </c>
      <c r="DD2" s="24">
        <f t="shared" si="1"/>
        <v>1</v>
      </c>
      <c r="DE2" s="24">
        <f t="shared" si="1"/>
        <v>0.8</v>
      </c>
      <c r="DF2" s="24">
        <f t="shared" si="1"/>
        <v>0.8</v>
      </c>
      <c r="DG2" s="24">
        <f t="shared" si="1"/>
        <v>1.4</v>
      </c>
      <c r="DH2" s="24">
        <f t="shared" si="1"/>
        <v>1.6</v>
      </c>
      <c r="DI2" s="24">
        <f t="shared" si="1"/>
        <v>2.4</v>
      </c>
      <c r="DJ2" s="24">
        <f t="shared" si="1"/>
        <v>2.6</v>
      </c>
      <c r="DK2" s="24">
        <f t="shared" si="1"/>
        <v>2.8</v>
      </c>
      <c r="DL2" s="24">
        <f t="shared" si="1"/>
        <v>2.4</v>
      </c>
      <c r="DM2" s="24">
        <f t="shared" si="1"/>
        <v>2.6</v>
      </c>
      <c r="DN2" s="24">
        <f t="shared" si="1"/>
        <v>2.2000000000000002</v>
      </c>
      <c r="DO2" s="24">
        <f t="shared" si="1"/>
        <v>1.8</v>
      </c>
      <c r="DP2" s="24">
        <f t="shared" si="1"/>
        <v>1.6</v>
      </c>
      <c r="DQ2" s="24">
        <f t="shared" si="1"/>
        <v>1.8</v>
      </c>
      <c r="DR2" s="24">
        <f t="shared" si="1"/>
        <v>1.4</v>
      </c>
      <c r="DS2" s="24">
        <f t="shared" si="1"/>
        <v>1.4</v>
      </c>
      <c r="DT2" s="24">
        <f t="shared" si="1"/>
        <v>1.4</v>
      </c>
      <c r="DU2" s="24">
        <f t="shared" si="1"/>
        <v>1.2</v>
      </c>
      <c r="DV2" s="24">
        <f t="shared" si="1"/>
        <v>0.8</v>
      </c>
      <c r="DW2" s="24">
        <f t="shared" si="1"/>
        <v>0.6</v>
      </c>
      <c r="DX2" s="24">
        <f t="shared" si="1"/>
        <v>0.4</v>
      </c>
      <c r="DY2" s="24">
        <f t="shared" si="1"/>
        <v>0.6</v>
      </c>
      <c r="DZ2" s="24">
        <f t="shared" si="1"/>
        <v>0.6</v>
      </c>
      <c r="EA2" s="24">
        <f t="shared" si="1"/>
        <v>0.6</v>
      </c>
      <c r="EB2" s="24">
        <f t="shared" si="1"/>
        <v>0.8</v>
      </c>
      <c r="EC2" s="24">
        <f t="shared" si="1"/>
        <v>0.6</v>
      </c>
      <c r="ED2" s="24">
        <f t="shared" ref="ED2:GO2" si="2">AVERAGE(DZ5:ED5)</f>
        <v>0.4</v>
      </c>
      <c r="EE2" s="24">
        <f t="shared" si="2"/>
        <v>0.8</v>
      </c>
      <c r="EF2" s="24">
        <f t="shared" si="2"/>
        <v>1</v>
      </c>
      <c r="EG2" s="24">
        <f t="shared" si="2"/>
        <v>0.6</v>
      </c>
      <c r="EH2" s="24">
        <f t="shared" si="2"/>
        <v>0.6</v>
      </c>
      <c r="EI2" s="24">
        <f t="shared" si="2"/>
        <v>0.6</v>
      </c>
      <c r="EJ2" s="24">
        <f t="shared" si="2"/>
        <v>0.2</v>
      </c>
      <c r="EK2" s="24">
        <f t="shared" si="2"/>
        <v>0</v>
      </c>
      <c r="EL2" s="24">
        <f t="shared" si="2"/>
        <v>0.2</v>
      </c>
      <c r="EM2" s="24">
        <f t="shared" si="2"/>
        <v>0.4</v>
      </c>
      <c r="EN2" s="24">
        <f t="shared" si="2"/>
        <v>1</v>
      </c>
      <c r="EO2" s="24">
        <f t="shared" si="2"/>
        <v>1</v>
      </c>
      <c r="EP2" s="24">
        <f t="shared" si="2"/>
        <v>1</v>
      </c>
      <c r="EQ2" s="24">
        <f t="shared" si="2"/>
        <v>1</v>
      </c>
      <c r="ER2" s="24">
        <f t="shared" si="2"/>
        <v>1.6</v>
      </c>
      <c r="ES2" s="24">
        <f t="shared" si="2"/>
        <v>1.4</v>
      </c>
      <c r="ET2" s="24">
        <f t="shared" si="2"/>
        <v>1.6</v>
      </c>
      <c r="EU2" s="24">
        <f t="shared" si="2"/>
        <v>1.8</v>
      </c>
      <c r="EV2" s="24">
        <f t="shared" si="2"/>
        <v>1.8</v>
      </c>
      <c r="EW2" s="24">
        <f t="shared" si="2"/>
        <v>1.4</v>
      </c>
      <c r="EX2" s="24">
        <f t="shared" si="2"/>
        <v>1</v>
      </c>
      <c r="EY2" s="24">
        <f t="shared" si="2"/>
        <v>1</v>
      </c>
      <c r="EZ2" s="24">
        <f t="shared" si="2"/>
        <v>0.8</v>
      </c>
      <c r="FA2" s="24">
        <f t="shared" si="2"/>
        <v>0.6</v>
      </c>
      <c r="FB2" s="24">
        <f t="shared" si="2"/>
        <v>0.4</v>
      </c>
      <c r="FC2" s="24">
        <f t="shared" si="2"/>
        <v>1</v>
      </c>
      <c r="FD2" s="24">
        <f t="shared" si="2"/>
        <v>1.4</v>
      </c>
      <c r="FE2" s="24">
        <f t="shared" si="2"/>
        <v>1.8</v>
      </c>
      <c r="FF2" s="24">
        <f t="shared" si="2"/>
        <v>2.2000000000000002</v>
      </c>
      <c r="FG2" s="24">
        <f t="shared" si="2"/>
        <v>2.2000000000000002</v>
      </c>
      <c r="FH2" s="24">
        <f t="shared" si="2"/>
        <v>1.8</v>
      </c>
      <c r="FI2" s="24">
        <f t="shared" si="2"/>
        <v>1.6</v>
      </c>
      <c r="FJ2" s="24">
        <f t="shared" si="2"/>
        <v>1.2</v>
      </c>
      <c r="FK2" s="24">
        <f t="shared" si="2"/>
        <v>1</v>
      </c>
      <c r="FL2" s="24">
        <f t="shared" si="2"/>
        <v>1.2</v>
      </c>
      <c r="FM2" s="24">
        <f t="shared" si="2"/>
        <v>1.4</v>
      </c>
      <c r="FN2" s="24">
        <f t="shared" si="2"/>
        <v>1</v>
      </c>
      <c r="FO2" s="24">
        <f t="shared" si="2"/>
        <v>1.2</v>
      </c>
      <c r="FP2" s="24">
        <f t="shared" si="2"/>
        <v>1</v>
      </c>
      <c r="FQ2" s="24">
        <f t="shared" si="2"/>
        <v>0.6</v>
      </c>
      <c r="FR2" s="24">
        <f t="shared" si="2"/>
        <v>0.2</v>
      </c>
      <c r="FS2" s="24">
        <f t="shared" si="2"/>
        <v>0.6</v>
      </c>
      <c r="FT2" s="24">
        <f t="shared" si="2"/>
        <v>1.2</v>
      </c>
      <c r="FU2" s="24">
        <f t="shared" si="2"/>
        <v>1.8</v>
      </c>
      <c r="FV2" s="24">
        <f t="shared" si="2"/>
        <v>2</v>
      </c>
      <c r="FW2" s="24">
        <f t="shared" si="2"/>
        <v>2.8</v>
      </c>
      <c r="FX2" s="24">
        <f t="shared" si="2"/>
        <v>2.8</v>
      </c>
      <c r="FY2" s="24">
        <f t="shared" si="2"/>
        <v>2.4</v>
      </c>
      <c r="FZ2" s="24">
        <f t="shared" si="2"/>
        <v>2.2000000000000002</v>
      </c>
      <c r="GA2" s="24">
        <f t="shared" si="2"/>
        <v>2.6</v>
      </c>
      <c r="GB2" s="24">
        <f t="shared" si="2"/>
        <v>2.6</v>
      </c>
      <c r="GC2" s="24">
        <f t="shared" si="2"/>
        <v>3</v>
      </c>
      <c r="GD2" s="24">
        <f t="shared" si="2"/>
        <v>3.2</v>
      </c>
      <c r="GE2" s="24">
        <f t="shared" si="2"/>
        <v>3.2</v>
      </c>
      <c r="GF2" s="24">
        <f t="shared" si="2"/>
        <v>3.2</v>
      </c>
      <c r="GG2" s="24">
        <f t="shared" si="2"/>
        <v>3</v>
      </c>
      <c r="GH2" s="24">
        <f t="shared" si="2"/>
        <v>2.8</v>
      </c>
      <c r="GI2" s="24">
        <f t="shared" si="2"/>
        <v>3.2</v>
      </c>
      <c r="GJ2" s="24">
        <f t="shared" si="2"/>
        <v>4</v>
      </c>
      <c r="GK2" s="24">
        <f t="shared" si="2"/>
        <v>4.4000000000000004</v>
      </c>
      <c r="GL2" s="24">
        <f t="shared" si="2"/>
        <v>4.8</v>
      </c>
      <c r="GM2" s="24">
        <f t="shared" si="2"/>
        <v>4.8</v>
      </c>
      <c r="GN2" s="24">
        <f t="shared" si="2"/>
        <v>4.8</v>
      </c>
      <c r="GO2" s="24">
        <f t="shared" si="2"/>
        <v>4.5999999999999996</v>
      </c>
      <c r="GP2" s="24">
        <f t="shared" ref="GP2:JA2" si="3">AVERAGE(GL5:GP5)</f>
        <v>4.4000000000000004</v>
      </c>
      <c r="GQ2" s="24">
        <f t="shared" si="3"/>
        <v>3.8</v>
      </c>
      <c r="GR2" s="24">
        <f t="shared" si="3"/>
        <v>4.2</v>
      </c>
      <c r="GS2" s="24">
        <f t="shared" si="3"/>
        <v>4.4000000000000004</v>
      </c>
      <c r="GT2" s="24">
        <f t="shared" si="3"/>
        <v>3.8</v>
      </c>
      <c r="GU2" s="24">
        <f t="shared" si="3"/>
        <v>3.6</v>
      </c>
      <c r="GV2" s="24">
        <f t="shared" si="3"/>
        <v>3.8</v>
      </c>
      <c r="GW2" s="24">
        <f t="shared" si="3"/>
        <v>3.6</v>
      </c>
      <c r="GX2" s="24">
        <f t="shared" si="3"/>
        <v>3.2</v>
      </c>
      <c r="GY2" s="24">
        <f t="shared" si="3"/>
        <v>3.6</v>
      </c>
      <c r="GZ2" s="24">
        <f t="shared" si="3"/>
        <v>3.8</v>
      </c>
      <c r="HA2" s="24">
        <f t="shared" si="3"/>
        <v>4.2</v>
      </c>
      <c r="HB2" s="24">
        <f t="shared" si="3"/>
        <v>5</v>
      </c>
      <c r="HC2" s="24">
        <f t="shared" si="3"/>
        <v>5.6</v>
      </c>
      <c r="HD2" s="24">
        <f t="shared" si="3"/>
        <v>5.2</v>
      </c>
      <c r="HE2" s="24">
        <f t="shared" si="3"/>
        <v>5</v>
      </c>
      <c r="HF2" s="24">
        <f t="shared" si="3"/>
        <v>4.5999999999999996</v>
      </c>
      <c r="HG2" s="24">
        <f t="shared" si="3"/>
        <v>3.6</v>
      </c>
      <c r="HH2" s="24">
        <f t="shared" si="3"/>
        <v>2.8</v>
      </c>
      <c r="HI2" s="24">
        <f t="shared" si="3"/>
        <v>3</v>
      </c>
      <c r="HJ2" s="24">
        <f t="shared" si="3"/>
        <v>3.4</v>
      </c>
      <c r="HK2" s="24">
        <f t="shared" si="3"/>
        <v>3.8</v>
      </c>
      <c r="HL2" s="24">
        <f t="shared" si="3"/>
        <v>4.4000000000000004</v>
      </c>
      <c r="HM2" s="24">
        <f t="shared" si="3"/>
        <v>4.5999999999999996</v>
      </c>
      <c r="HN2" s="24">
        <f t="shared" si="3"/>
        <v>4.5999999999999996</v>
      </c>
      <c r="HO2" s="24">
        <f t="shared" si="3"/>
        <v>3.6</v>
      </c>
      <c r="HP2" s="24">
        <f t="shared" si="3"/>
        <v>3</v>
      </c>
      <c r="HQ2" s="24">
        <f t="shared" si="3"/>
        <v>2.4</v>
      </c>
      <c r="HR2" s="24">
        <f t="shared" si="3"/>
        <v>2.2000000000000002</v>
      </c>
      <c r="HS2" s="24">
        <f t="shared" si="3"/>
        <v>2.4</v>
      </c>
      <c r="HT2" s="24">
        <f t="shared" si="3"/>
        <v>3</v>
      </c>
      <c r="HU2" s="24">
        <f t="shared" si="3"/>
        <v>2.6</v>
      </c>
      <c r="HV2" s="24">
        <f t="shared" si="3"/>
        <v>2.2000000000000002</v>
      </c>
      <c r="HW2" s="24">
        <f t="shared" si="3"/>
        <v>1.8</v>
      </c>
      <c r="HX2" s="24">
        <f t="shared" si="3"/>
        <v>1.4</v>
      </c>
      <c r="HY2" s="24">
        <f t="shared" si="3"/>
        <v>1</v>
      </c>
      <c r="HZ2" s="24">
        <f t="shared" si="3"/>
        <v>1.2</v>
      </c>
      <c r="IA2" s="24">
        <f t="shared" si="3"/>
        <v>1.8</v>
      </c>
      <c r="IB2" s="24">
        <f t="shared" si="3"/>
        <v>2</v>
      </c>
      <c r="IC2" s="24">
        <f t="shared" si="3"/>
        <v>2.4</v>
      </c>
      <c r="ID2" s="24">
        <f t="shared" si="3"/>
        <v>3.2</v>
      </c>
      <c r="IE2" s="24">
        <f t="shared" si="3"/>
        <v>4.2</v>
      </c>
      <c r="IF2" s="24">
        <f t="shared" si="3"/>
        <v>4.5999999999999996</v>
      </c>
      <c r="IG2" s="24">
        <f t="shared" si="3"/>
        <v>4.4000000000000004</v>
      </c>
      <c r="IH2" s="24">
        <f t="shared" si="3"/>
        <v>3.8</v>
      </c>
      <c r="II2" s="24">
        <f t="shared" si="3"/>
        <v>3.6</v>
      </c>
      <c r="IJ2" s="24">
        <f t="shared" si="3"/>
        <v>3.2</v>
      </c>
      <c r="IK2" s="24">
        <f t="shared" si="3"/>
        <v>2.4</v>
      </c>
      <c r="IL2" s="24">
        <f t="shared" si="3"/>
        <v>2.4</v>
      </c>
      <c r="IM2" s="24">
        <f t="shared" si="3"/>
        <v>2.6</v>
      </c>
      <c r="IN2" s="24">
        <f t="shared" si="3"/>
        <v>2</v>
      </c>
      <c r="IO2" s="24">
        <f t="shared" si="3"/>
        <v>1.6</v>
      </c>
      <c r="IP2" s="24">
        <f t="shared" si="3"/>
        <v>1.4</v>
      </c>
      <c r="IQ2" s="24">
        <f t="shared" si="3"/>
        <v>1.6</v>
      </c>
      <c r="IR2" s="24">
        <f t="shared" si="3"/>
        <v>1.8</v>
      </c>
      <c r="IS2" s="24">
        <f t="shared" si="3"/>
        <v>2.8</v>
      </c>
      <c r="IT2" s="24">
        <f t="shared" si="3"/>
        <v>3.4</v>
      </c>
      <c r="IU2" s="24">
        <f t="shared" si="3"/>
        <v>3.6</v>
      </c>
      <c r="IV2" s="24">
        <f t="shared" si="3"/>
        <v>3.6</v>
      </c>
      <c r="IW2" s="24">
        <f t="shared" si="3"/>
        <v>5.4</v>
      </c>
      <c r="IX2" s="24">
        <f t="shared" si="3"/>
        <v>6</v>
      </c>
      <c r="IY2" s="24">
        <f t="shared" si="3"/>
        <v>5.6</v>
      </c>
      <c r="IZ2" s="24">
        <f t="shared" si="3"/>
        <v>5.4</v>
      </c>
      <c r="JA2" s="24">
        <f t="shared" si="3"/>
        <v>5.2</v>
      </c>
      <c r="JB2" s="24">
        <f t="shared" ref="JB2:LM2" si="4">AVERAGE(IX5:JB5)</f>
        <v>3</v>
      </c>
      <c r="JC2" s="24">
        <f t="shared" si="4"/>
        <v>1.4</v>
      </c>
      <c r="JD2" s="24">
        <f t="shared" si="4"/>
        <v>1.2</v>
      </c>
      <c r="JE2" s="24">
        <f t="shared" si="4"/>
        <v>1.2</v>
      </c>
      <c r="JF2" s="24">
        <f t="shared" si="4"/>
        <v>1.4</v>
      </c>
      <c r="JG2" s="24">
        <f t="shared" si="4"/>
        <v>1.6</v>
      </c>
      <c r="JH2" s="24">
        <f t="shared" si="4"/>
        <v>2</v>
      </c>
      <c r="JI2" s="24">
        <f t="shared" si="4"/>
        <v>3.4</v>
      </c>
      <c r="JJ2" s="24">
        <f t="shared" si="4"/>
        <v>7.6</v>
      </c>
      <c r="JK2" s="24">
        <f t="shared" si="4"/>
        <v>11.6</v>
      </c>
      <c r="JL2" s="24">
        <f t="shared" si="4"/>
        <v>15.4</v>
      </c>
      <c r="JM2" s="24">
        <f t="shared" si="4"/>
        <v>17.600000000000001</v>
      </c>
      <c r="JN2" s="24">
        <f t="shared" si="4"/>
        <v>16.8</v>
      </c>
      <c r="JO2" s="24">
        <f t="shared" si="4"/>
        <v>13</v>
      </c>
      <c r="JP2" s="24">
        <f t="shared" si="4"/>
        <v>9.4</v>
      </c>
      <c r="JQ2" s="24">
        <f t="shared" si="4"/>
        <v>5.8</v>
      </c>
      <c r="JR2" s="24">
        <f t="shared" si="4"/>
        <v>3.8</v>
      </c>
      <c r="JS2" s="24">
        <f t="shared" si="4"/>
        <v>3.6</v>
      </c>
      <c r="JT2" s="24">
        <f t="shared" si="4"/>
        <v>3.4</v>
      </c>
      <c r="JU2" s="24">
        <f t="shared" si="4"/>
        <v>3.4</v>
      </c>
      <c r="JV2" s="24">
        <f t="shared" si="4"/>
        <v>3.6</v>
      </c>
      <c r="JW2" s="24">
        <f t="shared" si="4"/>
        <v>3.4</v>
      </c>
      <c r="JX2" s="24">
        <f t="shared" si="4"/>
        <v>3.4</v>
      </c>
      <c r="JY2" s="24">
        <f t="shared" si="4"/>
        <v>3.6</v>
      </c>
      <c r="JZ2" s="24">
        <f t="shared" si="4"/>
        <v>3.6</v>
      </c>
      <c r="KA2" s="24">
        <f t="shared" si="4"/>
        <v>3.4</v>
      </c>
      <c r="KB2" s="24">
        <f t="shared" si="4"/>
        <v>3.8</v>
      </c>
      <c r="KC2" s="24">
        <f t="shared" si="4"/>
        <v>4.4000000000000004</v>
      </c>
      <c r="KD2" s="24">
        <f t="shared" si="4"/>
        <v>5.2</v>
      </c>
      <c r="KE2" s="24">
        <f t="shared" si="4"/>
        <v>4.8</v>
      </c>
      <c r="KF2" s="24">
        <f t="shared" si="4"/>
        <v>4.8</v>
      </c>
      <c r="KG2" s="24">
        <f t="shared" si="4"/>
        <v>4.5999999999999996</v>
      </c>
      <c r="KH2" s="24">
        <f t="shared" si="4"/>
        <v>4</v>
      </c>
      <c r="KI2" s="24">
        <f t="shared" si="4"/>
        <v>3.4</v>
      </c>
      <c r="KJ2" s="24">
        <f t="shared" si="4"/>
        <v>3.4</v>
      </c>
      <c r="KK2" s="24">
        <f t="shared" si="4"/>
        <v>3.8</v>
      </c>
      <c r="KL2" s="24">
        <f t="shared" si="4"/>
        <v>4.2</v>
      </c>
      <c r="KM2" s="24">
        <f t="shared" si="4"/>
        <v>4.4000000000000004</v>
      </c>
      <c r="KN2" s="24">
        <f t="shared" si="4"/>
        <v>4</v>
      </c>
      <c r="KO2" s="24">
        <f t="shared" si="4"/>
        <v>4</v>
      </c>
      <c r="KP2" s="24">
        <f t="shared" si="4"/>
        <v>3.4</v>
      </c>
      <c r="KQ2" s="24">
        <f t="shared" si="4"/>
        <v>2.6</v>
      </c>
      <c r="KR2" s="24">
        <f t="shared" si="4"/>
        <v>1.8</v>
      </c>
      <c r="KS2" s="24">
        <f t="shared" si="4"/>
        <v>1.6</v>
      </c>
      <c r="KT2" s="24">
        <f t="shared" si="4"/>
        <v>1.2</v>
      </c>
      <c r="KU2" s="24">
        <f t="shared" si="4"/>
        <v>1.2</v>
      </c>
      <c r="KV2" s="24">
        <f t="shared" si="4"/>
        <v>1.4</v>
      </c>
      <c r="KW2" s="24">
        <f t="shared" si="4"/>
        <v>1.6</v>
      </c>
      <c r="KX2" s="24">
        <f t="shared" si="4"/>
        <v>1.8</v>
      </c>
      <c r="KY2" s="24">
        <f t="shared" si="4"/>
        <v>2</v>
      </c>
      <c r="KZ2" s="24">
        <f t="shared" si="4"/>
        <v>1.8</v>
      </c>
      <c r="LA2" s="24">
        <f t="shared" si="4"/>
        <v>1.8</v>
      </c>
      <c r="LB2" s="24">
        <f t="shared" si="4"/>
        <v>2</v>
      </c>
      <c r="LC2" s="24">
        <f t="shared" si="4"/>
        <v>2</v>
      </c>
      <c r="LD2" s="24">
        <f t="shared" si="4"/>
        <v>2</v>
      </c>
      <c r="LE2" s="24">
        <f t="shared" si="4"/>
        <v>2.2000000000000002</v>
      </c>
      <c r="LF2" s="24">
        <f t="shared" si="4"/>
        <v>2</v>
      </c>
      <c r="LG2" s="24">
        <f t="shared" si="4"/>
        <v>2</v>
      </c>
      <c r="LH2" s="24">
        <f t="shared" si="4"/>
        <v>2.2000000000000002</v>
      </c>
      <c r="LI2" s="24">
        <f t="shared" si="4"/>
        <v>2.4</v>
      </c>
      <c r="LJ2" s="24">
        <f t="shared" si="4"/>
        <v>2</v>
      </c>
      <c r="LK2" s="24">
        <f t="shared" si="4"/>
        <v>1.8</v>
      </c>
      <c r="LL2" s="24">
        <f t="shared" si="4"/>
        <v>1.4</v>
      </c>
      <c r="LM2" s="24">
        <f t="shared" si="4"/>
        <v>1</v>
      </c>
      <c r="LN2" s="24">
        <f t="shared" ref="LN2:NY2" si="5">AVERAGE(LJ5:LN5)</f>
        <v>1</v>
      </c>
      <c r="LO2" s="24">
        <f t="shared" si="5"/>
        <v>1.2</v>
      </c>
      <c r="LP2" s="24">
        <f t="shared" si="5"/>
        <v>1</v>
      </c>
      <c r="LQ2" s="24">
        <f t="shared" si="5"/>
        <v>1</v>
      </c>
      <c r="LR2" s="24">
        <f t="shared" si="5"/>
        <v>1</v>
      </c>
      <c r="LS2" s="24">
        <f t="shared" si="5"/>
        <v>1</v>
      </c>
      <c r="LT2" s="24">
        <f t="shared" si="5"/>
        <v>0.8</v>
      </c>
      <c r="LU2" s="24">
        <f t="shared" si="5"/>
        <v>0.8</v>
      </c>
      <c r="LV2" s="24">
        <f t="shared" si="5"/>
        <v>0.8</v>
      </c>
      <c r="LW2" s="24">
        <f t="shared" si="5"/>
        <v>0.6</v>
      </c>
      <c r="LX2" s="24">
        <f t="shared" si="5"/>
        <v>0.4</v>
      </c>
      <c r="LY2" s="24">
        <f t="shared" si="5"/>
        <v>0.4</v>
      </c>
      <c r="LZ2" s="24">
        <f t="shared" si="5"/>
        <v>0.6</v>
      </c>
      <c r="MA2" s="24">
        <f t="shared" si="5"/>
        <v>0.4</v>
      </c>
      <c r="MB2" s="24">
        <f t="shared" si="5"/>
        <v>0.6</v>
      </c>
      <c r="MC2" s="24">
        <f t="shared" si="5"/>
        <v>0.6</v>
      </c>
      <c r="MD2" s="24">
        <f t="shared" si="5"/>
        <v>1</v>
      </c>
      <c r="ME2" s="24">
        <f t="shared" si="5"/>
        <v>1</v>
      </c>
      <c r="MF2" s="24">
        <f t="shared" si="5"/>
        <v>1.4</v>
      </c>
      <c r="MG2" s="24">
        <f t="shared" si="5"/>
        <v>1.4</v>
      </c>
      <c r="MH2" s="24">
        <f t="shared" si="5"/>
        <v>1.4</v>
      </c>
      <c r="MI2" s="24">
        <f t="shared" si="5"/>
        <v>1.2</v>
      </c>
      <c r="MJ2" s="24">
        <f t="shared" si="5"/>
        <v>1.4</v>
      </c>
      <c r="MK2" s="24">
        <f t="shared" si="5"/>
        <v>1.6</v>
      </c>
      <c r="ML2" s="24">
        <f t="shared" si="5"/>
        <v>1.6</v>
      </c>
      <c r="MM2" s="24">
        <f t="shared" si="5"/>
        <v>1.4</v>
      </c>
      <c r="MN2" s="24">
        <f t="shared" si="5"/>
        <v>1.4</v>
      </c>
      <c r="MO2" s="24">
        <f t="shared" si="5"/>
        <v>1.4</v>
      </c>
      <c r="MP2" s="24">
        <f t="shared" si="5"/>
        <v>1</v>
      </c>
      <c r="MQ2" s="24">
        <f t="shared" si="5"/>
        <v>0.8</v>
      </c>
      <c r="MR2" s="24">
        <f t="shared" si="5"/>
        <v>1.2</v>
      </c>
      <c r="MS2" s="24">
        <f t="shared" si="5"/>
        <v>1.4</v>
      </c>
      <c r="MT2" s="24">
        <f t="shared" si="5"/>
        <v>1.4</v>
      </c>
      <c r="MU2" s="24">
        <f t="shared" si="5"/>
        <v>1.2</v>
      </c>
      <c r="MV2" s="24">
        <f t="shared" si="5"/>
        <v>1.6</v>
      </c>
      <c r="MW2" s="24">
        <f t="shared" si="5"/>
        <v>1.2</v>
      </c>
      <c r="MX2" s="24">
        <f t="shared" si="5"/>
        <v>1</v>
      </c>
      <c r="MY2" s="24">
        <f t="shared" si="5"/>
        <v>0.6</v>
      </c>
      <c r="MZ2" s="24">
        <f t="shared" si="5"/>
        <v>0.8</v>
      </c>
      <c r="NA2" s="24">
        <f t="shared" si="5"/>
        <v>0.8</v>
      </c>
      <c r="NB2" s="24">
        <f t="shared" si="5"/>
        <v>1.2</v>
      </c>
      <c r="NC2" s="24">
        <f t="shared" si="5"/>
        <v>1.2</v>
      </c>
      <c r="ND2" s="24">
        <f t="shared" si="5"/>
        <v>1.4</v>
      </c>
      <c r="NE2" s="24">
        <f t="shared" si="5"/>
        <v>1.2</v>
      </c>
      <c r="NF2" s="24">
        <f t="shared" si="5"/>
        <v>0.8</v>
      </c>
      <c r="NG2" s="24">
        <f t="shared" si="5"/>
        <v>0.6</v>
      </c>
      <c r="NH2" s="24">
        <f t="shared" si="5"/>
        <v>0.4</v>
      </c>
      <c r="NI2" s="24">
        <f t="shared" si="5"/>
        <v>0.2</v>
      </c>
      <c r="NJ2" s="24">
        <f t="shared" si="5"/>
        <v>0.6</v>
      </c>
      <c r="NK2" s="24">
        <f t="shared" si="5"/>
        <v>1</v>
      </c>
      <c r="NL2" s="24">
        <f t="shared" si="5"/>
        <v>1.2</v>
      </c>
      <c r="NM2" s="24">
        <f t="shared" si="5"/>
        <v>2.4</v>
      </c>
      <c r="NN2" s="24">
        <f t="shared" si="5"/>
        <v>3.4</v>
      </c>
      <c r="NO2" s="24">
        <f t="shared" si="5"/>
        <v>4.2</v>
      </c>
      <c r="NP2" s="24">
        <f t="shared" si="5"/>
        <v>4.8</v>
      </c>
      <c r="NQ2" s="24">
        <f t="shared" si="5"/>
        <v>5.2</v>
      </c>
      <c r="NR2" s="24">
        <f t="shared" si="5"/>
        <v>4.5999999999999996</v>
      </c>
      <c r="NS2" s="24">
        <f t="shared" si="5"/>
        <v>4</v>
      </c>
      <c r="NT2" s="24">
        <f t="shared" si="5"/>
        <v>3.2</v>
      </c>
      <c r="NU2" s="24">
        <f t="shared" si="5"/>
        <v>2.4</v>
      </c>
      <c r="NV2" s="24">
        <f t="shared" si="5"/>
        <v>1.6</v>
      </c>
      <c r="NW2" s="24">
        <f t="shared" si="5"/>
        <v>1.2</v>
      </c>
      <c r="NX2" s="24">
        <f t="shared" si="5"/>
        <v>1</v>
      </c>
      <c r="NY2" s="24">
        <f t="shared" si="5"/>
        <v>0.6</v>
      </c>
      <c r="NZ2" s="24">
        <f t="shared" ref="NZ2:QK2" si="6">AVERAGE(NV5:NZ5)</f>
        <v>0.8</v>
      </c>
      <c r="OA2" s="24">
        <f t="shared" si="6"/>
        <v>0.8</v>
      </c>
      <c r="OB2" s="24">
        <f t="shared" si="6"/>
        <v>0.8</v>
      </c>
      <c r="OC2" s="24">
        <f t="shared" si="6"/>
        <v>0.8</v>
      </c>
      <c r="OD2" s="24">
        <f t="shared" si="6"/>
        <v>1.2</v>
      </c>
      <c r="OE2" s="24">
        <f t="shared" si="6"/>
        <v>1</v>
      </c>
      <c r="OF2" s="24">
        <f t="shared" si="6"/>
        <v>1.2</v>
      </c>
      <c r="OG2" s="24">
        <f t="shared" si="6"/>
        <v>1.2</v>
      </c>
      <c r="OH2" s="24">
        <f t="shared" si="6"/>
        <v>1.4</v>
      </c>
      <c r="OI2" s="24">
        <f t="shared" si="6"/>
        <v>1.4</v>
      </c>
      <c r="OJ2" s="24">
        <f t="shared" si="6"/>
        <v>1.4</v>
      </c>
      <c r="OK2" s="24">
        <f t="shared" si="6"/>
        <v>1.6</v>
      </c>
      <c r="OL2" s="24">
        <f t="shared" si="6"/>
        <v>1.6</v>
      </c>
      <c r="OM2" s="24">
        <f t="shared" si="6"/>
        <v>1.6</v>
      </c>
      <c r="ON2" s="24">
        <f t="shared" si="6"/>
        <v>2</v>
      </c>
      <c r="OO2" s="24">
        <f t="shared" si="6"/>
        <v>2.8</v>
      </c>
      <c r="OP2" s="24">
        <f t="shared" si="6"/>
        <v>3</v>
      </c>
      <c r="OQ2" s="24">
        <f t="shared" si="6"/>
        <v>3</v>
      </c>
      <c r="OR2" s="24">
        <f t="shared" si="6"/>
        <v>2.8</v>
      </c>
      <c r="OS2" s="24">
        <f t="shared" si="6"/>
        <v>2.4</v>
      </c>
      <c r="OT2" s="24">
        <f t="shared" si="6"/>
        <v>1.8</v>
      </c>
      <c r="OU2" s="24">
        <f t="shared" si="6"/>
        <v>1.4</v>
      </c>
      <c r="OV2" s="24">
        <f t="shared" si="6"/>
        <v>1.4</v>
      </c>
      <c r="OW2" s="24">
        <f t="shared" si="6"/>
        <v>1.8</v>
      </c>
      <c r="OX2" s="24">
        <f t="shared" si="6"/>
        <v>2.2000000000000002</v>
      </c>
      <c r="OY2" s="24">
        <f t="shared" si="6"/>
        <v>2.8</v>
      </c>
      <c r="OZ2" s="24">
        <f t="shared" si="6"/>
        <v>3.2</v>
      </c>
      <c r="PA2" s="24">
        <f t="shared" si="6"/>
        <v>4</v>
      </c>
      <c r="PB2" s="24">
        <f t="shared" si="6"/>
        <v>5.6</v>
      </c>
      <c r="PC2" s="24">
        <f t="shared" si="6"/>
        <v>7.6</v>
      </c>
      <c r="PD2" s="24">
        <f t="shared" si="6"/>
        <v>11.8</v>
      </c>
      <c r="PE2" s="24">
        <f t="shared" si="6"/>
        <v>13.2</v>
      </c>
      <c r="PF2" s="24">
        <f t="shared" si="6"/>
        <v>12.4</v>
      </c>
      <c r="PG2" s="24">
        <f t="shared" si="6"/>
        <v>10.199999999999999</v>
      </c>
      <c r="PH2" s="24">
        <f t="shared" si="6"/>
        <v>7.6</v>
      </c>
      <c r="PI2" s="24">
        <f t="shared" si="6"/>
        <v>2.4</v>
      </c>
      <c r="PJ2" s="24">
        <f t="shared" si="6"/>
        <v>0.8</v>
      </c>
      <c r="PK2" s="24">
        <f t="shared" si="6"/>
        <v>2.2000000000000002</v>
      </c>
      <c r="PL2" s="24">
        <f t="shared" si="6"/>
        <v>4</v>
      </c>
      <c r="PM2" s="24">
        <f t="shared" si="6"/>
        <v>6.2</v>
      </c>
      <c r="PN2" s="24">
        <f t="shared" si="6"/>
        <v>8.6</v>
      </c>
      <c r="PO2" s="24">
        <f t="shared" si="6"/>
        <v>10.4</v>
      </c>
      <c r="PP2" s="24">
        <f t="shared" si="6"/>
        <v>10.8</v>
      </c>
      <c r="PQ2" s="24">
        <f t="shared" si="6"/>
        <v>11.8</v>
      </c>
      <c r="PR2" s="24">
        <f t="shared" si="6"/>
        <v>12.6</v>
      </c>
      <c r="PS2" s="24">
        <f t="shared" si="6"/>
        <v>13.8</v>
      </c>
      <c r="PT2" s="24">
        <f t="shared" si="6"/>
        <v>17</v>
      </c>
      <c r="PU2" s="24">
        <f t="shared" si="6"/>
        <v>21.2</v>
      </c>
      <c r="PV2" s="24">
        <f t="shared" si="6"/>
        <v>20.8</v>
      </c>
      <c r="PW2" s="24">
        <f t="shared" si="6"/>
        <v>18.399999999999999</v>
      </c>
      <c r="PX2" s="24">
        <f t="shared" si="6"/>
        <v>18</v>
      </c>
      <c r="PY2" s="24">
        <f t="shared" si="6"/>
        <v>15.4</v>
      </c>
      <c r="PZ2" s="24">
        <f t="shared" si="6"/>
        <v>11.4</v>
      </c>
      <c r="QA2" s="24">
        <f t="shared" si="6"/>
        <v>11.2</v>
      </c>
      <c r="QB2" s="24">
        <f t="shared" si="6"/>
        <v>11.4</v>
      </c>
      <c r="QC2" s="24">
        <f t="shared" si="6"/>
        <v>8.8000000000000007</v>
      </c>
      <c r="QD2" s="24">
        <f t="shared" si="6"/>
        <v>6.4</v>
      </c>
      <c r="QE2" s="24">
        <f t="shared" si="6"/>
        <v>4.5999999999999996</v>
      </c>
      <c r="QF2" s="24">
        <f t="shared" si="6"/>
        <v>2.8</v>
      </c>
      <c r="QG2" s="24">
        <f t="shared" si="6"/>
        <v>3.2</v>
      </c>
      <c r="QH2" s="24">
        <f t="shared" si="6"/>
        <v>3.4</v>
      </c>
      <c r="QI2" s="24">
        <f t="shared" si="6"/>
        <v>4.5999999999999996</v>
      </c>
      <c r="QJ2" s="24">
        <f t="shared" si="6"/>
        <v>6.6</v>
      </c>
      <c r="QK2" s="24">
        <f t="shared" si="6"/>
        <v>9.4</v>
      </c>
      <c r="QL2" s="24">
        <f t="shared" ref="QL2:SW2" si="7">AVERAGE(QH5:QL5)</f>
        <v>11.4</v>
      </c>
      <c r="QM2" s="24">
        <f t="shared" si="7"/>
        <v>12.4</v>
      </c>
      <c r="QN2" s="24">
        <f t="shared" si="7"/>
        <v>12.2</v>
      </c>
      <c r="QO2" s="24">
        <f t="shared" si="7"/>
        <v>11</v>
      </c>
      <c r="QP2" s="24">
        <f t="shared" si="7"/>
        <v>10</v>
      </c>
      <c r="QQ2" s="24">
        <f t="shared" si="7"/>
        <v>9.6</v>
      </c>
      <c r="QR2" s="24">
        <f t="shared" si="7"/>
        <v>10.4</v>
      </c>
      <c r="QS2" s="24">
        <f t="shared" si="7"/>
        <v>12</v>
      </c>
      <c r="QT2" s="24">
        <f t="shared" si="7"/>
        <v>13.6</v>
      </c>
      <c r="QU2" s="24">
        <f t="shared" si="7"/>
        <v>13.4</v>
      </c>
      <c r="QV2" s="24">
        <f t="shared" si="7"/>
        <v>11.8</v>
      </c>
      <c r="QW2" s="24">
        <f t="shared" si="7"/>
        <v>11</v>
      </c>
      <c r="QX2" s="24">
        <f t="shared" si="7"/>
        <v>9.4</v>
      </c>
      <c r="QY2" s="24">
        <f t="shared" si="7"/>
        <v>8.4</v>
      </c>
      <c r="QZ2" s="24">
        <f t="shared" si="7"/>
        <v>8.1999999999999993</v>
      </c>
      <c r="RA2" s="24">
        <f t="shared" si="7"/>
        <v>8.1999999999999993</v>
      </c>
      <c r="RB2" s="24">
        <f t="shared" si="7"/>
        <v>7.2</v>
      </c>
      <c r="RC2" s="24">
        <f t="shared" si="7"/>
        <v>6.8</v>
      </c>
      <c r="RD2" s="24">
        <f t="shared" si="7"/>
        <v>5.8</v>
      </c>
      <c r="RE2" s="24">
        <f t="shared" si="7"/>
        <v>4.4000000000000004</v>
      </c>
      <c r="RF2" s="24">
        <f t="shared" si="7"/>
        <v>3.4</v>
      </c>
      <c r="RG2" s="24">
        <f t="shared" si="7"/>
        <v>3.2</v>
      </c>
      <c r="RH2" s="24">
        <f t="shared" si="7"/>
        <v>2.8</v>
      </c>
      <c r="RI2" s="24">
        <f t="shared" si="7"/>
        <v>2.4</v>
      </c>
      <c r="RJ2" s="24">
        <f t="shared" si="7"/>
        <v>2.2000000000000002</v>
      </c>
      <c r="RK2" s="24">
        <f t="shared" si="7"/>
        <v>2.2000000000000002</v>
      </c>
      <c r="RL2" s="24">
        <f t="shared" si="7"/>
        <v>2</v>
      </c>
      <c r="RM2" s="24">
        <f t="shared" si="7"/>
        <v>2</v>
      </c>
      <c r="RN2" s="24">
        <f t="shared" si="7"/>
        <v>2.2000000000000002</v>
      </c>
      <c r="RO2" s="24">
        <f t="shared" si="7"/>
        <v>2.4</v>
      </c>
      <c r="RP2" s="24">
        <f t="shared" si="7"/>
        <v>2.4</v>
      </c>
      <c r="RQ2" s="24">
        <f t="shared" si="7"/>
        <v>3.4</v>
      </c>
      <c r="RR2" s="24">
        <f t="shared" si="7"/>
        <v>4.8</v>
      </c>
      <c r="RS2" s="24">
        <f t="shared" si="7"/>
        <v>4.8</v>
      </c>
      <c r="RT2" s="24">
        <f t="shared" si="7"/>
        <v>4.5999999999999996</v>
      </c>
      <c r="RU2" s="24">
        <f t="shared" si="7"/>
        <v>5</v>
      </c>
      <c r="RV2" s="24">
        <f t="shared" si="7"/>
        <v>4.4000000000000004</v>
      </c>
      <c r="RW2" s="24">
        <f t="shared" si="7"/>
        <v>3.2</v>
      </c>
      <c r="RX2" s="24">
        <f t="shared" si="7"/>
        <v>4.2</v>
      </c>
      <c r="RY2" s="24">
        <f t="shared" si="7"/>
        <v>4.5999999999999996</v>
      </c>
      <c r="RZ2" s="24">
        <f t="shared" si="7"/>
        <v>4.4000000000000004</v>
      </c>
      <c r="SA2" s="24">
        <f t="shared" si="7"/>
        <v>4.5999999999999996</v>
      </c>
      <c r="SB2" s="24">
        <f t="shared" si="7"/>
        <v>4.5999999999999996</v>
      </c>
      <c r="SC2" s="24">
        <f t="shared" si="7"/>
        <v>3.8</v>
      </c>
      <c r="SD2" s="24">
        <f t="shared" si="7"/>
        <v>3.6</v>
      </c>
      <c r="SE2" s="24">
        <f t="shared" si="7"/>
        <v>3.2</v>
      </c>
      <c r="SF2" s="24">
        <f t="shared" si="7"/>
        <v>2.6</v>
      </c>
      <c r="SG2" s="24">
        <f t="shared" si="7"/>
        <v>3.4</v>
      </c>
      <c r="SH2" s="24">
        <f t="shared" si="7"/>
        <v>4.2</v>
      </c>
      <c r="SI2" s="24">
        <f t="shared" si="7"/>
        <v>6</v>
      </c>
      <c r="SJ2" s="24">
        <f t="shared" si="7"/>
        <v>7.4</v>
      </c>
      <c r="SK2" s="24">
        <f t="shared" si="7"/>
        <v>7.8</v>
      </c>
      <c r="SL2" s="24">
        <f t="shared" si="7"/>
        <v>7.2</v>
      </c>
      <c r="SM2" s="24">
        <f t="shared" si="7"/>
        <v>6.4</v>
      </c>
      <c r="SN2" s="24">
        <f t="shared" si="7"/>
        <v>4.8</v>
      </c>
      <c r="SO2" s="24">
        <f t="shared" si="7"/>
        <v>3.4</v>
      </c>
      <c r="SP2" s="24">
        <f t="shared" si="7"/>
        <v>3.8</v>
      </c>
      <c r="SQ2" s="24">
        <f t="shared" si="7"/>
        <v>3.2</v>
      </c>
      <c r="SR2" s="24">
        <f t="shared" si="7"/>
        <v>3.4</v>
      </c>
      <c r="SS2" s="24">
        <f t="shared" si="7"/>
        <v>3</v>
      </c>
      <c r="ST2" s="24">
        <f t="shared" si="7"/>
        <v>4</v>
      </c>
      <c r="SU2" s="24">
        <f t="shared" si="7"/>
        <v>3.8</v>
      </c>
      <c r="SV2" s="24">
        <f t="shared" si="7"/>
        <v>3.6</v>
      </c>
      <c r="SW2" s="24">
        <f t="shared" si="7"/>
        <v>2.8</v>
      </c>
      <c r="SX2" s="24">
        <f t="shared" ref="SX2:VI2" si="8">AVERAGE(ST5:SX5)</f>
        <v>2.8</v>
      </c>
      <c r="SY2" s="24">
        <f t="shared" si="8"/>
        <v>1.8</v>
      </c>
      <c r="SZ2" s="24">
        <f t="shared" si="8"/>
        <v>1.2</v>
      </c>
      <c r="TA2" s="24">
        <f t="shared" si="8"/>
        <v>1.6</v>
      </c>
      <c r="TB2" s="24">
        <f t="shared" si="8"/>
        <v>1.6</v>
      </c>
      <c r="TC2" s="24">
        <f t="shared" si="8"/>
        <v>2</v>
      </c>
      <c r="TD2" s="24">
        <f t="shared" si="8"/>
        <v>2.4</v>
      </c>
      <c r="TE2" s="24">
        <f t="shared" si="8"/>
        <v>2.8</v>
      </c>
      <c r="TF2" s="24">
        <f t="shared" si="8"/>
        <v>2.6</v>
      </c>
      <c r="TG2" s="24">
        <f t="shared" si="8"/>
        <v>3</v>
      </c>
      <c r="TH2" s="24">
        <f t="shared" si="8"/>
        <v>3.6</v>
      </c>
      <c r="TI2" s="24">
        <f t="shared" si="8"/>
        <v>3.6</v>
      </c>
      <c r="TJ2" s="24">
        <f t="shared" si="8"/>
        <v>4.2</v>
      </c>
      <c r="TK2" s="24">
        <f t="shared" si="8"/>
        <v>4.5999999999999996</v>
      </c>
      <c r="TL2" s="24">
        <f t="shared" si="8"/>
        <v>4.5999999999999996</v>
      </c>
      <c r="TM2" s="24">
        <f t="shared" si="8"/>
        <v>3.4</v>
      </c>
      <c r="TN2" s="24">
        <f t="shared" si="8"/>
        <v>3.2</v>
      </c>
      <c r="TO2" s="24">
        <f t="shared" si="8"/>
        <v>2.2000000000000002</v>
      </c>
      <c r="TP2" s="24">
        <f t="shared" si="8"/>
        <v>1.4</v>
      </c>
      <c r="TQ2" s="24">
        <f t="shared" si="8"/>
        <v>1</v>
      </c>
      <c r="TR2" s="24">
        <f t="shared" si="8"/>
        <v>1.2</v>
      </c>
      <c r="TS2" s="24">
        <f t="shared" si="8"/>
        <v>1.2</v>
      </c>
      <c r="TT2" s="24">
        <f t="shared" si="8"/>
        <v>0.8</v>
      </c>
      <c r="TU2" s="24">
        <f t="shared" si="8"/>
        <v>1</v>
      </c>
      <c r="TV2" s="24">
        <f t="shared" si="8"/>
        <v>1.2</v>
      </c>
      <c r="TW2" s="24">
        <f t="shared" si="8"/>
        <v>2.4</v>
      </c>
      <c r="TX2" s="24">
        <f t="shared" si="8"/>
        <v>2.8</v>
      </c>
      <c r="TY2" s="24">
        <f t="shared" si="8"/>
        <v>3.6</v>
      </c>
      <c r="TZ2" s="24">
        <f t="shared" si="8"/>
        <v>3.8</v>
      </c>
      <c r="UA2" s="24">
        <f t="shared" si="8"/>
        <v>3.8</v>
      </c>
      <c r="UB2" s="24">
        <f t="shared" si="8"/>
        <v>2.8</v>
      </c>
      <c r="UC2" s="24">
        <f t="shared" si="8"/>
        <v>2.8</v>
      </c>
      <c r="UD2" s="24">
        <f t="shared" si="8"/>
        <v>3</v>
      </c>
      <c r="UE2" s="24">
        <f t="shared" si="8"/>
        <v>3.6</v>
      </c>
      <c r="UF2" s="24">
        <f t="shared" si="8"/>
        <v>4.2</v>
      </c>
      <c r="UG2" s="24">
        <f t="shared" si="8"/>
        <v>4.2</v>
      </c>
      <c r="UH2" s="24">
        <f t="shared" si="8"/>
        <v>4.2</v>
      </c>
      <c r="UI2" s="24">
        <f t="shared" si="8"/>
        <v>3.6</v>
      </c>
      <c r="UJ2" s="24">
        <f t="shared" si="8"/>
        <v>2.8</v>
      </c>
      <c r="UK2" s="24">
        <f t="shared" si="8"/>
        <v>2</v>
      </c>
      <c r="UL2" s="24">
        <f t="shared" si="8"/>
        <v>2</v>
      </c>
      <c r="UM2" s="24">
        <f t="shared" si="8"/>
        <v>1.4</v>
      </c>
      <c r="UN2" s="24">
        <f t="shared" si="8"/>
        <v>1.6</v>
      </c>
      <c r="UO2" s="24">
        <f t="shared" si="8"/>
        <v>1.8</v>
      </c>
      <c r="UP2" s="24">
        <f t="shared" si="8"/>
        <v>2.2000000000000002</v>
      </c>
      <c r="UQ2" s="24">
        <f t="shared" si="8"/>
        <v>2.6</v>
      </c>
      <c r="UR2" s="24">
        <f t="shared" si="8"/>
        <v>3</v>
      </c>
      <c r="US2" s="24">
        <f t="shared" si="8"/>
        <v>3.2</v>
      </c>
      <c r="UT2" s="24">
        <f t="shared" si="8"/>
        <v>3.4</v>
      </c>
      <c r="UU2" s="24">
        <f t="shared" si="8"/>
        <v>4</v>
      </c>
      <c r="UV2" s="24">
        <f t="shared" si="8"/>
        <v>4</v>
      </c>
      <c r="UW2" s="24">
        <f t="shared" si="8"/>
        <v>3.8</v>
      </c>
      <c r="UX2" s="24">
        <f t="shared" si="8"/>
        <v>3.6</v>
      </c>
      <c r="UY2" s="24">
        <f t="shared" si="8"/>
        <v>4</v>
      </c>
      <c r="UZ2" s="24">
        <f t="shared" si="8"/>
        <v>3</v>
      </c>
      <c r="VA2" s="24">
        <f t="shared" si="8"/>
        <v>2.4</v>
      </c>
      <c r="VB2" s="24">
        <f t="shared" si="8"/>
        <v>2.8</v>
      </c>
      <c r="VC2" s="24">
        <f t="shared" si="8"/>
        <v>2.6</v>
      </c>
      <c r="VD2" s="24">
        <f t="shared" si="8"/>
        <v>2.6</v>
      </c>
      <c r="VE2" s="24">
        <f t="shared" si="8"/>
        <v>2.8</v>
      </c>
      <c r="VF2" s="24">
        <f t="shared" si="8"/>
        <v>3.2</v>
      </c>
      <c r="VG2" s="24">
        <f t="shared" si="8"/>
        <v>2.6</v>
      </c>
      <c r="VH2" s="24">
        <f t="shared" si="8"/>
        <v>2.4</v>
      </c>
      <c r="VI2" s="24">
        <f t="shared" si="8"/>
        <v>2</v>
      </c>
      <c r="VJ2" s="24">
        <f t="shared" ref="VJ2:XU2" si="9">AVERAGE(VF5:VJ5)</f>
        <v>2.4</v>
      </c>
      <c r="VK2" s="24">
        <f t="shared" si="9"/>
        <v>2.2000000000000002</v>
      </c>
      <c r="VL2" s="24">
        <f t="shared" si="9"/>
        <v>2.6</v>
      </c>
      <c r="VM2" s="24">
        <f t="shared" si="9"/>
        <v>3</v>
      </c>
      <c r="VN2" s="24">
        <f t="shared" si="9"/>
        <v>2.6</v>
      </c>
      <c r="VO2" s="24">
        <f t="shared" si="9"/>
        <v>2</v>
      </c>
      <c r="VP2" s="24">
        <f t="shared" si="9"/>
        <v>1.6</v>
      </c>
      <c r="VQ2" s="24">
        <f t="shared" si="9"/>
        <v>2</v>
      </c>
      <c r="VR2" s="24">
        <f t="shared" si="9"/>
        <v>1.8</v>
      </c>
      <c r="VS2" s="24">
        <f t="shared" si="9"/>
        <v>2</v>
      </c>
      <c r="VT2" s="24">
        <f t="shared" si="9"/>
        <v>2.4</v>
      </c>
      <c r="VU2" s="24">
        <f t="shared" si="9"/>
        <v>3</v>
      </c>
      <c r="VV2" s="24">
        <f t="shared" si="9"/>
        <v>3</v>
      </c>
      <c r="VW2" s="24">
        <f t="shared" si="9"/>
        <v>3</v>
      </c>
      <c r="VX2" s="24">
        <f t="shared" si="9"/>
        <v>3</v>
      </c>
      <c r="VY2" s="24">
        <f t="shared" si="9"/>
        <v>3</v>
      </c>
      <c r="VZ2" s="24">
        <f t="shared" si="9"/>
        <v>2.6</v>
      </c>
      <c r="WA2" s="24">
        <f t="shared" si="9"/>
        <v>1.8</v>
      </c>
      <c r="WB2" s="24">
        <f t="shared" si="9"/>
        <v>2</v>
      </c>
      <c r="WC2" s="24">
        <f t="shared" si="9"/>
        <v>2</v>
      </c>
      <c r="WD2" s="24">
        <f t="shared" si="9"/>
        <v>1.4</v>
      </c>
      <c r="WE2" s="24">
        <f t="shared" si="9"/>
        <v>2</v>
      </c>
      <c r="WF2" s="24">
        <f t="shared" si="9"/>
        <v>2.8</v>
      </c>
      <c r="WG2" s="24">
        <f t="shared" si="9"/>
        <v>3.2</v>
      </c>
      <c r="WH2" s="24">
        <f t="shared" si="9"/>
        <v>3.4</v>
      </c>
      <c r="WI2" s="24">
        <f t="shared" si="9"/>
        <v>3.8</v>
      </c>
      <c r="WJ2" s="24">
        <f t="shared" si="9"/>
        <v>3.2</v>
      </c>
      <c r="WK2" s="24">
        <f t="shared" si="9"/>
        <v>3.2</v>
      </c>
      <c r="WL2" s="24">
        <f t="shared" si="9"/>
        <v>2.8</v>
      </c>
      <c r="WM2" s="24">
        <f t="shared" si="9"/>
        <v>2.6</v>
      </c>
      <c r="WN2" s="24">
        <f t="shared" si="9"/>
        <v>2.4</v>
      </c>
      <c r="WO2" s="24">
        <f t="shared" si="9"/>
        <v>3</v>
      </c>
      <c r="WP2" s="24">
        <f t="shared" si="9"/>
        <v>2.2000000000000002</v>
      </c>
      <c r="WQ2" s="24">
        <f t="shared" si="9"/>
        <v>4.2</v>
      </c>
      <c r="WR2" s="24">
        <f t="shared" si="9"/>
        <v>4.4000000000000004</v>
      </c>
      <c r="WS2" s="24">
        <f t="shared" si="9"/>
        <v>4.5999999999999996</v>
      </c>
      <c r="WT2" s="24">
        <f t="shared" si="9"/>
        <v>4</v>
      </c>
      <c r="WU2" s="24">
        <f t="shared" si="9"/>
        <v>4</v>
      </c>
      <c r="WV2" s="24">
        <f t="shared" si="9"/>
        <v>1.8</v>
      </c>
      <c r="WW2" s="24">
        <f t="shared" si="9"/>
        <v>1.2</v>
      </c>
      <c r="WX2" s="24">
        <f t="shared" si="9"/>
        <v>1</v>
      </c>
      <c r="WY2" s="24">
        <f t="shared" si="9"/>
        <v>1.2</v>
      </c>
      <c r="WZ2" s="24">
        <f t="shared" si="9"/>
        <v>1.4</v>
      </c>
      <c r="XA2" s="24">
        <f t="shared" si="9"/>
        <v>2</v>
      </c>
      <c r="XB2" s="24">
        <f t="shared" si="9"/>
        <v>2.8</v>
      </c>
      <c r="XC2" s="24">
        <f t="shared" si="9"/>
        <v>2.6</v>
      </c>
      <c r="XD2" s="24">
        <f t="shared" si="9"/>
        <v>2.4</v>
      </c>
      <c r="XE2" s="24">
        <f t="shared" si="9"/>
        <v>2.6</v>
      </c>
      <c r="XF2" s="24">
        <f t="shared" si="9"/>
        <v>1.8</v>
      </c>
      <c r="XG2" s="24">
        <f t="shared" si="9"/>
        <v>1.2</v>
      </c>
      <c r="XH2" s="24">
        <f t="shared" si="9"/>
        <v>2.2000000000000002</v>
      </c>
      <c r="XI2" s="24">
        <f t="shared" si="9"/>
        <v>2.2000000000000002</v>
      </c>
      <c r="XJ2" s="24">
        <f t="shared" si="9"/>
        <v>2.2000000000000002</v>
      </c>
      <c r="XK2" s="24">
        <f t="shared" si="9"/>
        <v>2.4</v>
      </c>
      <c r="XL2" s="24">
        <f t="shared" si="9"/>
        <v>3</v>
      </c>
      <c r="XM2" s="24">
        <f t="shared" si="9"/>
        <v>2.4</v>
      </c>
      <c r="XN2" s="24">
        <f t="shared" si="9"/>
        <v>2.4</v>
      </c>
      <c r="XO2" s="24">
        <f t="shared" si="9"/>
        <v>2</v>
      </c>
      <c r="XP2" s="24">
        <f t="shared" si="9"/>
        <v>1.8</v>
      </c>
      <c r="XQ2" s="24">
        <f t="shared" si="9"/>
        <v>1.4</v>
      </c>
      <c r="XR2" s="24">
        <f t="shared" si="9"/>
        <v>1.6</v>
      </c>
      <c r="XS2" s="24">
        <f t="shared" si="9"/>
        <v>1.8</v>
      </c>
      <c r="XT2" s="24">
        <f t="shared" si="9"/>
        <v>1.8</v>
      </c>
      <c r="XU2" s="24">
        <f t="shared" si="9"/>
        <v>1.6</v>
      </c>
      <c r="XV2" s="24">
        <f t="shared" ref="XV2:ZV2" si="10">AVERAGE(XR5:XV5)</f>
        <v>1.4</v>
      </c>
      <c r="XW2" s="24">
        <f t="shared" si="10"/>
        <v>1</v>
      </c>
      <c r="XX2" s="24">
        <f t="shared" si="10"/>
        <v>1.2</v>
      </c>
      <c r="XY2" s="24">
        <f t="shared" si="10"/>
        <v>1.4</v>
      </c>
      <c r="XZ2" s="24">
        <f t="shared" si="10"/>
        <v>1.4</v>
      </c>
      <c r="YA2" s="24">
        <f t="shared" si="10"/>
        <v>1.8</v>
      </c>
      <c r="YB2" s="24">
        <f t="shared" si="10"/>
        <v>1.8</v>
      </c>
      <c r="YC2" s="24">
        <f t="shared" si="10"/>
        <v>1.4</v>
      </c>
      <c r="YD2" s="24">
        <f t="shared" si="10"/>
        <v>1.8</v>
      </c>
      <c r="YE2" s="24">
        <f t="shared" si="10"/>
        <v>3.2</v>
      </c>
      <c r="YF2" s="24">
        <f t="shared" si="10"/>
        <v>3.2</v>
      </c>
      <c r="YG2" s="24">
        <f t="shared" si="10"/>
        <v>3.6</v>
      </c>
      <c r="YH2" s="24">
        <f t="shared" si="10"/>
        <v>4</v>
      </c>
      <c r="YI2" s="24">
        <f t="shared" si="10"/>
        <v>3.4</v>
      </c>
      <c r="YJ2" s="24">
        <f t="shared" si="10"/>
        <v>2.6</v>
      </c>
      <c r="YK2" s="24">
        <f t="shared" si="10"/>
        <v>2.2000000000000002</v>
      </c>
      <c r="YL2" s="24">
        <f t="shared" si="10"/>
        <v>1.8</v>
      </c>
      <c r="YM2" s="24">
        <f t="shared" si="10"/>
        <v>1.6</v>
      </c>
      <c r="YN2" s="24">
        <f t="shared" si="10"/>
        <v>1.6</v>
      </c>
      <c r="YO2" s="24">
        <f t="shared" si="10"/>
        <v>1</v>
      </c>
      <c r="YP2" s="24">
        <f t="shared" si="10"/>
        <v>1</v>
      </c>
      <c r="YQ2" s="24">
        <f t="shared" si="10"/>
        <v>1.2</v>
      </c>
      <c r="YR2" s="24">
        <f t="shared" si="10"/>
        <v>0.8</v>
      </c>
      <c r="YS2" s="24">
        <f t="shared" si="10"/>
        <v>0.6</v>
      </c>
      <c r="YT2" s="24">
        <f t="shared" si="10"/>
        <v>1</v>
      </c>
      <c r="YU2" s="24">
        <f t="shared" si="10"/>
        <v>1.4</v>
      </c>
      <c r="YV2" s="24">
        <f t="shared" si="10"/>
        <v>1.2</v>
      </c>
      <c r="YW2" s="24">
        <f t="shared" si="10"/>
        <v>1.4</v>
      </c>
      <c r="YX2" s="24">
        <f t="shared" si="10"/>
        <v>2.2000000000000002</v>
      </c>
      <c r="YY2" s="24">
        <f t="shared" si="10"/>
        <v>2.2000000000000002</v>
      </c>
      <c r="YZ2" s="24">
        <f t="shared" si="10"/>
        <v>2.2000000000000002</v>
      </c>
      <c r="ZA2" s="24">
        <f t="shared" si="10"/>
        <v>2.8</v>
      </c>
      <c r="ZB2" s="24">
        <f t="shared" si="10"/>
        <v>3.2</v>
      </c>
      <c r="ZC2" s="24">
        <f t="shared" si="10"/>
        <v>2.8</v>
      </c>
      <c r="ZD2" s="24">
        <f t="shared" si="10"/>
        <v>3</v>
      </c>
      <c r="ZE2" s="24">
        <f t="shared" si="10"/>
        <v>2.6</v>
      </c>
      <c r="ZF2" s="24">
        <f t="shared" si="10"/>
        <v>2</v>
      </c>
      <c r="ZG2" s="24">
        <f t="shared" si="10"/>
        <v>2</v>
      </c>
      <c r="ZH2" s="24">
        <f t="shared" si="10"/>
        <v>2</v>
      </c>
      <c r="ZI2" s="24">
        <f t="shared" si="10"/>
        <v>2</v>
      </c>
      <c r="ZJ2" s="24">
        <f t="shared" si="10"/>
        <v>2.2000000000000002</v>
      </c>
      <c r="ZK2" s="24">
        <f t="shared" si="10"/>
        <v>2.4</v>
      </c>
      <c r="ZL2" s="24">
        <f t="shared" si="10"/>
        <v>2.4</v>
      </c>
      <c r="ZM2" s="24">
        <f t="shared" si="10"/>
        <v>3.4</v>
      </c>
      <c r="ZN2" s="24">
        <f t="shared" si="10"/>
        <v>4.2</v>
      </c>
      <c r="ZO2" s="24">
        <f t="shared" si="10"/>
        <v>5.2</v>
      </c>
      <c r="ZP2" s="24">
        <f t="shared" si="10"/>
        <v>5.8</v>
      </c>
      <c r="ZQ2" s="24">
        <f t="shared" si="10"/>
        <v>6.2</v>
      </c>
      <c r="ZR2" s="24">
        <f t="shared" si="10"/>
        <v>5.6</v>
      </c>
      <c r="ZS2" s="24">
        <f t="shared" si="10"/>
        <v>4.5999999999999996</v>
      </c>
      <c r="ZT2" s="24">
        <f t="shared" si="10"/>
        <v>3.8</v>
      </c>
      <c r="ZU2" s="24">
        <f t="shared" si="10"/>
        <v>3.2</v>
      </c>
      <c r="ZV2" s="24">
        <f t="shared" si="10"/>
        <v>3</v>
      </c>
      <c r="ZW2" s="24">
        <f t="shared" ref="ZW2" si="11">AVERAGE(ZS5:ZW5)</f>
        <v>2.6</v>
      </c>
      <c r="ZX2" s="24">
        <f t="shared" ref="ZX2:AAA2" si="12">AVERAGE(ZT5:ZX5)</f>
        <v>2.6</v>
      </c>
      <c r="ZY2" s="24">
        <f t="shared" si="12"/>
        <v>2.6</v>
      </c>
      <c r="ZZ2" s="24">
        <f t="shared" si="12"/>
        <v>3.4</v>
      </c>
      <c r="AAA2" s="24">
        <f t="shared" si="12"/>
        <v>3.4</v>
      </c>
      <c r="AAB2" s="24">
        <f t="shared" ref="AAB2" si="13">AVERAGE(ZX5:AAB5)</f>
        <v>3.2</v>
      </c>
      <c r="AAC2" s="24">
        <f t="shared" ref="AAC2" si="14">AVERAGE(ZY5:AAC5)</f>
        <v>3.2</v>
      </c>
      <c r="AAD2" s="24">
        <f t="shared" ref="AAD2" si="15">AVERAGE(ZZ5:AAD5)</f>
        <v>3.4</v>
      </c>
      <c r="AAE2" s="24">
        <f t="shared" ref="AAE2:ACA2" si="16">AVERAGE(AAA5:AAE5)</f>
        <v>3</v>
      </c>
      <c r="AAF2" s="24">
        <f t="shared" si="16"/>
        <v>2.8</v>
      </c>
      <c r="AAG2" s="24">
        <f t="shared" si="16"/>
        <v>3.2</v>
      </c>
      <c r="AAH2" s="24">
        <f t="shared" si="16"/>
        <v>3</v>
      </c>
      <c r="AAI2" s="24">
        <f t="shared" si="16"/>
        <v>2.4</v>
      </c>
      <c r="AAJ2" s="24">
        <f t="shared" si="16"/>
        <v>2.2000000000000002</v>
      </c>
      <c r="AAK2" s="24">
        <f t="shared" si="16"/>
        <v>2</v>
      </c>
      <c r="AAL2" s="24">
        <f t="shared" si="16"/>
        <v>2</v>
      </c>
      <c r="AAM2" s="24">
        <f t="shared" si="16"/>
        <v>2.2000000000000002</v>
      </c>
      <c r="AAN2" s="24">
        <f t="shared" si="16"/>
        <v>2.8</v>
      </c>
      <c r="AAO2" s="24">
        <f t="shared" si="16"/>
        <v>3</v>
      </c>
      <c r="AAP2" s="24">
        <f t="shared" si="16"/>
        <v>3.4</v>
      </c>
      <c r="AAQ2" s="24">
        <f t="shared" si="16"/>
        <v>4.2</v>
      </c>
      <c r="AAR2" s="24">
        <f t="shared" si="16"/>
        <v>4.8</v>
      </c>
      <c r="AAS2" s="24">
        <f t="shared" si="16"/>
        <v>5.4</v>
      </c>
      <c r="AAT2" s="24">
        <f t="shared" si="16"/>
        <v>5.6</v>
      </c>
      <c r="AAU2" s="24">
        <f t="shared" si="16"/>
        <v>5.4</v>
      </c>
      <c r="AAV2" s="24">
        <f t="shared" si="16"/>
        <v>4.4000000000000004</v>
      </c>
      <c r="AAW2" s="24">
        <f t="shared" si="16"/>
        <v>4.4000000000000004</v>
      </c>
      <c r="AAX2" s="24">
        <f t="shared" si="16"/>
        <v>4</v>
      </c>
      <c r="AAY2" s="24">
        <f>AVERAGE(AAU5:AAY5)</f>
        <v>4.8</v>
      </c>
      <c r="AAZ2" s="24">
        <f t="shared" si="16"/>
        <v>5.6</v>
      </c>
      <c r="ABA2" s="24">
        <f t="shared" si="16"/>
        <v>6.8</v>
      </c>
      <c r="ABB2" s="24">
        <f t="shared" si="16"/>
        <v>6.8</v>
      </c>
      <c r="ABC2" s="24">
        <f t="shared" si="16"/>
        <v>6.8</v>
      </c>
      <c r="ABD2" s="24">
        <f t="shared" si="16"/>
        <v>5.4</v>
      </c>
      <c r="ABE2" s="24">
        <f t="shared" si="16"/>
        <v>4.2</v>
      </c>
      <c r="ABF2" s="24">
        <f t="shared" si="16"/>
        <v>3</v>
      </c>
      <c r="ABG2" s="24">
        <f t="shared" si="16"/>
        <v>2.2000000000000002</v>
      </c>
      <c r="ABH2" s="24">
        <f t="shared" si="16"/>
        <v>1.6</v>
      </c>
      <c r="ABI2" s="24">
        <f t="shared" si="16"/>
        <v>1.6</v>
      </c>
      <c r="ABJ2" s="24">
        <f t="shared" si="16"/>
        <v>2</v>
      </c>
      <c r="ABK2" s="24">
        <f t="shared" si="16"/>
        <v>1.8</v>
      </c>
      <c r="ABL2" s="24">
        <f t="shared" si="16"/>
        <v>1.8</v>
      </c>
      <c r="ABM2" s="24">
        <f t="shared" si="16"/>
        <v>2.4</v>
      </c>
      <c r="ABN2" s="24">
        <f t="shared" si="16"/>
        <v>3</v>
      </c>
      <c r="ABO2" s="24">
        <f t="shared" si="16"/>
        <v>2.6</v>
      </c>
      <c r="ABP2" s="24">
        <f t="shared" si="16"/>
        <v>2.4</v>
      </c>
      <c r="ABQ2" s="24">
        <f t="shared" si="16"/>
        <v>2.8</v>
      </c>
      <c r="ABR2" s="24">
        <f t="shared" si="16"/>
        <v>2.2000000000000002</v>
      </c>
      <c r="ABS2" s="24">
        <f t="shared" si="16"/>
        <v>1.4</v>
      </c>
      <c r="ABT2" s="24">
        <f t="shared" si="16"/>
        <v>1.4</v>
      </c>
      <c r="ABU2" s="24">
        <f t="shared" si="16"/>
        <v>2</v>
      </c>
      <c r="ABV2" s="24">
        <f t="shared" si="16"/>
        <v>1.4</v>
      </c>
      <c r="ABW2" s="24">
        <f t="shared" si="16"/>
        <v>1.2</v>
      </c>
      <c r="ABX2" s="24">
        <f t="shared" si="16"/>
        <v>1.8</v>
      </c>
      <c r="ABY2" s="24">
        <f t="shared" si="16"/>
        <v>1.8</v>
      </c>
      <c r="ABZ2" s="24">
        <f t="shared" si="16"/>
        <v>1.6</v>
      </c>
      <c r="ACA2" s="24">
        <f t="shared" si="16"/>
        <v>2</v>
      </c>
      <c r="ACB2" s="24">
        <f t="shared" ref="ACB2:ADW2" si="17">AVERAGE(ABX5:ACB5)</f>
        <v>2.2000000000000002</v>
      </c>
      <c r="ACC2" s="24">
        <f t="shared" si="17"/>
        <v>1.8</v>
      </c>
      <c r="ACD2" s="24">
        <f t="shared" si="17"/>
        <v>1.6</v>
      </c>
      <c r="ACE2" s="24">
        <f t="shared" si="17"/>
        <v>1.2</v>
      </c>
      <c r="ACF2" s="24">
        <f t="shared" si="17"/>
        <v>1.2</v>
      </c>
      <c r="ACG2" s="24">
        <f t="shared" si="17"/>
        <v>0.8</v>
      </c>
      <c r="ACH2" s="24">
        <f t="shared" si="17"/>
        <v>0.4</v>
      </c>
      <c r="ACI2" s="24">
        <f t="shared" si="17"/>
        <v>0.8</v>
      </c>
      <c r="ACJ2" s="24">
        <f t="shared" si="17"/>
        <v>1</v>
      </c>
      <c r="ACK2" s="24">
        <f t="shared" si="17"/>
        <v>0.8</v>
      </c>
      <c r="ACL2" s="24">
        <f t="shared" si="17"/>
        <v>1</v>
      </c>
      <c r="ACM2" s="24">
        <f t="shared" si="17"/>
        <v>1.4</v>
      </c>
      <c r="ACN2" s="24">
        <f t="shared" si="17"/>
        <v>1</v>
      </c>
      <c r="ACO2" s="24">
        <f t="shared" si="17"/>
        <v>1.2</v>
      </c>
      <c r="ACP2" s="24">
        <f t="shared" si="17"/>
        <v>1.2</v>
      </c>
      <c r="ACQ2" s="24">
        <f t="shared" si="17"/>
        <v>1.4</v>
      </c>
      <c r="ACR2" s="24">
        <f t="shared" si="17"/>
        <v>1.4</v>
      </c>
      <c r="ACS2" s="24">
        <f t="shared" si="17"/>
        <v>1.8</v>
      </c>
      <c r="ACT2" s="24">
        <f t="shared" si="17"/>
        <v>1.6</v>
      </c>
      <c r="ACU2" s="24">
        <f t="shared" si="17"/>
        <v>1.8</v>
      </c>
      <c r="ACV2" s="24">
        <f t="shared" si="17"/>
        <v>1.4</v>
      </c>
      <c r="ACW2" s="24">
        <f t="shared" si="17"/>
        <v>2.2000000000000002</v>
      </c>
      <c r="ACX2" s="24">
        <f t="shared" si="17"/>
        <v>2</v>
      </c>
      <c r="ACY2" s="24">
        <f t="shared" si="17"/>
        <v>2</v>
      </c>
      <c r="ACZ2" s="24">
        <f t="shared" si="17"/>
        <v>1.8</v>
      </c>
      <c r="ADA2" s="24">
        <f t="shared" si="17"/>
        <v>2</v>
      </c>
      <c r="ADB2" s="24">
        <f t="shared" si="17"/>
        <v>1</v>
      </c>
      <c r="ADC2" s="24">
        <f t="shared" si="17"/>
        <v>1</v>
      </c>
      <c r="ADD2" s="24">
        <f t="shared" si="17"/>
        <v>1</v>
      </c>
      <c r="ADE2" s="24">
        <f t="shared" si="17"/>
        <v>1</v>
      </c>
      <c r="ADF2" s="24">
        <f t="shared" si="17"/>
        <v>1</v>
      </c>
      <c r="ADG2" s="24">
        <f t="shared" si="17"/>
        <v>1.2</v>
      </c>
      <c r="ADH2" s="24">
        <f t="shared" si="17"/>
        <v>1.6</v>
      </c>
      <c r="ADI2" s="24">
        <f t="shared" si="17"/>
        <v>1.6</v>
      </c>
      <c r="ADJ2" s="24">
        <f t="shared" si="17"/>
        <v>1.8</v>
      </c>
      <c r="ADK2" s="24">
        <f t="shared" si="17"/>
        <v>2.2000000000000002</v>
      </c>
      <c r="ADL2" s="24">
        <f t="shared" si="17"/>
        <v>2</v>
      </c>
      <c r="ADM2" s="24">
        <f t="shared" si="17"/>
        <v>1.6</v>
      </c>
      <c r="ADN2" s="24">
        <f t="shared" si="17"/>
        <v>1.8</v>
      </c>
      <c r="ADO2" s="24">
        <f t="shared" si="17"/>
        <v>1.6</v>
      </c>
      <c r="ADP2" s="24">
        <f t="shared" si="17"/>
        <v>1</v>
      </c>
      <c r="ADQ2" s="24">
        <f t="shared" si="17"/>
        <v>1</v>
      </c>
      <c r="ADR2" s="24">
        <f t="shared" si="17"/>
        <v>1.2</v>
      </c>
      <c r="ADS2" s="24">
        <f t="shared" si="17"/>
        <v>0.8</v>
      </c>
      <c r="ADT2" s="24">
        <f t="shared" si="17"/>
        <v>0.8</v>
      </c>
      <c r="ADU2" s="24">
        <f t="shared" si="17"/>
        <v>1.4</v>
      </c>
      <c r="ADV2" s="24">
        <f t="shared" si="17"/>
        <v>1.4</v>
      </c>
      <c r="ADW2" s="24">
        <f t="shared" si="17"/>
        <v>1.2</v>
      </c>
    </row>
    <row r="3" spans="1:803" x14ac:dyDescent="0.3">
      <c r="A3" s="24" t="s">
        <v>304</v>
      </c>
      <c r="B3" s="24">
        <v>5</v>
      </c>
      <c r="C3" s="24">
        <v>5</v>
      </c>
      <c r="D3" s="24">
        <v>6</v>
      </c>
      <c r="E3" s="24">
        <v>4</v>
      </c>
      <c r="F3" s="24">
        <v>4</v>
      </c>
      <c r="G3" s="24">
        <v>4</v>
      </c>
      <c r="H3" s="24">
        <v>5</v>
      </c>
      <c r="I3" s="24">
        <v>5</v>
      </c>
      <c r="J3" s="24">
        <v>3</v>
      </c>
      <c r="K3" s="24">
        <v>4</v>
      </c>
      <c r="L3" s="24">
        <v>3</v>
      </c>
      <c r="M3" s="24">
        <v>4</v>
      </c>
      <c r="N3" s="24">
        <v>5</v>
      </c>
      <c r="O3" s="24">
        <v>6</v>
      </c>
      <c r="P3" s="24">
        <v>6</v>
      </c>
      <c r="Q3" s="24">
        <v>7</v>
      </c>
      <c r="R3" s="24">
        <v>6</v>
      </c>
      <c r="S3" s="24">
        <v>6</v>
      </c>
      <c r="T3" s="24">
        <v>7</v>
      </c>
      <c r="U3" s="24">
        <v>8</v>
      </c>
      <c r="V3" s="24">
        <v>2</v>
      </c>
      <c r="W3" s="24">
        <v>3</v>
      </c>
      <c r="X3" s="24">
        <v>4</v>
      </c>
      <c r="Y3" s="24">
        <v>3</v>
      </c>
      <c r="Z3" s="24">
        <v>4</v>
      </c>
      <c r="AA3" s="24">
        <v>5</v>
      </c>
      <c r="AB3" s="24">
        <v>6</v>
      </c>
      <c r="AC3" s="24">
        <v>6</v>
      </c>
      <c r="AD3" s="24">
        <v>7</v>
      </c>
      <c r="AE3" s="24">
        <v>2</v>
      </c>
      <c r="AF3" s="24">
        <v>3</v>
      </c>
      <c r="AG3" s="24">
        <v>6</v>
      </c>
      <c r="AH3" s="24">
        <v>5</v>
      </c>
      <c r="AI3" s="24">
        <v>5</v>
      </c>
      <c r="AJ3" s="24">
        <v>3</v>
      </c>
      <c r="AK3" s="24">
        <v>4</v>
      </c>
      <c r="AL3" s="24">
        <v>4</v>
      </c>
      <c r="AM3" s="24">
        <v>5</v>
      </c>
      <c r="AN3" s="24">
        <v>6</v>
      </c>
      <c r="AO3" s="24">
        <v>5</v>
      </c>
      <c r="AP3" s="24">
        <v>6</v>
      </c>
      <c r="AQ3" s="24">
        <v>4</v>
      </c>
      <c r="AR3" s="24">
        <v>5</v>
      </c>
      <c r="AS3" s="24">
        <v>6</v>
      </c>
      <c r="AT3" s="24">
        <v>7</v>
      </c>
      <c r="AU3" s="24">
        <v>3</v>
      </c>
      <c r="AV3" s="24">
        <v>4</v>
      </c>
      <c r="AW3" s="24">
        <v>3</v>
      </c>
      <c r="AX3" s="24">
        <v>3</v>
      </c>
      <c r="AY3" s="24">
        <v>4</v>
      </c>
      <c r="AZ3" s="24">
        <v>2</v>
      </c>
      <c r="BA3" s="24">
        <v>3</v>
      </c>
      <c r="BB3" s="24">
        <v>4</v>
      </c>
      <c r="BC3" s="24">
        <v>5</v>
      </c>
      <c r="BD3" s="24">
        <v>6</v>
      </c>
      <c r="BE3" s="24">
        <v>7</v>
      </c>
      <c r="BF3" s="24">
        <v>8</v>
      </c>
      <c r="BG3" s="24">
        <v>9</v>
      </c>
      <c r="BH3" s="24">
        <v>2</v>
      </c>
      <c r="BI3" s="24">
        <v>3</v>
      </c>
      <c r="BJ3" s="24">
        <v>4</v>
      </c>
      <c r="BK3" s="24">
        <v>5</v>
      </c>
      <c r="BL3" s="24">
        <v>5</v>
      </c>
      <c r="BM3" s="24">
        <v>3</v>
      </c>
      <c r="BN3" s="24">
        <v>2</v>
      </c>
      <c r="BO3" s="24">
        <v>2</v>
      </c>
      <c r="BP3" s="24">
        <v>3</v>
      </c>
      <c r="BQ3" s="24">
        <v>2</v>
      </c>
      <c r="BR3" s="24">
        <v>3</v>
      </c>
      <c r="BS3" s="24">
        <v>2</v>
      </c>
      <c r="BT3" s="24">
        <v>3</v>
      </c>
      <c r="BU3" s="24">
        <v>2</v>
      </c>
      <c r="BV3" s="24">
        <v>2</v>
      </c>
      <c r="BW3" s="24">
        <v>3</v>
      </c>
      <c r="BX3" s="24">
        <v>4</v>
      </c>
      <c r="BY3" s="24">
        <v>5</v>
      </c>
      <c r="BZ3" s="24">
        <v>3</v>
      </c>
      <c r="CA3" s="24">
        <v>3</v>
      </c>
      <c r="CB3" s="24">
        <v>3</v>
      </c>
      <c r="CC3" s="24">
        <v>2</v>
      </c>
      <c r="CD3" s="24">
        <v>3</v>
      </c>
      <c r="CE3" s="24">
        <v>3</v>
      </c>
      <c r="CF3" s="24">
        <v>4</v>
      </c>
      <c r="CG3" s="24">
        <v>3</v>
      </c>
      <c r="CH3" s="24">
        <v>4</v>
      </c>
      <c r="CI3" s="24">
        <v>5</v>
      </c>
      <c r="CJ3" s="24">
        <v>6</v>
      </c>
      <c r="CK3" s="24">
        <v>7</v>
      </c>
      <c r="CL3" s="24">
        <v>8</v>
      </c>
      <c r="CM3" s="24">
        <v>9</v>
      </c>
      <c r="CN3" s="24">
        <v>7</v>
      </c>
      <c r="CO3" s="24">
        <v>5</v>
      </c>
      <c r="CP3" s="24">
        <v>5</v>
      </c>
      <c r="CQ3" s="24">
        <v>5</v>
      </c>
      <c r="CR3" s="24">
        <v>3</v>
      </c>
      <c r="CS3" s="24">
        <v>4</v>
      </c>
      <c r="CT3" s="24">
        <v>4</v>
      </c>
      <c r="CU3" s="24">
        <v>5</v>
      </c>
      <c r="CV3" s="24">
        <v>4</v>
      </c>
      <c r="CW3" s="24">
        <v>5</v>
      </c>
      <c r="CX3" s="24">
        <v>6</v>
      </c>
      <c r="CY3" s="24">
        <v>4</v>
      </c>
      <c r="CZ3" s="24">
        <v>4</v>
      </c>
      <c r="DA3" s="24">
        <v>5</v>
      </c>
      <c r="DB3" s="24">
        <v>3</v>
      </c>
      <c r="DC3" s="24">
        <v>4</v>
      </c>
      <c r="DD3" s="24">
        <v>3</v>
      </c>
      <c r="DE3" s="24">
        <v>4</v>
      </c>
      <c r="DF3" s="24">
        <v>5</v>
      </c>
      <c r="DG3" s="24">
        <v>6</v>
      </c>
      <c r="DH3" s="24">
        <v>5</v>
      </c>
      <c r="DI3" s="24">
        <v>6</v>
      </c>
      <c r="DJ3" s="24">
        <v>6</v>
      </c>
      <c r="DK3" s="24">
        <v>6</v>
      </c>
      <c r="DL3" s="24">
        <v>4</v>
      </c>
      <c r="DM3" s="24">
        <v>5</v>
      </c>
      <c r="DN3" s="24">
        <v>5</v>
      </c>
      <c r="DO3" s="24">
        <v>3</v>
      </c>
      <c r="DP3" s="24">
        <v>4</v>
      </c>
      <c r="DQ3" s="24">
        <v>5</v>
      </c>
      <c r="DR3" s="24">
        <v>6</v>
      </c>
      <c r="DS3" s="24">
        <v>7</v>
      </c>
      <c r="DT3" s="24">
        <v>3</v>
      </c>
      <c r="DU3" s="24">
        <v>3</v>
      </c>
      <c r="DV3" s="24">
        <v>3</v>
      </c>
      <c r="DW3" s="24">
        <v>4</v>
      </c>
      <c r="DX3" s="24">
        <v>5</v>
      </c>
      <c r="DY3" s="24">
        <v>6</v>
      </c>
      <c r="DZ3" s="24">
        <v>2</v>
      </c>
      <c r="EA3" s="24">
        <v>3</v>
      </c>
      <c r="EB3" s="24">
        <v>4</v>
      </c>
      <c r="EC3" s="24">
        <v>4</v>
      </c>
      <c r="ED3" s="24">
        <v>3</v>
      </c>
      <c r="EE3" s="24">
        <v>4</v>
      </c>
      <c r="EF3" s="24">
        <v>5</v>
      </c>
      <c r="EG3" s="24">
        <v>2</v>
      </c>
      <c r="EH3" s="24">
        <v>3</v>
      </c>
      <c r="EI3" s="24">
        <v>3</v>
      </c>
      <c r="EJ3" s="24">
        <v>3</v>
      </c>
      <c r="EK3" s="24">
        <v>3</v>
      </c>
      <c r="EL3" s="24">
        <v>4</v>
      </c>
      <c r="EM3" s="24">
        <v>5</v>
      </c>
      <c r="EN3" s="24">
        <v>4</v>
      </c>
      <c r="EO3" s="24">
        <v>2</v>
      </c>
      <c r="EP3" s="24">
        <v>3</v>
      </c>
      <c r="EQ3" s="24">
        <v>4</v>
      </c>
      <c r="ER3" s="24">
        <v>7</v>
      </c>
      <c r="ES3" s="24">
        <v>7</v>
      </c>
      <c r="ET3" s="24">
        <v>6</v>
      </c>
      <c r="EU3" s="24">
        <v>4</v>
      </c>
      <c r="EV3" s="24">
        <v>4</v>
      </c>
      <c r="EW3" s="24">
        <v>5</v>
      </c>
      <c r="EX3" s="24">
        <v>3</v>
      </c>
      <c r="EY3" s="24">
        <v>4</v>
      </c>
      <c r="EZ3" s="24">
        <v>3</v>
      </c>
      <c r="FA3" s="24">
        <v>3</v>
      </c>
      <c r="FB3" s="24">
        <v>4</v>
      </c>
      <c r="FC3" s="24">
        <v>5</v>
      </c>
      <c r="FD3" s="24">
        <v>6</v>
      </c>
      <c r="FE3" s="24">
        <v>7</v>
      </c>
      <c r="FF3" s="24">
        <v>8</v>
      </c>
      <c r="FG3" s="24">
        <v>4</v>
      </c>
      <c r="FH3" s="24">
        <v>5</v>
      </c>
      <c r="FI3" s="24">
        <v>4</v>
      </c>
      <c r="FJ3" s="24">
        <v>3</v>
      </c>
      <c r="FK3" s="24">
        <v>4</v>
      </c>
      <c r="FL3" s="24">
        <v>5</v>
      </c>
      <c r="FM3" s="24">
        <v>6</v>
      </c>
      <c r="FN3" s="24">
        <v>3</v>
      </c>
      <c r="FO3" s="24">
        <v>4</v>
      </c>
      <c r="FP3" s="24">
        <v>3</v>
      </c>
      <c r="FQ3" s="24">
        <v>3</v>
      </c>
      <c r="FR3" s="24">
        <v>3</v>
      </c>
      <c r="FS3" s="24">
        <v>4</v>
      </c>
      <c r="FT3" s="24">
        <v>5</v>
      </c>
      <c r="FU3" s="24">
        <v>6</v>
      </c>
      <c r="FV3" s="24">
        <v>7</v>
      </c>
      <c r="FW3" s="24">
        <v>8</v>
      </c>
      <c r="FX3" s="24">
        <v>5</v>
      </c>
      <c r="FY3" s="24">
        <v>4</v>
      </c>
      <c r="FZ3" s="24">
        <v>5</v>
      </c>
      <c r="GA3" s="24">
        <v>6</v>
      </c>
      <c r="GB3" s="24">
        <v>7</v>
      </c>
      <c r="GC3" s="24">
        <v>8</v>
      </c>
      <c r="GD3" s="24">
        <v>9</v>
      </c>
      <c r="GE3" s="24">
        <v>10</v>
      </c>
      <c r="GF3" s="24">
        <v>11</v>
      </c>
      <c r="GG3" s="24">
        <v>12</v>
      </c>
      <c r="GH3" s="24">
        <v>13</v>
      </c>
      <c r="GI3" s="24">
        <v>14</v>
      </c>
      <c r="GJ3" s="24">
        <v>9</v>
      </c>
      <c r="GK3" s="24">
        <v>7</v>
      </c>
      <c r="GL3" s="24">
        <v>8</v>
      </c>
      <c r="GM3" s="24">
        <v>9</v>
      </c>
      <c r="GN3" s="24">
        <v>10</v>
      </c>
      <c r="GO3" s="24">
        <v>11</v>
      </c>
      <c r="GP3" s="24">
        <v>8</v>
      </c>
      <c r="GQ3" s="24">
        <v>9</v>
      </c>
      <c r="GR3" s="24">
        <v>10</v>
      </c>
      <c r="GS3" s="24">
        <v>6</v>
      </c>
      <c r="GT3" s="24">
        <v>6</v>
      </c>
      <c r="GU3" s="24">
        <v>7</v>
      </c>
      <c r="GV3" s="24">
        <v>5</v>
      </c>
      <c r="GW3" s="24">
        <v>6</v>
      </c>
      <c r="GX3" s="24">
        <v>7</v>
      </c>
      <c r="GY3" s="24">
        <v>5</v>
      </c>
      <c r="GZ3" s="24">
        <v>6</v>
      </c>
      <c r="HA3" s="24">
        <v>7</v>
      </c>
      <c r="HB3" s="24">
        <v>8</v>
      </c>
      <c r="HC3" s="24">
        <v>9</v>
      </c>
      <c r="HD3" s="24">
        <v>6</v>
      </c>
      <c r="HE3" s="24">
        <v>4</v>
      </c>
      <c r="HF3" s="24">
        <v>5</v>
      </c>
      <c r="HG3" s="24">
        <v>4</v>
      </c>
      <c r="HH3" s="24">
        <v>5</v>
      </c>
      <c r="HI3" s="24">
        <v>6</v>
      </c>
      <c r="HJ3" s="24">
        <v>7</v>
      </c>
      <c r="HK3" s="24">
        <v>8</v>
      </c>
      <c r="HL3" s="24">
        <v>9</v>
      </c>
      <c r="HM3" s="24">
        <v>7</v>
      </c>
      <c r="HN3" s="24">
        <v>6</v>
      </c>
      <c r="HO3" s="24">
        <v>3</v>
      </c>
      <c r="HP3" s="24">
        <v>4</v>
      </c>
      <c r="HQ3" s="24">
        <v>5</v>
      </c>
      <c r="HR3" s="24">
        <v>6</v>
      </c>
      <c r="HS3" s="24">
        <v>6</v>
      </c>
      <c r="HT3" s="24">
        <v>5</v>
      </c>
      <c r="HU3" s="24">
        <v>3</v>
      </c>
      <c r="HV3" s="24">
        <v>4</v>
      </c>
      <c r="HW3" s="24">
        <v>4</v>
      </c>
      <c r="HX3" s="24">
        <v>5</v>
      </c>
      <c r="HY3" s="24">
        <v>4</v>
      </c>
      <c r="HZ3" s="24">
        <v>4</v>
      </c>
      <c r="IA3" s="24">
        <v>5</v>
      </c>
      <c r="IB3" s="24">
        <v>6</v>
      </c>
      <c r="IC3" s="24">
        <v>7</v>
      </c>
      <c r="ID3" s="24">
        <v>8</v>
      </c>
      <c r="IE3" s="24">
        <v>9</v>
      </c>
      <c r="IF3" s="24">
        <v>5</v>
      </c>
      <c r="IG3" s="24">
        <v>4</v>
      </c>
      <c r="IH3" s="24">
        <v>4</v>
      </c>
      <c r="II3" s="24">
        <v>5</v>
      </c>
      <c r="IJ3" s="24">
        <v>6</v>
      </c>
      <c r="IK3" s="24">
        <v>7</v>
      </c>
      <c r="IL3" s="24">
        <v>4</v>
      </c>
      <c r="IM3" s="24">
        <v>4</v>
      </c>
      <c r="IN3" s="24">
        <v>5</v>
      </c>
      <c r="IO3" s="24">
        <v>6</v>
      </c>
      <c r="IP3" s="24">
        <v>7</v>
      </c>
      <c r="IQ3" s="24">
        <v>8</v>
      </c>
      <c r="IR3" s="24">
        <v>9</v>
      </c>
      <c r="IS3" s="24">
        <v>10</v>
      </c>
      <c r="IT3" s="24">
        <v>11</v>
      </c>
      <c r="IU3" s="24">
        <v>7</v>
      </c>
      <c r="IV3" s="24">
        <v>4</v>
      </c>
      <c r="IW3" s="24">
        <v>5</v>
      </c>
      <c r="IX3" s="24">
        <v>5</v>
      </c>
      <c r="IY3" s="24">
        <v>6</v>
      </c>
      <c r="IZ3" s="24">
        <v>7</v>
      </c>
      <c r="JA3" s="24">
        <v>8</v>
      </c>
      <c r="JB3" s="24">
        <v>4</v>
      </c>
      <c r="JC3" s="24">
        <v>4</v>
      </c>
      <c r="JD3" s="24">
        <v>5</v>
      </c>
      <c r="JE3" s="24">
        <v>5</v>
      </c>
      <c r="JF3" s="24">
        <v>6</v>
      </c>
      <c r="JG3" s="24">
        <v>7</v>
      </c>
      <c r="JH3" s="24">
        <v>8</v>
      </c>
      <c r="JI3" s="24">
        <v>9</v>
      </c>
      <c r="JJ3" s="24">
        <v>10</v>
      </c>
      <c r="JK3" s="24">
        <v>11</v>
      </c>
      <c r="JL3" s="24">
        <v>12</v>
      </c>
      <c r="JM3" s="24">
        <v>13</v>
      </c>
      <c r="JN3" s="24">
        <v>8</v>
      </c>
      <c r="JO3" s="24">
        <v>8</v>
      </c>
      <c r="JP3" s="24">
        <v>6</v>
      </c>
      <c r="JQ3" s="24">
        <v>5</v>
      </c>
      <c r="JR3" s="24">
        <v>6</v>
      </c>
      <c r="JS3" s="24">
        <v>7</v>
      </c>
      <c r="JT3" s="24">
        <v>5</v>
      </c>
      <c r="JU3" s="24">
        <v>4</v>
      </c>
      <c r="JV3" s="24">
        <v>5</v>
      </c>
      <c r="JW3" s="24">
        <v>6</v>
      </c>
      <c r="JX3" s="24">
        <v>7</v>
      </c>
      <c r="JY3" s="24">
        <v>8</v>
      </c>
      <c r="JZ3" s="24">
        <v>9</v>
      </c>
      <c r="KA3" s="24">
        <v>10</v>
      </c>
      <c r="KB3" s="24">
        <v>11</v>
      </c>
      <c r="KC3" s="24">
        <v>12</v>
      </c>
      <c r="KD3" s="24">
        <v>13</v>
      </c>
      <c r="KE3" s="24">
        <v>6</v>
      </c>
      <c r="KF3" s="24">
        <v>7</v>
      </c>
      <c r="KG3" s="24">
        <v>5</v>
      </c>
      <c r="KH3" s="24">
        <v>6</v>
      </c>
      <c r="KI3" s="24">
        <v>7</v>
      </c>
      <c r="KJ3" s="24">
        <v>7</v>
      </c>
      <c r="KK3" s="24">
        <v>8</v>
      </c>
      <c r="KL3" s="24">
        <v>9</v>
      </c>
      <c r="KM3" s="24">
        <v>7</v>
      </c>
      <c r="KN3" s="24">
        <v>5</v>
      </c>
      <c r="KO3" s="24">
        <v>6</v>
      </c>
      <c r="KP3" s="24">
        <v>7</v>
      </c>
      <c r="KQ3" s="24">
        <v>8</v>
      </c>
      <c r="KR3" s="24">
        <v>9</v>
      </c>
      <c r="KS3" s="24">
        <v>4</v>
      </c>
      <c r="KT3" s="24">
        <v>3</v>
      </c>
      <c r="KU3" s="24">
        <v>4</v>
      </c>
      <c r="KV3" s="24">
        <v>5</v>
      </c>
      <c r="KW3" s="24">
        <v>6</v>
      </c>
      <c r="KX3" s="24">
        <v>4</v>
      </c>
      <c r="KY3" s="24">
        <v>5</v>
      </c>
      <c r="KZ3" s="24">
        <v>6</v>
      </c>
      <c r="LA3" s="24">
        <v>7</v>
      </c>
      <c r="LB3" s="24">
        <v>5</v>
      </c>
      <c r="LC3" s="24">
        <v>6</v>
      </c>
      <c r="LD3" s="24">
        <v>4</v>
      </c>
      <c r="LE3" s="24">
        <v>5</v>
      </c>
      <c r="LF3" s="24">
        <v>6</v>
      </c>
      <c r="LG3" s="24">
        <v>6</v>
      </c>
      <c r="LH3" s="24">
        <v>7</v>
      </c>
      <c r="LI3" s="24">
        <v>5</v>
      </c>
      <c r="LJ3" s="24">
        <v>3</v>
      </c>
      <c r="LK3" s="24">
        <v>4</v>
      </c>
      <c r="LL3" s="24">
        <v>4</v>
      </c>
      <c r="LM3" s="24">
        <v>5</v>
      </c>
      <c r="LN3" s="24">
        <v>6</v>
      </c>
      <c r="LO3" s="24">
        <v>5</v>
      </c>
      <c r="LP3" s="24">
        <v>3</v>
      </c>
      <c r="LQ3" s="24">
        <v>4</v>
      </c>
      <c r="LR3" s="24">
        <v>4</v>
      </c>
      <c r="LS3" s="24">
        <v>5</v>
      </c>
      <c r="LT3" s="24">
        <v>3</v>
      </c>
      <c r="LU3" s="24">
        <v>3</v>
      </c>
      <c r="LV3" s="24">
        <v>4</v>
      </c>
      <c r="LW3" s="24">
        <v>3</v>
      </c>
      <c r="LX3" s="24">
        <v>4</v>
      </c>
      <c r="LY3" s="24">
        <v>3</v>
      </c>
      <c r="LZ3" s="24">
        <v>4</v>
      </c>
      <c r="MA3" s="24">
        <v>3</v>
      </c>
      <c r="MB3" s="24">
        <v>4</v>
      </c>
      <c r="MC3" s="24">
        <v>5</v>
      </c>
      <c r="MD3" s="24">
        <v>6</v>
      </c>
      <c r="ME3" s="24">
        <v>7</v>
      </c>
      <c r="MF3" s="24">
        <v>4</v>
      </c>
      <c r="MG3" s="24">
        <v>5</v>
      </c>
      <c r="MH3" s="24">
        <v>4</v>
      </c>
      <c r="MI3" s="24">
        <v>5</v>
      </c>
      <c r="MJ3" s="24">
        <v>6</v>
      </c>
      <c r="MK3" s="24">
        <v>7</v>
      </c>
      <c r="ML3" s="24">
        <v>5</v>
      </c>
      <c r="MM3" s="24">
        <v>3</v>
      </c>
      <c r="MN3" s="24">
        <v>4</v>
      </c>
      <c r="MO3" s="24">
        <v>5</v>
      </c>
      <c r="MP3" s="24">
        <v>4</v>
      </c>
      <c r="MQ3" s="24">
        <v>3</v>
      </c>
      <c r="MR3" s="24">
        <v>4</v>
      </c>
      <c r="MS3" s="24">
        <v>5</v>
      </c>
      <c r="MT3" s="24">
        <v>4</v>
      </c>
      <c r="MU3" s="24">
        <v>3</v>
      </c>
      <c r="MV3" s="24">
        <v>4</v>
      </c>
      <c r="MW3" s="24">
        <v>3</v>
      </c>
      <c r="MX3" s="24">
        <v>4</v>
      </c>
      <c r="MY3" s="24">
        <v>3</v>
      </c>
      <c r="MZ3" s="24">
        <v>4</v>
      </c>
      <c r="NA3" s="24">
        <v>4</v>
      </c>
      <c r="NB3" s="24">
        <v>5</v>
      </c>
      <c r="NC3" s="24">
        <v>6</v>
      </c>
      <c r="ND3" s="24">
        <v>7</v>
      </c>
      <c r="NE3" s="24">
        <v>3</v>
      </c>
      <c r="NF3" s="24">
        <v>3</v>
      </c>
      <c r="NG3" s="24">
        <v>4</v>
      </c>
      <c r="NH3" s="24">
        <v>3</v>
      </c>
      <c r="NI3" s="24">
        <v>3</v>
      </c>
      <c r="NJ3" s="24">
        <v>4</v>
      </c>
      <c r="NK3" s="24">
        <v>5</v>
      </c>
      <c r="NL3" s="24">
        <v>6</v>
      </c>
      <c r="NM3" s="24">
        <v>7</v>
      </c>
      <c r="NN3" s="24">
        <v>8</v>
      </c>
      <c r="NO3" s="24">
        <v>9</v>
      </c>
      <c r="NP3" s="24">
        <v>10</v>
      </c>
      <c r="NQ3" s="24">
        <v>11</v>
      </c>
      <c r="NR3" s="24">
        <v>6</v>
      </c>
      <c r="NS3" s="24">
        <v>5</v>
      </c>
      <c r="NT3" s="24">
        <v>5</v>
      </c>
      <c r="NU3" s="24">
        <v>4</v>
      </c>
      <c r="NV3" s="24">
        <v>3</v>
      </c>
      <c r="NW3" s="24">
        <v>4</v>
      </c>
      <c r="NX3" s="24">
        <v>4</v>
      </c>
      <c r="NY3" s="24">
        <v>3</v>
      </c>
      <c r="NZ3" s="24">
        <v>4</v>
      </c>
      <c r="OA3" s="24">
        <v>3</v>
      </c>
      <c r="OB3" s="24">
        <v>4</v>
      </c>
      <c r="OC3" s="24">
        <v>5</v>
      </c>
      <c r="OD3" s="24">
        <v>6</v>
      </c>
      <c r="OE3" s="24">
        <v>7</v>
      </c>
      <c r="OF3" s="24">
        <v>8</v>
      </c>
      <c r="OG3" s="24">
        <v>9</v>
      </c>
      <c r="OH3" s="24">
        <v>10</v>
      </c>
      <c r="OI3" s="24">
        <v>5</v>
      </c>
      <c r="OJ3" s="24">
        <v>5</v>
      </c>
      <c r="OK3" s="24">
        <v>6</v>
      </c>
      <c r="OL3" s="24">
        <v>7</v>
      </c>
      <c r="OM3" s="24">
        <v>8</v>
      </c>
      <c r="ON3" s="24">
        <v>9</v>
      </c>
      <c r="OO3" s="24">
        <v>10</v>
      </c>
      <c r="OP3" s="24">
        <v>5</v>
      </c>
      <c r="OQ3" s="24">
        <v>4</v>
      </c>
      <c r="OR3" s="24">
        <v>4</v>
      </c>
      <c r="OS3" s="24">
        <v>5</v>
      </c>
      <c r="OT3" s="24">
        <v>6</v>
      </c>
      <c r="OU3" s="24">
        <v>4</v>
      </c>
      <c r="OV3" s="24">
        <v>5</v>
      </c>
      <c r="OW3" s="24">
        <v>6</v>
      </c>
      <c r="OX3" s="24">
        <v>7</v>
      </c>
      <c r="OY3" s="24">
        <v>8</v>
      </c>
      <c r="OZ3" s="24">
        <v>9</v>
      </c>
      <c r="PA3" s="24">
        <v>10</v>
      </c>
      <c r="PB3" s="24">
        <v>11</v>
      </c>
      <c r="PC3" s="24">
        <v>12</v>
      </c>
      <c r="PD3" s="24">
        <v>13</v>
      </c>
      <c r="PE3" s="24">
        <v>14</v>
      </c>
      <c r="PF3" s="24">
        <v>8</v>
      </c>
      <c r="PG3" s="24">
        <v>3</v>
      </c>
      <c r="PH3" s="24">
        <v>4</v>
      </c>
      <c r="PI3" s="24">
        <v>3</v>
      </c>
      <c r="PJ3" s="24">
        <v>4</v>
      </c>
      <c r="PK3" s="24">
        <v>5</v>
      </c>
      <c r="PL3" s="24">
        <v>6</v>
      </c>
      <c r="PM3" s="24">
        <v>7</v>
      </c>
      <c r="PN3" s="24">
        <v>8</v>
      </c>
      <c r="PO3" s="24">
        <v>9</v>
      </c>
      <c r="PP3" s="24">
        <v>10</v>
      </c>
      <c r="PQ3" s="24">
        <v>11</v>
      </c>
      <c r="PR3" s="24">
        <v>12</v>
      </c>
      <c r="PS3" s="24">
        <v>9</v>
      </c>
      <c r="PT3" s="24">
        <v>10</v>
      </c>
      <c r="PU3" s="24">
        <v>11</v>
      </c>
      <c r="PV3" s="24">
        <v>12</v>
      </c>
      <c r="PW3" s="24">
        <v>13</v>
      </c>
      <c r="PX3" s="24">
        <v>14</v>
      </c>
      <c r="PY3" s="24">
        <v>10</v>
      </c>
      <c r="PZ3" s="24">
        <v>11</v>
      </c>
      <c r="QA3" s="24">
        <v>7</v>
      </c>
      <c r="QB3" s="24">
        <v>7</v>
      </c>
      <c r="QC3" s="24">
        <v>6</v>
      </c>
      <c r="QD3" s="24">
        <v>7</v>
      </c>
      <c r="QE3" s="24">
        <v>8</v>
      </c>
      <c r="QF3" s="24">
        <v>9</v>
      </c>
      <c r="QG3" s="24">
        <v>10</v>
      </c>
      <c r="QH3" s="24">
        <v>11</v>
      </c>
      <c r="QI3" s="24">
        <v>12</v>
      </c>
      <c r="QJ3" s="24">
        <v>13</v>
      </c>
      <c r="QK3" s="24">
        <v>10</v>
      </c>
      <c r="QL3" s="24">
        <v>11</v>
      </c>
      <c r="QM3" s="24">
        <v>7</v>
      </c>
      <c r="QN3" s="24">
        <v>8</v>
      </c>
      <c r="QO3" s="24">
        <v>9</v>
      </c>
      <c r="QP3" s="24">
        <v>10</v>
      </c>
      <c r="QQ3" s="24">
        <v>11</v>
      </c>
      <c r="QR3" s="24">
        <v>12</v>
      </c>
      <c r="QS3" s="24">
        <v>9</v>
      </c>
      <c r="QT3" s="24">
        <v>8</v>
      </c>
      <c r="QU3" s="24">
        <v>9</v>
      </c>
      <c r="QV3" s="24">
        <v>10</v>
      </c>
      <c r="QW3" s="24">
        <v>11</v>
      </c>
      <c r="QX3" s="24">
        <v>12</v>
      </c>
      <c r="QY3" s="24">
        <v>7</v>
      </c>
      <c r="QZ3" s="24">
        <v>6</v>
      </c>
      <c r="RA3" s="24">
        <v>7</v>
      </c>
      <c r="RB3" s="24">
        <v>5</v>
      </c>
      <c r="RC3" s="24">
        <v>6</v>
      </c>
      <c r="RD3" s="24">
        <v>7</v>
      </c>
      <c r="RE3" s="24">
        <v>8</v>
      </c>
      <c r="RF3" s="24">
        <v>4</v>
      </c>
      <c r="RG3" s="24">
        <v>5</v>
      </c>
      <c r="RH3" s="24">
        <v>5</v>
      </c>
      <c r="RI3" s="24">
        <v>6</v>
      </c>
      <c r="RJ3" s="24">
        <v>6</v>
      </c>
      <c r="RK3" s="24">
        <v>4</v>
      </c>
      <c r="RL3" s="24">
        <v>4</v>
      </c>
      <c r="RM3" s="24">
        <v>6</v>
      </c>
      <c r="RN3" s="24">
        <v>7</v>
      </c>
      <c r="RO3" s="24">
        <v>4</v>
      </c>
      <c r="RP3" s="24">
        <v>5</v>
      </c>
      <c r="RQ3" s="24">
        <v>6</v>
      </c>
      <c r="RR3" s="24">
        <v>7</v>
      </c>
      <c r="RS3" s="24">
        <v>7</v>
      </c>
      <c r="RT3" s="24">
        <v>8</v>
      </c>
      <c r="RU3" s="24">
        <v>9</v>
      </c>
      <c r="RV3" s="24">
        <v>10</v>
      </c>
      <c r="RW3" s="24">
        <v>6</v>
      </c>
      <c r="RX3" s="24">
        <v>7</v>
      </c>
      <c r="RY3" s="24">
        <v>5</v>
      </c>
      <c r="RZ3" s="24">
        <v>6</v>
      </c>
      <c r="SA3" s="24">
        <v>7</v>
      </c>
      <c r="SB3" s="24">
        <v>5</v>
      </c>
      <c r="SC3" s="24">
        <v>6</v>
      </c>
      <c r="SD3" s="24">
        <v>6</v>
      </c>
      <c r="SE3" s="24">
        <v>5</v>
      </c>
      <c r="SF3" s="24">
        <v>6</v>
      </c>
      <c r="SG3" s="24">
        <v>10</v>
      </c>
      <c r="SH3" s="24">
        <v>8</v>
      </c>
      <c r="SI3" s="24">
        <v>9</v>
      </c>
      <c r="SJ3" s="24">
        <v>10</v>
      </c>
      <c r="SK3" s="24">
        <v>7</v>
      </c>
      <c r="SL3" s="24">
        <v>8</v>
      </c>
      <c r="SM3" s="24">
        <v>9</v>
      </c>
      <c r="SN3" s="24">
        <v>6</v>
      </c>
      <c r="SO3" s="24">
        <v>6</v>
      </c>
      <c r="SP3" s="24">
        <v>7</v>
      </c>
      <c r="SQ3" s="24">
        <v>8</v>
      </c>
      <c r="SR3" s="24">
        <v>6</v>
      </c>
      <c r="SS3" s="24">
        <v>5</v>
      </c>
      <c r="ST3" s="24">
        <v>4</v>
      </c>
      <c r="SU3" s="24">
        <v>5</v>
      </c>
      <c r="SV3" s="24">
        <v>6</v>
      </c>
      <c r="SW3" s="24">
        <v>4</v>
      </c>
      <c r="SX3" s="24">
        <v>4</v>
      </c>
      <c r="SY3" s="24">
        <v>5</v>
      </c>
      <c r="SZ3" s="24">
        <v>4</v>
      </c>
      <c r="TA3" s="24">
        <v>5</v>
      </c>
      <c r="TB3" s="24">
        <v>5</v>
      </c>
      <c r="TC3" s="24">
        <v>6</v>
      </c>
      <c r="TD3" s="24">
        <v>7</v>
      </c>
      <c r="TE3" s="24">
        <v>8</v>
      </c>
      <c r="TF3" s="24">
        <v>9</v>
      </c>
      <c r="TG3" s="24">
        <v>5</v>
      </c>
      <c r="TH3" s="24">
        <v>6</v>
      </c>
      <c r="TI3" s="24">
        <v>6</v>
      </c>
      <c r="TJ3" s="24">
        <v>7</v>
      </c>
      <c r="TK3" s="24">
        <v>7</v>
      </c>
      <c r="TL3" s="24">
        <v>5</v>
      </c>
      <c r="TM3" s="24">
        <v>3</v>
      </c>
      <c r="TN3" s="24">
        <v>4</v>
      </c>
      <c r="TO3" s="24">
        <v>5</v>
      </c>
      <c r="TP3" s="24">
        <v>3</v>
      </c>
      <c r="TQ3" s="24">
        <v>4</v>
      </c>
      <c r="TR3" s="24">
        <v>4</v>
      </c>
      <c r="TS3" s="24">
        <v>5</v>
      </c>
      <c r="TT3" s="24">
        <v>3</v>
      </c>
      <c r="TU3" s="24">
        <v>4</v>
      </c>
      <c r="TV3" s="24">
        <v>5</v>
      </c>
      <c r="TW3" s="24">
        <v>6</v>
      </c>
      <c r="TX3" s="24">
        <v>6</v>
      </c>
      <c r="TY3" s="24">
        <v>6</v>
      </c>
      <c r="TZ3" s="24">
        <v>7</v>
      </c>
      <c r="UA3" s="24">
        <v>4</v>
      </c>
      <c r="UB3" s="24">
        <v>5</v>
      </c>
      <c r="UC3" s="24">
        <v>6</v>
      </c>
      <c r="UD3" s="24">
        <v>5</v>
      </c>
      <c r="UE3" s="24">
        <v>6</v>
      </c>
      <c r="UF3" s="24">
        <v>6</v>
      </c>
      <c r="UG3" s="24">
        <v>4</v>
      </c>
      <c r="UH3" s="24">
        <v>5</v>
      </c>
      <c r="UI3" s="24">
        <v>6</v>
      </c>
      <c r="UJ3" s="24">
        <v>4</v>
      </c>
      <c r="UK3" s="24">
        <v>4</v>
      </c>
      <c r="UL3" s="24">
        <v>4</v>
      </c>
      <c r="UM3" s="24">
        <v>5</v>
      </c>
      <c r="UN3" s="24">
        <v>6</v>
      </c>
      <c r="UO3" s="24">
        <v>4</v>
      </c>
      <c r="UP3" s="24">
        <v>4</v>
      </c>
      <c r="UQ3" s="24">
        <v>5</v>
      </c>
      <c r="UR3" s="24">
        <v>5</v>
      </c>
      <c r="US3" s="24">
        <v>6</v>
      </c>
      <c r="UT3" s="24">
        <v>7</v>
      </c>
      <c r="UU3" s="24">
        <v>8</v>
      </c>
      <c r="UV3" s="24">
        <v>9</v>
      </c>
      <c r="UW3" s="24">
        <v>4</v>
      </c>
      <c r="UX3" s="24">
        <v>5</v>
      </c>
      <c r="UY3" s="24">
        <v>4</v>
      </c>
      <c r="UZ3" s="24">
        <v>5</v>
      </c>
      <c r="VA3" s="24">
        <v>4</v>
      </c>
      <c r="VB3" s="24">
        <v>5</v>
      </c>
      <c r="VC3" s="24">
        <v>5</v>
      </c>
      <c r="VD3" s="24">
        <v>6</v>
      </c>
      <c r="VE3" s="24">
        <v>4</v>
      </c>
      <c r="VF3" s="24">
        <v>5</v>
      </c>
      <c r="VG3" s="24">
        <v>5</v>
      </c>
      <c r="VH3" s="24">
        <v>4</v>
      </c>
      <c r="VI3" s="24">
        <v>5</v>
      </c>
      <c r="VJ3" s="24">
        <v>6</v>
      </c>
      <c r="VK3" s="24">
        <v>7</v>
      </c>
      <c r="VL3" s="24">
        <v>6</v>
      </c>
      <c r="VM3" s="24">
        <v>7</v>
      </c>
      <c r="VN3" s="24">
        <v>5</v>
      </c>
      <c r="VO3" s="24">
        <v>4</v>
      </c>
      <c r="VP3" s="24">
        <v>3</v>
      </c>
      <c r="VQ3" s="24">
        <v>4</v>
      </c>
      <c r="VR3" s="24">
        <v>5</v>
      </c>
      <c r="VS3" s="24">
        <v>6</v>
      </c>
      <c r="VT3" s="24">
        <v>7</v>
      </c>
      <c r="VU3" s="24">
        <v>6</v>
      </c>
      <c r="VV3" s="24">
        <v>7</v>
      </c>
      <c r="VW3" s="24">
        <v>5</v>
      </c>
      <c r="VX3" s="24">
        <v>4</v>
      </c>
      <c r="VY3" s="24">
        <v>5</v>
      </c>
      <c r="VZ3" s="24">
        <v>4</v>
      </c>
      <c r="WA3" s="24">
        <v>5</v>
      </c>
      <c r="WB3" s="24">
        <v>6</v>
      </c>
      <c r="WC3" s="24">
        <v>4</v>
      </c>
      <c r="WD3" s="24">
        <v>3</v>
      </c>
      <c r="WE3" s="24">
        <v>4</v>
      </c>
      <c r="WF3" s="24">
        <v>5</v>
      </c>
      <c r="WG3" s="24">
        <v>6</v>
      </c>
      <c r="WH3" s="24">
        <v>5</v>
      </c>
      <c r="WI3" s="24">
        <v>4</v>
      </c>
      <c r="WJ3" s="24">
        <v>5</v>
      </c>
      <c r="WK3" s="24">
        <v>6</v>
      </c>
      <c r="WL3" s="24">
        <v>7</v>
      </c>
      <c r="WM3" s="24">
        <v>8</v>
      </c>
      <c r="WN3" s="24">
        <v>9</v>
      </c>
      <c r="WO3" s="24">
        <v>10</v>
      </c>
      <c r="WP3" s="24">
        <v>4</v>
      </c>
      <c r="WQ3" s="24">
        <v>4</v>
      </c>
      <c r="WR3" s="24">
        <v>5</v>
      </c>
      <c r="WS3" s="24">
        <v>6</v>
      </c>
      <c r="WT3" s="24">
        <v>7</v>
      </c>
      <c r="WU3" s="24">
        <v>8</v>
      </c>
      <c r="WV3" s="24">
        <v>9</v>
      </c>
      <c r="WW3" s="24">
        <v>3</v>
      </c>
      <c r="WX3" s="24">
        <v>4</v>
      </c>
      <c r="WY3" s="13">
        <v>4</v>
      </c>
      <c r="WZ3" s="13">
        <v>5</v>
      </c>
      <c r="XA3" s="13">
        <v>5</v>
      </c>
      <c r="XB3" s="13">
        <v>5</v>
      </c>
      <c r="XC3" s="13">
        <v>3</v>
      </c>
      <c r="XD3" s="13">
        <v>4</v>
      </c>
      <c r="XE3" s="13">
        <v>5</v>
      </c>
      <c r="XF3" s="13">
        <v>4</v>
      </c>
      <c r="XG3" s="13">
        <v>5</v>
      </c>
      <c r="XH3" s="13">
        <v>6</v>
      </c>
      <c r="XI3" s="13">
        <v>4</v>
      </c>
      <c r="XJ3" s="13">
        <v>5</v>
      </c>
      <c r="XK3" s="13">
        <v>5</v>
      </c>
      <c r="XL3" s="13">
        <v>6</v>
      </c>
      <c r="XM3" s="13">
        <v>6</v>
      </c>
      <c r="XN3" s="13">
        <v>7</v>
      </c>
      <c r="XO3" s="13">
        <v>4</v>
      </c>
      <c r="XP3" s="13">
        <v>5</v>
      </c>
      <c r="XQ3" s="13">
        <v>6</v>
      </c>
      <c r="XR3" s="13">
        <v>7</v>
      </c>
      <c r="XS3" s="13">
        <v>8</v>
      </c>
      <c r="XT3" s="13">
        <v>9</v>
      </c>
      <c r="XU3" s="13">
        <v>3</v>
      </c>
      <c r="XV3" s="13">
        <v>4</v>
      </c>
      <c r="XW3" s="13">
        <v>4</v>
      </c>
      <c r="XX3" s="13">
        <v>10</v>
      </c>
      <c r="XY3" s="13">
        <v>11</v>
      </c>
      <c r="XZ3" s="13">
        <v>3</v>
      </c>
      <c r="YA3" s="13">
        <v>4</v>
      </c>
      <c r="YB3" s="13">
        <v>4</v>
      </c>
      <c r="YC3" s="24">
        <v>4</v>
      </c>
      <c r="YD3" s="24">
        <v>4</v>
      </c>
      <c r="YE3" s="24">
        <v>12</v>
      </c>
      <c r="YF3" s="24">
        <v>13</v>
      </c>
      <c r="YG3" s="24">
        <v>14</v>
      </c>
      <c r="YH3" s="24">
        <v>15</v>
      </c>
      <c r="YI3" s="24">
        <v>4</v>
      </c>
      <c r="YJ3" s="24">
        <v>5</v>
      </c>
      <c r="YK3" s="24">
        <v>5</v>
      </c>
      <c r="YL3" s="24">
        <v>6</v>
      </c>
      <c r="YM3" s="24">
        <v>7</v>
      </c>
      <c r="YN3" s="24">
        <v>4</v>
      </c>
      <c r="YO3" s="24">
        <v>3</v>
      </c>
      <c r="YP3" s="24">
        <v>4</v>
      </c>
      <c r="YQ3" s="24">
        <v>4</v>
      </c>
      <c r="YR3" s="24">
        <v>3</v>
      </c>
      <c r="YS3" s="24">
        <v>3</v>
      </c>
      <c r="YT3" s="24">
        <v>4</v>
      </c>
      <c r="YU3" s="24">
        <v>5</v>
      </c>
      <c r="YV3" s="24">
        <v>3</v>
      </c>
      <c r="YW3" s="24">
        <v>7</v>
      </c>
      <c r="YX3" s="24">
        <v>8</v>
      </c>
      <c r="YY3" s="24">
        <v>5</v>
      </c>
      <c r="YZ3" s="24">
        <v>6</v>
      </c>
      <c r="ZA3" s="24">
        <v>7</v>
      </c>
      <c r="ZB3" s="24">
        <v>6</v>
      </c>
      <c r="ZC3" s="24">
        <v>7</v>
      </c>
      <c r="ZD3" s="24">
        <v>8</v>
      </c>
      <c r="ZE3" s="24">
        <v>5</v>
      </c>
      <c r="ZF3" s="24">
        <v>6</v>
      </c>
      <c r="ZG3" s="24">
        <v>7</v>
      </c>
      <c r="ZH3" s="24">
        <v>8</v>
      </c>
      <c r="ZI3" s="24">
        <v>9</v>
      </c>
      <c r="ZJ3" s="24">
        <v>5</v>
      </c>
      <c r="ZK3" s="24">
        <v>6</v>
      </c>
      <c r="ZL3" s="24">
        <v>7</v>
      </c>
      <c r="ZM3" s="13">
        <v>6</v>
      </c>
      <c r="ZN3" s="13">
        <v>7</v>
      </c>
      <c r="ZO3" s="13">
        <v>8</v>
      </c>
      <c r="ZP3" s="13">
        <v>6</v>
      </c>
      <c r="ZQ3" s="13">
        <v>6</v>
      </c>
      <c r="ZR3" s="13">
        <v>7</v>
      </c>
      <c r="ZS3" s="13">
        <v>6</v>
      </c>
      <c r="ZT3" s="24">
        <v>7</v>
      </c>
      <c r="ZU3" s="24">
        <v>5</v>
      </c>
      <c r="ZV3" s="24">
        <v>5</v>
      </c>
      <c r="ZW3" s="24">
        <v>4</v>
      </c>
      <c r="ZX3" s="24">
        <v>5</v>
      </c>
      <c r="ZY3" s="24">
        <v>6</v>
      </c>
      <c r="ZZ3" s="24">
        <v>7</v>
      </c>
      <c r="AAA3" s="24">
        <v>6</v>
      </c>
      <c r="AAB3" s="24">
        <v>4</v>
      </c>
      <c r="AAC3" s="24">
        <v>4</v>
      </c>
      <c r="AAD3" s="24">
        <v>5</v>
      </c>
      <c r="AAE3" s="24">
        <v>6</v>
      </c>
      <c r="AAF3" s="24">
        <v>6</v>
      </c>
      <c r="AAG3" s="24">
        <v>5</v>
      </c>
      <c r="AAH3" s="24">
        <v>5</v>
      </c>
      <c r="AAI3" s="24">
        <v>5</v>
      </c>
      <c r="AAJ3" s="24">
        <v>4</v>
      </c>
      <c r="AAK3" s="24">
        <v>5</v>
      </c>
      <c r="AAL3" s="24">
        <v>6</v>
      </c>
      <c r="AAM3" s="24">
        <v>6</v>
      </c>
      <c r="AAN3" s="24">
        <v>7</v>
      </c>
      <c r="AAO3" s="24">
        <v>8</v>
      </c>
      <c r="AAP3" s="24">
        <v>9</v>
      </c>
      <c r="AAQ3" s="24">
        <v>10</v>
      </c>
      <c r="AAR3" s="24">
        <v>11</v>
      </c>
      <c r="AAS3" s="24">
        <v>12</v>
      </c>
      <c r="AAT3" s="24">
        <v>10</v>
      </c>
      <c r="AAU3" s="24">
        <v>6</v>
      </c>
      <c r="AAV3" s="24">
        <v>7</v>
      </c>
      <c r="AAW3" s="24">
        <v>13</v>
      </c>
      <c r="AAX3" s="24">
        <v>14</v>
      </c>
      <c r="AAY3" s="24">
        <v>10</v>
      </c>
      <c r="AAZ3" s="24">
        <v>11</v>
      </c>
      <c r="ABA3" s="24">
        <v>12</v>
      </c>
      <c r="ABB3" s="24">
        <v>13</v>
      </c>
      <c r="ABC3" s="24">
        <v>5</v>
      </c>
      <c r="ABD3" s="24">
        <v>4</v>
      </c>
      <c r="ABE3" s="24">
        <v>5</v>
      </c>
      <c r="ABF3" s="24">
        <v>14</v>
      </c>
      <c r="ABG3" s="24">
        <v>15</v>
      </c>
      <c r="ABH3" s="24">
        <v>16</v>
      </c>
      <c r="ABI3" s="24">
        <v>17</v>
      </c>
      <c r="ABJ3" s="24">
        <v>18</v>
      </c>
      <c r="ABK3" s="24">
        <v>5</v>
      </c>
      <c r="ABL3" s="24">
        <v>6</v>
      </c>
      <c r="ABM3" s="24">
        <v>7</v>
      </c>
      <c r="ABN3" s="24">
        <v>8</v>
      </c>
      <c r="ABO3" s="24">
        <v>5</v>
      </c>
      <c r="ABP3" s="24">
        <v>3</v>
      </c>
      <c r="ABQ3" s="24">
        <v>4</v>
      </c>
      <c r="ABR3" s="24">
        <v>4</v>
      </c>
      <c r="ABS3" s="24">
        <v>4</v>
      </c>
      <c r="ABT3" s="24">
        <v>4</v>
      </c>
      <c r="ABU3" s="24">
        <v>5</v>
      </c>
      <c r="ABV3" s="24">
        <v>3</v>
      </c>
      <c r="ABW3" s="24">
        <v>4</v>
      </c>
      <c r="ABX3" s="24">
        <v>4</v>
      </c>
      <c r="ABY3" s="24">
        <v>5</v>
      </c>
      <c r="ABZ3" s="24">
        <v>4</v>
      </c>
      <c r="ACA3" s="24">
        <v>5</v>
      </c>
      <c r="ACB3" s="24">
        <v>6</v>
      </c>
      <c r="ACC3" s="24">
        <v>7</v>
      </c>
      <c r="ACD3" s="24">
        <v>3</v>
      </c>
      <c r="ACE3" s="24">
        <v>3</v>
      </c>
      <c r="ACF3" s="24">
        <v>4</v>
      </c>
      <c r="ACG3" s="24">
        <v>2</v>
      </c>
      <c r="ACH3" s="24">
        <v>3</v>
      </c>
      <c r="ACI3" s="24">
        <v>4</v>
      </c>
      <c r="ACJ3" s="24">
        <v>5</v>
      </c>
      <c r="ACK3" s="24">
        <v>4</v>
      </c>
      <c r="ACL3" s="24">
        <v>4</v>
      </c>
      <c r="ACM3" s="24">
        <v>5</v>
      </c>
      <c r="ACN3" s="24">
        <v>3</v>
      </c>
      <c r="ACO3" s="24">
        <v>4</v>
      </c>
      <c r="ACP3" s="24">
        <v>5</v>
      </c>
      <c r="ACQ3" s="24">
        <v>4</v>
      </c>
      <c r="ACR3" s="24">
        <v>5</v>
      </c>
      <c r="ACS3" s="24">
        <v>6</v>
      </c>
      <c r="ACT3" s="24">
        <v>7</v>
      </c>
      <c r="ACU3" s="24">
        <v>8</v>
      </c>
      <c r="ACV3" s="24">
        <v>3</v>
      </c>
      <c r="ACW3" s="24">
        <v>4</v>
      </c>
      <c r="ACX3" s="24">
        <v>5</v>
      </c>
      <c r="ACY3" s="24">
        <v>4</v>
      </c>
      <c r="ACZ3" s="24">
        <v>4</v>
      </c>
      <c r="ADA3" s="24">
        <v>5</v>
      </c>
      <c r="ADB3" s="24">
        <v>6</v>
      </c>
      <c r="ADC3" s="24">
        <v>7</v>
      </c>
      <c r="ADD3" s="24">
        <v>4</v>
      </c>
      <c r="ADE3" s="24">
        <v>5</v>
      </c>
      <c r="ADF3" s="24">
        <v>4</v>
      </c>
      <c r="ADG3" s="24">
        <v>5</v>
      </c>
      <c r="ADH3" s="24">
        <v>6</v>
      </c>
      <c r="ADI3" s="24">
        <v>5</v>
      </c>
      <c r="ADJ3" s="24">
        <v>6</v>
      </c>
      <c r="ADK3" s="24">
        <v>7</v>
      </c>
      <c r="ADL3" s="24">
        <v>6</v>
      </c>
      <c r="ADM3" s="24">
        <v>4</v>
      </c>
      <c r="ADN3" s="24">
        <v>4</v>
      </c>
      <c r="ADO3" s="24">
        <v>5</v>
      </c>
      <c r="ADP3" s="24">
        <v>3</v>
      </c>
      <c r="ADQ3" s="24">
        <v>4</v>
      </c>
      <c r="ADR3" s="24">
        <v>5</v>
      </c>
      <c r="ADS3" s="24">
        <v>3</v>
      </c>
      <c r="ADT3" s="24">
        <v>4</v>
      </c>
      <c r="ADU3" s="24">
        <v>4</v>
      </c>
      <c r="ADV3" s="24">
        <v>5</v>
      </c>
      <c r="ADW3" s="24">
        <v>4</v>
      </c>
    </row>
    <row r="4" spans="1:803" x14ac:dyDescent="0.3">
      <c r="A4" s="24" t="s">
        <v>305</v>
      </c>
      <c r="B4" s="24">
        <v>4</v>
      </c>
      <c r="C4" s="24">
        <v>3</v>
      </c>
      <c r="D4" s="24">
        <v>4</v>
      </c>
      <c r="E4" s="24">
        <v>3</v>
      </c>
      <c r="F4" s="24">
        <v>3</v>
      </c>
      <c r="G4" s="24">
        <v>3</v>
      </c>
      <c r="H4" s="24">
        <v>4</v>
      </c>
      <c r="I4" s="24">
        <v>3</v>
      </c>
      <c r="J4" s="24">
        <v>2</v>
      </c>
      <c r="K4" s="24">
        <v>3</v>
      </c>
      <c r="L4" s="24">
        <v>2</v>
      </c>
      <c r="M4" s="24">
        <v>3</v>
      </c>
      <c r="N4" s="24">
        <v>4</v>
      </c>
      <c r="O4" s="24">
        <v>5</v>
      </c>
      <c r="P4" s="24">
        <v>4</v>
      </c>
      <c r="Q4" s="24">
        <v>5</v>
      </c>
      <c r="R4" s="24">
        <v>5</v>
      </c>
      <c r="S4" s="24">
        <v>4</v>
      </c>
      <c r="T4" s="24">
        <v>4</v>
      </c>
      <c r="U4" s="24">
        <v>5</v>
      </c>
      <c r="V4" s="24">
        <v>1</v>
      </c>
      <c r="W4" s="24">
        <v>2</v>
      </c>
      <c r="X4" s="24">
        <v>3</v>
      </c>
      <c r="Y4" s="24">
        <v>2</v>
      </c>
      <c r="Z4" s="24">
        <v>3</v>
      </c>
      <c r="AA4" s="24">
        <v>4</v>
      </c>
      <c r="AB4" s="24">
        <v>5</v>
      </c>
      <c r="AC4" s="24">
        <v>5</v>
      </c>
      <c r="AD4" s="24">
        <v>4</v>
      </c>
      <c r="AE4" s="24">
        <v>1</v>
      </c>
      <c r="AF4" s="24">
        <v>2</v>
      </c>
      <c r="AG4" s="24">
        <v>4</v>
      </c>
      <c r="AH4" s="24">
        <v>4</v>
      </c>
      <c r="AI4" s="24">
        <v>2</v>
      </c>
      <c r="AJ4" s="24">
        <v>2</v>
      </c>
      <c r="AK4" s="24">
        <v>3</v>
      </c>
      <c r="AL4" s="24">
        <v>3</v>
      </c>
      <c r="AM4" s="24">
        <v>3</v>
      </c>
      <c r="AN4" s="24">
        <v>4</v>
      </c>
      <c r="AO4" s="24">
        <v>3</v>
      </c>
      <c r="AP4" s="24">
        <v>4</v>
      </c>
      <c r="AQ4" s="24">
        <v>3</v>
      </c>
      <c r="AR4" s="24">
        <v>4</v>
      </c>
      <c r="AS4" s="24">
        <v>4</v>
      </c>
      <c r="AT4" s="24">
        <v>5</v>
      </c>
      <c r="AU4" s="24">
        <v>2</v>
      </c>
      <c r="AV4" s="24">
        <v>3</v>
      </c>
      <c r="AW4" s="24">
        <v>2</v>
      </c>
      <c r="AX4" s="24">
        <v>2</v>
      </c>
      <c r="AY4" s="24">
        <v>3</v>
      </c>
      <c r="AZ4" s="24">
        <v>1</v>
      </c>
      <c r="BA4" s="24">
        <v>2</v>
      </c>
      <c r="BB4" s="24">
        <v>3</v>
      </c>
      <c r="BC4" s="24">
        <v>4</v>
      </c>
      <c r="BD4" s="24">
        <v>2</v>
      </c>
      <c r="BE4" s="24">
        <v>3</v>
      </c>
      <c r="BF4" s="24">
        <v>3</v>
      </c>
      <c r="BG4" s="24">
        <v>2</v>
      </c>
      <c r="BH4" s="24">
        <v>1</v>
      </c>
      <c r="BI4" s="24">
        <v>2</v>
      </c>
      <c r="BJ4" s="24">
        <v>3</v>
      </c>
      <c r="BK4" s="24">
        <v>4</v>
      </c>
      <c r="BL4" s="24">
        <v>4</v>
      </c>
      <c r="BM4" s="24">
        <v>2</v>
      </c>
      <c r="BN4" s="24">
        <v>1</v>
      </c>
      <c r="BO4" s="24">
        <v>1</v>
      </c>
      <c r="BP4" s="24">
        <v>2</v>
      </c>
      <c r="BQ4" s="24">
        <v>1</v>
      </c>
      <c r="BR4" s="24">
        <v>2</v>
      </c>
      <c r="BS4" s="24">
        <v>1</v>
      </c>
      <c r="BT4" s="24">
        <v>2</v>
      </c>
      <c r="BU4" s="24">
        <v>1</v>
      </c>
      <c r="BV4" s="24">
        <v>1</v>
      </c>
      <c r="BW4" s="24">
        <v>2</v>
      </c>
      <c r="BX4" s="24">
        <v>3</v>
      </c>
      <c r="BY4" s="24">
        <v>4</v>
      </c>
      <c r="BZ4" s="24">
        <v>2</v>
      </c>
      <c r="CA4" s="24">
        <v>2</v>
      </c>
      <c r="CB4" s="24">
        <v>2</v>
      </c>
      <c r="CC4" s="24">
        <v>1</v>
      </c>
      <c r="CD4" s="24">
        <v>2</v>
      </c>
      <c r="CE4" s="24">
        <v>2</v>
      </c>
      <c r="CF4" s="24">
        <v>2</v>
      </c>
      <c r="CG4" s="24">
        <v>2</v>
      </c>
      <c r="CH4" s="24">
        <v>3</v>
      </c>
      <c r="CI4" s="24">
        <v>4</v>
      </c>
      <c r="CJ4" s="24">
        <v>5</v>
      </c>
      <c r="CK4" s="24">
        <v>4</v>
      </c>
      <c r="CL4" s="24">
        <v>5</v>
      </c>
      <c r="CM4" s="24">
        <v>6</v>
      </c>
      <c r="CN4" s="24">
        <v>6</v>
      </c>
      <c r="CO4" s="24">
        <v>4</v>
      </c>
      <c r="CP4" s="24">
        <v>4</v>
      </c>
      <c r="CQ4" s="24">
        <v>3</v>
      </c>
      <c r="CR4" s="24">
        <v>2</v>
      </c>
      <c r="CS4" s="24">
        <v>3</v>
      </c>
      <c r="CT4" s="24">
        <v>3</v>
      </c>
      <c r="CU4" s="24">
        <v>3</v>
      </c>
      <c r="CV4" s="24">
        <v>3</v>
      </c>
      <c r="CW4" s="24">
        <v>4</v>
      </c>
      <c r="CX4" s="24">
        <v>5</v>
      </c>
      <c r="CY4" s="24">
        <v>3</v>
      </c>
      <c r="CZ4" s="24">
        <v>3</v>
      </c>
      <c r="DA4" s="24">
        <v>3</v>
      </c>
      <c r="DB4" s="24">
        <v>2</v>
      </c>
      <c r="DC4" s="24">
        <v>2</v>
      </c>
      <c r="DD4" s="24">
        <v>2</v>
      </c>
      <c r="DE4" s="24">
        <v>2</v>
      </c>
      <c r="DF4" s="24">
        <v>3</v>
      </c>
      <c r="DG4" s="24">
        <v>4</v>
      </c>
      <c r="DH4" s="24">
        <v>4</v>
      </c>
      <c r="DI4" s="24">
        <v>5</v>
      </c>
      <c r="DJ4" s="24">
        <v>5</v>
      </c>
      <c r="DK4" s="24">
        <v>4</v>
      </c>
      <c r="DL4" s="24">
        <v>3</v>
      </c>
      <c r="DM4" s="24">
        <v>4</v>
      </c>
      <c r="DN4" s="24">
        <v>4</v>
      </c>
      <c r="DO4" s="24">
        <v>2</v>
      </c>
      <c r="DP4" s="24">
        <v>3</v>
      </c>
      <c r="DQ4" s="24">
        <v>4</v>
      </c>
      <c r="DR4" s="24">
        <v>4</v>
      </c>
      <c r="DS4" s="24">
        <v>4</v>
      </c>
      <c r="DT4" s="24">
        <v>2</v>
      </c>
      <c r="DU4" s="24">
        <v>2</v>
      </c>
      <c r="DV4" s="24">
        <v>2</v>
      </c>
      <c r="DW4" s="24">
        <v>1</v>
      </c>
      <c r="DX4" s="24">
        <v>2</v>
      </c>
      <c r="DY4" s="24">
        <v>3</v>
      </c>
      <c r="DZ4" s="24">
        <v>1</v>
      </c>
      <c r="EA4" s="24">
        <v>2</v>
      </c>
      <c r="EB4" s="24">
        <v>3</v>
      </c>
      <c r="EC4" s="24">
        <v>2</v>
      </c>
      <c r="ED4" s="24">
        <v>2</v>
      </c>
      <c r="EE4" s="24">
        <v>3</v>
      </c>
      <c r="EF4" s="24">
        <v>3</v>
      </c>
      <c r="EG4" s="24">
        <v>1</v>
      </c>
      <c r="EH4" s="24">
        <v>2</v>
      </c>
      <c r="EI4" s="24">
        <v>2</v>
      </c>
      <c r="EJ4" s="24">
        <v>2</v>
      </c>
      <c r="EK4" s="24">
        <v>2</v>
      </c>
      <c r="EL4" s="24">
        <v>3</v>
      </c>
      <c r="EM4" s="24">
        <v>3</v>
      </c>
      <c r="EN4" s="24">
        <v>2</v>
      </c>
      <c r="EO4" s="24">
        <v>1</v>
      </c>
      <c r="EP4" s="24">
        <v>2</v>
      </c>
      <c r="EQ4" s="24">
        <v>3</v>
      </c>
      <c r="ER4" s="24">
        <v>6</v>
      </c>
      <c r="ES4" s="24">
        <v>5</v>
      </c>
      <c r="ET4" s="24">
        <v>3</v>
      </c>
      <c r="EU4" s="24">
        <v>3</v>
      </c>
      <c r="EV4" s="24">
        <v>3</v>
      </c>
      <c r="EW4" s="24">
        <v>4</v>
      </c>
      <c r="EX4" s="24">
        <v>2</v>
      </c>
      <c r="EY4" s="24">
        <v>3</v>
      </c>
      <c r="EZ4" s="24">
        <v>2</v>
      </c>
      <c r="FA4" s="24">
        <v>2</v>
      </c>
      <c r="FB4" s="24">
        <v>3</v>
      </c>
      <c r="FC4" s="24">
        <v>4</v>
      </c>
      <c r="FD4" s="24">
        <v>5</v>
      </c>
      <c r="FE4" s="24">
        <v>5</v>
      </c>
      <c r="FF4" s="24">
        <v>6</v>
      </c>
      <c r="FG4" s="24">
        <v>2</v>
      </c>
      <c r="FH4" s="24">
        <v>3</v>
      </c>
      <c r="FI4" s="24">
        <v>2</v>
      </c>
      <c r="FJ4" s="24">
        <v>2</v>
      </c>
      <c r="FK4" s="24">
        <v>3</v>
      </c>
      <c r="FL4" s="24">
        <v>4</v>
      </c>
      <c r="FM4" s="24">
        <v>5</v>
      </c>
      <c r="FN4" s="24">
        <v>2</v>
      </c>
      <c r="FO4" s="24">
        <v>2</v>
      </c>
      <c r="FP4" s="24">
        <v>2</v>
      </c>
      <c r="FQ4" s="24">
        <v>2</v>
      </c>
      <c r="FR4" s="24">
        <v>2</v>
      </c>
      <c r="FS4" s="24">
        <v>3</v>
      </c>
      <c r="FT4" s="24">
        <v>4</v>
      </c>
      <c r="FU4" s="24">
        <v>4</v>
      </c>
      <c r="FV4" s="24">
        <v>3</v>
      </c>
      <c r="FW4" s="24">
        <v>4</v>
      </c>
      <c r="FX4" s="24">
        <v>3</v>
      </c>
      <c r="FY4" s="24">
        <v>3</v>
      </c>
      <c r="FZ4" s="24">
        <v>4</v>
      </c>
      <c r="GA4" s="24">
        <v>5</v>
      </c>
      <c r="GB4" s="24">
        <v>6</v>
      </c>
      <c r="GC4" s="24">
        <v>7</v>
      </c>
      <c r="GD4" s="24">
        <v>8</v>
      </c>
      <c r="GE4" s="24">
        <v>4</v>
      </c>
      <c r="GF4" s="24">
        <v>5</v>
      </c>
      <c r="GG4" s="24">
        <v>6</v>
      </c>
      <c r="GH4" s="24">
        <v>7</v>
      </c>
      <c r="GI4" s="24">
        <v>8</v>
      </c>
      <c r="GJ4" s="24">
        <v>6</v>
      </c>
      <c r="GK4" s="24">
        <v>6</v>
      </c>
      <c r="GL4" s="24">
        <v>7</v>
      </c>
      <c r="GM4" s="24">
        <v>5</v>
      </c>
      <c r="GN4" s="24">
        <v>6</v>
      </c>
      <c r="GO4" s="24">
        <v>7</v>
      </c>
      <c r="GP4" s="24">
        <v>5</v>
      </c>
      <c r="GQ4" s="24">
        <v>4</v>
      </c>
      <c r="GR4" s="24">
        <v>5</v>
      </c>
      <c r="GS4" s="24">
        <v>5</v>
      </c>
      <c r="GT4" s="24">
        <v>4</v>
      </c>
      <c r="GU4" s="24">
        <v>4</v>
      </c>
      <c r="GV4" s="24">
        <v>4</v>
      </c>
      <c r="GW4" s="24">
        <v>4</v>
      </c>
      <c r="GX4" s="24">
        <v>4</v>
      </c>
      <c r="GY4" s="24">
        <v>4</v>
      </c>
      <c r="GZ4" s="24">
        <v>5</v>
      </c>
      <c r="HA4" s="24">
        <v>5</v>
      </c>
      <c r="HB4" s="24">
        <v>4</v>
      </c>
      <c r="HC4" s="24">
        <v>5</v>
      </c>
      <c r="HD4" s="24">
        <v>4</v>
      </c>
      <c r="HE4" s="24">
        <v>3</v>
      </c>
      <c r="HF4" s="24">
        <v>4</v>
      </c>
      <c r="HG4" s="24">
        <v>3</v>
      </c>
      <c r="HH4" s="24">
        <v>4</v>
      </c>
      <c r="HI4" s="24">
        <v>5</v>
      </c>
      <c r="HJ4" s="24">
        <v>6</v>
      </c>
      <c r="HK4" s="24">
        <v>7</v>
      </c>
      <c r="HL4" s="24">
        <v>8</v>
      </c>
      <c r="HM4" s="24">
        <v>5</v>
      </c>
      <c r="HN4" s="24">
        <v>5</v>
      </c>
      <c r="HO4" s="24">
        <v>2</v>
      </c>
      <c r="HP4" s="24">
        <v>3</v>
      </c>
      <c r="HQ4" s="24">
        <v>4</v>
      </c>
      <c r="HR4" s="24">
        <v>5</v>
      </c>
      <c r="HS4" s="24">
        <v>4</v>
      </c>
      <c r="HT4" s="24">
        <v>4</v>
      </c>
      <c r="HU4" s="24">
        <v>2</v>
      </c>
      <c r="HV4" s="24">
        <v>3</v>
      </c>
      <c r="HW4" s="24">
        <v>3</v>
      </c>
      <c r="HX4" s="24">
        <v>4</v>
      </c>
      <c r="HY4" s="24">
        <v>3</v>
      </c>
      <c r="HZ4" s="24">
        <v>3</v>
      </c>
      <c r="IA4" s="24">
        <v>4</v>
      </c>
      <c r="IB4" s="24">
        <v>5</v>
      </c>
      <c r="IC4" s="24">
        <v>6</v>
      </c>
      <c r="ID4" s="24">
        <v>7</v>
      </c>
      <c r="IE4" s="24">
        <v>6</v>
      </c>
      <c r="IF4" s="24">
        <v>4</v>
      </c>
      <c r="IG4" s="24">
        <v>3</v>
      </c>
      <c r="IH4" s="24">
        <v>3</v>
      </c>
      <c r="II4" s="24">
        <v>4</v>
      </c>
      <c r="IJ4" s="24">
        <v>5</v>
      </c>
      <c r="IK4" s="24">
        <v>4</v>
      </c>
      <c r="IL4" s="24">
        <v>3</v>
      </c>
      <c r="IM4" s="24">
        <v>3</v>
      </c>
      <c r="IN4" s="24">
        <v>3</v>
      </c>
      <c r="IO4" s="24">
        <v>4</v>
      </c>
      <c r="IP4" s="24">
        <v>3</v>
      </c>
      <c r="IQ4" s="24">
        <v>4</v>
      </c>
      <c r="IR4" s="24">
        <v>4</v>
      </c>
      <c r="IS4" s="24">
        <v>5</v>
      </c>
      <c r="IT4" s="24">
        <v>6</v>
      </c>
      <c r="IU4" s="24">
        <v>6</v>
      </c>
      <c r="IV4" s="24">
        <v>3</v>
      </c>
      <c r="IW4" s="24">
        <v>4</v>
      </c>
      <c r="IX4" s="24">
        <v>4</v>
      </c>
      <c r="IY4" s="24">
        <v>5</v>
      </c>
      <c r="IZ4" s="24">
        <v>3</v>
      </c>
      <c r="JA4" s="24">
        <v>3</v>
      </c>
      <c r="JB4" s="24">
        <v>3</v>
      </c>
      <c r="JC4" s="24">
        <v>3</v>
      </c>
      <c r="JD4" s="24">
        <v>4</v>
      </c>
      <c r="JE4" s="24">
        <v>3</v>
      </c>
      <c r="JF4" s="24">
        <v>4</v>
      </c>
      <c r="JG4" s="24">
        <v>4</v>
      </c>
      <c r="JH4" s="24">
        <v>4</v>
      </c>
      <c r="JI4" s="24">
        <v>5</v>
      </c>
      <c r="JJ4" s="24">
        <v>6</v>
      </c>
      <c r="JK4" s="24">
        <v>7</v>
      </c>
      <c r="JL4" s="24">
        <v>8</v>
      </c>
      <c r="JM4" s="24">
        <v>8</v>
      </c>
      <c r="JN4" s="24">
        <v>7</v>
      </c>
      <c r="JO4" s="24">
        <v>5</v>
      </c>
      <c r="JP4" s="24">
        <v>4</v>
      </c>
      <c r="JQ4" s="24">
        <v>4</v>
      </c>
      <c r="JR4" s="24">
        <v>5</v>
      </c>
      <c r="JS4" s="24">
        <v>6</v>
      </c>
      <c r="JT4" s="24">
        <v>4</v>
      </c>
      <c r="JU4" s="24">
        <v>3</v>
      </c>
      <c r="JV4" s="24">
        <v>4</v>
      </c>
      <c r="JW4" s="24">
        <v>4</v>
      </c>
      <c r="JX4" s="24">
        <v>4</v>
      </c>
      <c r="JY4" s="24">
        <v>5</v>
      </c>
      <c r="JZ4" s="24">
        <v>5</v>
      </c>
      <c r="KA4" s="24">
        <v>5</v>
      </c>
      <c r="KB4" s="24">
        <v>6</v>
      </c>
      <c r="KC4" s="24">
        <v>7</v>
      </c>
      <c r="KD4" s="24">
        <v>8</v>
      </c>
      <c r="KE4" s="24">
        <v>5</v>
      </c>
      <c r="KF4" s="24">
        <v>4</v>
      </c>
      <c r="KG4" s="24">
        <v>4</v>
      </c>
      <c r="KH4" s="24">
        <v>5</v>
      </c>
      <c r="KI4" s="24">
        <v>6</v>
      </c>
      <c r="KJ4" s="24">
        <v>4</v>
      </c>
      <c r="KK4" s="24">
        <v>5</v>
      </c>
      <c r="KL4" s="24">
        <v>6</v>
      </c>
      <c r="KM4" s="24">
        <v>5</v>
      </c>
      <c r="KN4" s="24">
        <v>3</v>
      </c>
      <c r="KO4" s="24">
        <v>4</v>
      </c>
      <c r="KP4" s="24">
        <v>5</v>
      </c>
      <c r="KQ4" s="24">
        <v>4</v>
      </c>
      <c r="KR4" s="24">
        <v>3</v>
      </c>
      <c r="KS4" s="24">
        <v>2</v>
      </c>
      <c r="KT4" s="24">
        <v>2</v>
      </c>
      <c r="KU4" s="24">
        <v>3</v>
      </c>
      <c r="KV4" s="24">
        <v>4</v>
      </c>
      <c r="KW4" s="24">
        <v>3</v>
      </c>
      <c r="KX4" s="24">
        <v>2</v>
      </c>
      <c r="KY4" s="24">
        <v>2</v>
      </c>
      <c r="KZ4" s="24">
        <v>3</v>
      </c>
      <c r="LA4" s="24">
        <v>4</v>
      </c>
      <c r="LB4" s="24">
        <v>4</v>
      </c>
      <c r="LC4" s="24">
        <v>4</v>
      </c>
      <c r="LD4" s="24">
        <v>3</v>
      </c>
      <c r="LE4" s="24">
        <v>4</v>
      </c>
      <c r="LF4" s="24">
        <v>5</v>
      </c>
      <c r="LG4" s="24">
        <v>4</v>
      </c>
      <c r="LH4" s="24">
        <v>5</v>
      </c>
      <c r="LI4" s="24">
        <v>4</v>
      </c>
      <c r="LJ4" s="24">
        <v>2</v>
      </c>
      <c r="LK4" s="24">
        <v>3</v>
      </c>
      <c r="LL4" s="24">
        <v>2</v>
      </c>
      <c r="LM4" s="24">
        <v>3</v>
      </c>
      <c r="LN4" s="24">
        <v>4</v>
      </c>
      <c r="LO4" s="24">
        <v>3</v>
      </c>
      <c r="LP4" s="24">
        <v>2</v>
      </c>
      <c r="LQ4" s="24">
        <v>3</v>
      </c>
      <c r="LR4" s="24">
        <v>3</v>
      </c>
      <c r="LS4" s="24">
        <v>4</v>
      </c>
      <c r="LT4" s="24">
        <v>2</v>
      </c>
      <c r="LU4" s="24">
        <v>2</v>
      </c>
      <c r="LV4" s="24">
        <v>3</v>
      </c>
      <c r="LW4" s="24">
        <v>2</v>
      </c>
      <c r="LX4" s="24">
        <v>2</v>
      </c>
      <c r="LY4" s="24">
        <v>2</v>
      </c>
      <c r="LZ4" s="24">
        <v>2</v>
      </c>
      <c r="MA4" s="24">
        <v>2</v>
      </c>
      <c r="MB4" s="24">
        <v>2</v>
      </c>
      <c r="MC4" s="24">
        <v>3</v>
      </c>
      <c r="MD4" s="24">
        <v>4</v>
      </c>
      <c r="ME4" s="24">
        <v>3</v>
      </c>
      <c r="MF4" s="24">
        <v>3</v>
      </c>
      <c r="MG4" s="24">
        <v>3</v>
      </c>
      <c r="MH4" s="24">
        <v>3</v>
      </c>
      <c r="MI4" s="24">
        <v>3</v>
      </c>
      <c r="MJ4" s="24">
        <v>4</v>
      </c>
      <c r="MK4" s="24">
        <v>4</v>
      </c>
      <c r="ML4" s="24">
        <v>3</v>
      </c>
      <c r="MM4" s="24">
        <v>2</v>
      </c>
      <c r="MN4" s="24">
        <v>3</v>
      </c>
      <c r="MO4" s="24">
        <v>4</v>
      </c>
      <c r="MP4" s="24">
        <v>3</v>
      </c>
      <c r="MQ4" s="24">
        <v>2</v>
      </c>
      <c r="MR4" s="24">
        <v>3</v>
      </c>
      <c r="MS4" s="24">
        <v>4</v>
      </c>
      <c r="MT4" s="24">
        <v>3</v>
      </c>
      <c r="MU4" s="24">
        <v>2</v>
      </c>
      <c r="MV4" s="24">
        <v>3</v>
      </c>
      <c r="MW4" s="24">
        <v>2</v>
      </c>
      <c r="MX4" s="24">
        <v>2</v>
      </c>
      <c r="MY4" s="24">
        <v>2</v>
      </c>
      <c r="MZ4" s="24">
        <v>3</v>
      </c>
      <c r="NA4" s="24">
        <v>3</v>
      </c>
      <c r="NB4" s="24">
        <v>2</v>
      </c>
      <c r="NC4" s="24">
        <v>3</v>
      </c>
      <c r="ND4" s="24">
        <v>2</v>
      </c>
      <c r="NE4" s="24">
        <v>2</v>
      </c>
      <c r="NF4" s="24">
        <v>2</v>
      </c>
      <c r="NG4" s="24">
        <v>3</v>
      </c>
      <c r="NH4" s="24">
        <v>2</v>
      </c>
      <c r="NI4" s="24">
        <v>2</v>
      </c>
      <c r="NJ4" s="24">
        <v>3</v>
      </c>
      <c r="NK4" s="24">
        <v>2</v>
      </c>
      <c r="NL4" s="24">
        <v>3</v>
      </c>
      <c r="NM4" s="24">
        <v>4</v>
      </c>
      <c r="NN4" s="24">
        <v>5</v>
      </c>
      <c r="NO4" s="24">
        <v>6</v>
      </c>
      <c r="NP4" s="24">
        <v>6</v>
      </c>
      <c r="NQ4" s="24">
        <v>5</v>
      </c>
      <c r="NR4" s="24">
        <v>4</v>
      </c>
      <c r="NS4" s="24">
        <v>4</v>
      </c>
      <c r="NT4" s="24">
        <v>4</v>
      </c>
      <c r="NU4" s="24">
        <v>3</v>
      </c>
      <c r="NV4" s="24">
        <v>2</v>
      </c>
      <c r="NW4" s="24">
        <v>3</v>
      </c>
      <c r="NX4" s="24">
        <v>2</v>
      </c>
      <c r="NY4" s="24">
        <v>2</v>
      </c>
      <c r="NZ4" s="24">
        <v>3</v>
      </c>
      <c r="OA4" s="24">
        <v>2</v>
      </c>
      <c r="OB4" s="24">
        <v>2</v>
      </c>
      <c r="OC4" s="24">
        <v>2</v>
      </c>
      <c r="OD4" s="24">
        <v>3</v>
      </c>
      <c r="OE4" s="24">
        <v>2</v>
      </c>
      <c r="OF4" s="24">
        <v>3</v>
      </c>
      <c r="OG4" s="24">
        <v>3</v>
      </c>
      <c r="OH4" s="24">
        <v>4</v>
      </c>
      <c r="OI4" s="24">
        <v>4</v>
      </c>
      <c r="OJ4" s="24">
        <v>3</v>
      </c>
      <c r="OK4" s="24">
        <v>4</v>
      </c>
      <c r="OL4" s="24">
        <v>3</v>
      </c>
      <c r="OM4" s="24">
        <v>4</v>
      </c>
      <c r="ON4" s="24">
        <v>5</v>
      </c>
      <c r="OO4" s="24">
        <v>6</v>
      </c>
      <c r="OP4" s="24">
        <v>4</v>
      </c>
      <c r="OQ4" s="24">
        <v>3</v>
      </c>
      <c r="OR4" s="24">
        <v>3</v>
      </c>
      <c r="OS4" s="24">
        <v>4</v>
      </c>
      <c r="OT4" s="24">
        <v>5</v>
      </c>
      <c r="OU4" s="24">
        <v>2</v>
      </c>
      <c r="OV4" s="24">
        <v>3</v>
      </c>
      <c r="OW4" s="24">
        <v>4</v>
      </c>
      <c r="OX4" s="24">
        <v>5</v>
      </c>
      <c r="OY4" s="24">
        <v>6</v>
      </c>
      <c r="OZ4" s="24">
        <v>5</v>
      </c>
      <c r="PA4" s="24">
        <v>6</v>
      </c>
      <c r="PB4" s="24">
        <v>5</v>
      </c>
      <c r="PC4" s="24">
        <v>6</v>
      </c>
      <c r="PD4" s="24">
        <v>7</v>
      </c>
      <c r="PE4" s="24">
        <v>8</v>
      </c>
      <c r="PF4" s="24">
        <v>2</v>
      </c>
      <c r="PG4" s="24">
        <v>2</v>
      </c>
      <c r="PH4" s="24">
        <v>3</v>
      </c>
      <c r="PI4" s="24">
        <v>2</v>
      </c>
      <c r="PJ4" s="24">
        <v>3</v>
      </c>
      <c r="PK4" s="24">
        <v>4</v>
      </c>
      <c r="PL4" s="24">
        <v>5</v>
      </c>
      <c r="PM4" s="24">
        <v>6</v>
      </c>
      <c r="PN4" s="24">
        <v>7</v>
      </c>
      <c r="PO4" s="24">
        <v>8</v>
      </c>
      <c r="PP4" s="24">
        <v>7</v>
      </c>
      <c r="PQ4" s="24">
        <v>8</v>
      </c>
      <c r="PR4" s="24">
        <v>9</v>
      </c>
      <c r="PS4" s="24">
        <v>8</v>
      </c>
      <c r="PT4" s="24">
        <v>9</v>
      </c>
      <c r="PU4" s="24">
        <v>10</v>
      </c>
      <c r="PV4" s="24">
        <v>10</v>
      </c>
      <c r="PW4" s="24">
        <v>8</v>
      </c>
      <c r="PX4" s="24">
        <v>9</v>
      </c>
      <c r="PY4" s="24">
        <v>9</v>
      </c>
      <c r="PZ4" s="24">
        <v>10</v>
      </c>
      <c r="QA4" s="24">
        <v>6</v>
      </c>
      <c r="QB4" s="24">
        <v>5</v>
      </c>
      <c r="QC4" s="24">
        <v>5</v>
      </c>
      <c r="QD4" s="24">
        <v>4</v>
      </c>
      <c r="QE4" s="24">
        <v>4</v>
      </c>
      <c r="QF4" s="24">
        <v>5</v>
      </c>
      <c r="QG4" s="24">
        <v>6</v>
      </c>
      <c r="QH4" s="24">
        <v>7</v>
      </c>
      <c r="QI4" s="24">
        <v>8</v>
      </c>
      <c r="QJ4" s="24">
        <v>9</v>
      </c>
      <c r="QK4" s="24">
        <v>7</v>
      </c>
      <c r="QL4" s="24">
        <v>8</v>
      </c>
      <c r="QM4" s="24">
        <v>6</v>
      </c>
      <c r="QN4" s="24">
        <v>7</v>
      </c>
      <c r="QO4" s="24">
        <v>7</v>
      </c>
      <c r="QP4" s="24">
        <v>8</v>
      </c>
      <c r="QQ4" s="24">
        <v>9</v>
      </c>
      <c r="QR4" s="24">
        <v>8</v>
      </c>
      <c r="QS4" s="24">
        <v>7</v>
      </c>
      <c r="QT4" s="24">
        <v>7</v>
      </c>
      <c r="QU4" s="24">
        <v>8</v>
      </c>
      <c r="QV4" s="24">
        <v>8</v>
      </c>
      <c r="QW4" s="24">
        <v>9</v>
      </c>
      <c r="QX4" s="24">
        <v>6</v>
      </c>
      <c r="QY4" s="24">
        <v>7</v>
      </c>
      <c r="QZ4" s="24">
        <v>6</v>
      </c>
      <c r="RA4" s="24">
        <v>5</v>
      </c>
      <c r="RB4" s="24">
        <v>4</v>
      </c>
      <c r="RC4" s="24">
        <v>5</v>
      </c>
      <c r="RD4" s="24">
        <v>6</v>
      </c>
      <c r="RE4" s="24">
        <v>5</v>
      </c>
      <c r="RF4" s="24">
        <v>3</v>
      </c>
      <c r="RG4" s="24">
        <v>4</v>
      </c>
      <c r="RH4" s="24">
        <v>4</v>
      </c>
      <c r="RI4" s="24">
        <v>5</v>
      </c>
      <c r="RJ4" s="24">
        <v>3</v>
      </c>
      <c r="RK4" s="24">
        <v>3</v>
      </c>
      <c r="RL4" s="24">
        <v>3</v>
      </c>
      <c r="RM4" s="24">
        <v>5</v>
      </c>
      <c r="RN4" s="24">
        <v>6</v>
      </c>
      <c r="RO4" s="24">
        <v>3</v>
      </c>
      <c r="RP4" s="24">
        <v>4</v>
      </c>
      <c r="RQ4" s="24">
        <v>5</v>
      </c>
      <c r="RR4" s="24">
        <v>6</v>
      </c>
      <c r="RS4" s="24">
        <v>6</v>
      </c>
      <c r="RT4" s="24">
        <v>3</v>
      </c>
      <c r="RU4" s="24">
        <v>4</v>
      </c>
      <c r="RV4" s="24">
        <v>5</v>
      </c>
      <c r="RW4" s="24">
        <v>4</v>
      </c>
      <c r="RX4" s="24">
        <v>4</v>
      </c>
      <c r="RY4" s="24">
        <v>3</v>
      </c>
      <c r="RZ4" s="24">
        <v>4</v>
      </c>
      <c r="SA4" s="24">
        <v>5</v>
      </c>
      <c r="SB4" s="24">
        <v>4</v>
      </c>
      <c r="SC4" s="24">
        <v>5</v>
      </c>
      <c r="SD4" s="24">
        <v>4</v>
      </c>
      <c r="SE4" s="24">
        <v>3</v>
      </c>
      <c r="SF4" s="24">
        <v>4</v>
      </c>
      <c r="SG4" s="24">
        <v>8</v>
      </c>
      <c r="SH4" s="24">
        <v>6</v>
      </c>
      <c r="SI4" s="24">
        <v>7</v>
      </c>
      <c r="SJ4" s="24">
        <v>8</v>
      </c>
      <c r="SK4" s="24">
        <v>4</v>
      </c>
      <c r="SL4" s="24">
        <v>5</v>
      </c>
      <c r="SM4" s="24">
        <v>5</v>
      </c>
      <c r="SN4" s="24">
        <v>5</v>
      </c>
      <c r="SO4" s="24">
        <v>3</v>
      </c>
      <c r="SP4" s="24">
        <v>4</v>
      </c>
      <c r="SQ4" s="24">
        <v>5</v>
      </c>
      <c r="SR4" s="24">
        <v>4</v>
      </c>
      <c r="SS4" s="24">
        <v>3</v>
      </c>
      <c r="ST4" s="24">
        <v>3</v>
      </c>
      <c r="SU4" s="24">
        <v>4</v>
      </c>
      <c r="SV4" s="24">
        <v>3</v>
      </c>
      <c r="SW4" s="24">
        <v>3</v>
      </c>
      <c r="SX4" s="24">
        <v>3</v>
      </c>
      <c r="SY4" s="24">
        <v>3</v>
      </c>
      <c r="SZ4" s="24">
        <v>3</v>
      </c>
      <c r="TA4" s="24">
        <v>4</v>
      </c>
      <c r="TB4" s="24">
        <v>3</v>
      </c>
      <c r="TC4" s="24">
        <v>4</v>
      </c>
      <c r="TD4" s="24">
        <v>5</v>
      </c>
      <c r="TE4" s="24">
        <v>4</v>
      </c>
      <c r="TF4" s="24">
        <v>4</v>
      </c>
      <c r="TG4" s="24">
        <v>4</v>
      </c>
      <c r="TH4" s="24">
        <v>5</v>
      </c>
      <c r="TI4" s="24">
        <v>5</v>
      </c>
      <c r="TJ4" s="24">
        <v>6</v>
      </c>
      <c r="TK4" s="24">
        <v>5</v>
      </c>
      <c r="TL4" s="24">
        <v>4</v>
      </c>
      <c r="TM4" s="24">
        <v>2</v>
      </c>
      <c r="TN4" s="24">
        <v>3</v>
      </c>
      <c r="TO4" s="24">
        <v>4</v>
      </c>
      <c r="TP4" s="24">
        <v>2</v>
      </c>
      <c r="TQ4" s="24">
        <v>3</v>
      </c>
      <c r="TR4" s="24">
        <v>3</v>
      </c>
      <c r="TS4" s="24">
        <v>4</v>
      </c>
      <c r="TT4" s="24">
        <v>2</v>
      </c>
      <c r="TU4" s="24">
        <v>3</v>
      </c>
      <c r="TV4" s="24">
        <v>4</v>
      </c>
      <c r="TW4" s="24">
        <v>5</v>
      </c>
      <c r="TX4" s="24">
        <v>5</v>
      </c>
      <c r="TY4" s="24">
        <v>4</v>
      </c>
      <c r="TZ4" s="24">
        <v>5</v>
      </c>
      <c r="UA4" s="24">
        <v>3</v>
      </c>
      <c r="UB4" s="24">
        <v>4</v>
      </c>
      <c r="UC4" s="24">
        <v>4</v>
      </c>
      <c r="UD4" s="24">
        <v>4</v>
      </c>
      <c r="UE4" s="24">
        <v>5</v>
      </c>
      <c r="UF4" s="24">
        <v>5</v>
      </c>
      <c r="UG4" s="24">
        <v>3</v>
      </c>
      <c r="UH4" s="24">
        <v>4</v>
      </c>
      <c r="UI4" s="24">
        <v>3</v>
      </c>
      <c r="UJ4" s="24">
        <v>3</v>
      </c>
      <c r="UK4" s="24">
        <v>3</v>
      </c>
      <c r="UL4" s="24">
        <v>2</v>
      </c>
      <c r="UM4" s="24">
        <v>3</v>
      </c>
      <c r="UN4" s="24">
        <v>4</v>
      </c>
      <c r="UO4" s="24">
        <v>3</v>
      </c>
      <c r="UP4" s="24">
        <v>3</v>
      </c>
      <c r="UQ4" s="24">
        <v>4</v>
      </c>
      <c r="UR4" s="24">
        <v>3</v>
      </c>
      <c r="US4" s="24">
        <v>4</v>
      </c>
      <c r="UT4" s="24">
        <v>5</v>
      </c>
      <c r="UU4" s="24">
        <v>4</v>
      </c>
      <c r="UV4" s="24">
        <v>5</v>
      </c>
      <c r="UW4" s="24">
        <v>3</v>
      </c>
      <c r="UX4" s="24">
        <v>4</v>
      </c>
      <c r="UY4" s="24">
        <v>3</v>
      </c>
      <c r="UZ4" s="24">
        <v>3</v>
      </c>
      <c r="VA4" s="24">
        <v>3</v>
      </c>
      <c r="VB4" s="24">
        <v>4</v>
      </c>
      <c r="VC4" s="24">
        <v>4</v>
      </c>
      <c r="VD4" s="24">
        <v>5</v>
      </c>
      <c r="VE4" s="24">
        <v>3</v>
      </c>
      <c r="VF4" s="24">
        <v>4</v>
      </c>
      <c r="VG4" s="24">
        <v>3</v>
      </c>
      <c r="VH4" s="24">
        <v>3</v>
      </c>
      <c r="VI4" s="24">
        <v>4</v>
      </c>
      <c r="VJ4" s="24">
        <v>5</v>
      </c>
      <c r="VK4" s="24">
        <v>5</v>
      </c>
      <c r="VL4" s="24">
        <v>4</v>
      </c>
      <c r="VM4" s="24">
        <v>4</v>
      </c>
      <c r="VN4" s="24">
        <v>3</v>
      </c>
      <c r="VO4" s="24">
        <v>2</v>
      </c>
      <c r="VP4" s="24">
        <v>2</v>
      </c>
      <c r="VQ4" s="24">
        <v>3</v>
      </c>
      <c r="VR4" s="24">
        <v>3</v>
      </c>
      <c r="VS4" s="24">
        <v>4</v>
      </c>
      <c r="VT4" s="24">
        <v>5</v>
      </c>
      <c r="VU4" s="24">
        <v>4</v>
      </c>
      <c r="VV4" s="24">
        <v>5</v>
      </c>
      <c r="VW4" s="24">
        <v>4</v>
      </c>
      <c r="VX4" s="24">
        <v>3</v>
      </c>
      <c r="VY4" s="24">
        <v>4</v>
      </c>
      <c r="VZ4" s="24">
        <v>3</v>
      </c>
      <c r="WA4" s="24">
        <v>3</v>
      </c>
      <c r="WB4" s="24">
        <v>4</v>
      </c>
      <c r="WC4" s="24">
        <v>3</v>
      </c>
      <c r="WD4" s="24">
        <v>2</v>
      </c>
      <c r="WE4" s="24">
        <v>3</v>
      </c>
      <c r="WF4" s="24">
        <v>4</v>
      </c>
      <c r="WG4" s="24">
        <v>4</v>
      </c>
      <c r="WH4" s="24">
        <v>4</v>
      </c>
      <c r="WI4" s="24">
        <v>3</v>
      </c>
      <c r="WJ4" s="24">
        <v>3</v>
      </c>
      <c r="WK4" s="24">
        <v>4</v>
      </c>
      <c r="WL4" s="24">
        <v>5</v>
      </c>
      <c r="WM4" s="24">
        <v>6</v>
      </c>
      <c r="WN4" s="24">
        <v>3</v>
      </c>
      <c r="WO4" s="24">
        <v>4</v>
      </c>
      <c r="WP4" s="24">
        <v>3</v>
      </c>
      <c r="WQ4" s="24">
        <v>3</v>
      </c>
      <c r="WR4" s="24">
        <v>3</v>
      </c>
      <c r="WS4" s="24">
        <v>4</v>
      </c>
      <c r="WT4" s="24">
        <v>2</v>
      </c>
      <c r="WU4" s="24">
        <v>3</v>
      </c>
      <c r="WV4" s="24">
        <v>4</v>
      </c>
      <c r="WW4" s="24">
        <v>2</v>
      </c>
      <c r="WX4" s="24">
        <v>3</v>
      </c>
      <c r="WY4" s="13">
        <v>3</v>
      </c>
      <c r="WZ4" s="13">
        <v>4</v>
      </c>
      <c r="XA4" s="13">
        <v>4</v>
      </c>
      <c r="XB4" s="13">
        <v>4</v>
      </c>
      <c r="XC4" s="13">
        <v>2</v>
      </c>
      <c r="XD4" s="13">
        <v>3</v>
      </c>
      <c r="XE4" s="13">
        <v>4</v>
      </c>
      <c r="XF4" s="13">
        <v>3</v>
      </c>
      <c r="XG4" s="13">
        <v>3</v>
      </c>
      <c r="XH4" s="13">
        <v>4</v>
      </c>
      <c r="XI4" s="13">
        <v>3</v>
      </c>
      <c r="XJ4" s="13">
        <v>4</v>
      </c>
      <c r="XK4" s="13">
        <v>4</v>
      </c>
      <c r="XL4" s="13">
        <v>5</v>
      </c>
      <c r="XM4" s="13">
        <v>4</v>
      </c>
      <c r="XN4" s="13">
        <v>3</v>
      </c>
      <c r="XO4" s="13">
        <v>3</v>
      </c>
      <c r="XP4" s="13">
        <v>3</v>
      </c>
      <c r="XQ4" s="13">
        <v>4</v>
      </c>
      <c r="XR4" s="13">
        <v>5</v>
      </c>
      <c r="XS4" s="13">
        <v>4</v>
      </c>
      <c r="XT4" s="13">
        <v>3</v>
      </c>
      <c r="XU4" s="13">
        <v>2</v>
      </c>
      <c r="XV4" s="13">
        <v>3</v>
      </c>
      <c r="XW4" s="13">
        <v>3</v>
      </c>
      <c r="XX4" s="13">
        <v>5</v>
      </c>
      <c r="XY4" s="13">
        <v>6</v>
      </c>
      <c r="XZ4" s="13">
        <v>2</v>
      </c>
      <c r="YA4" s="13">
        <v>3</v>
      </c>
      <c r="YB4" s="13">
        <v>3</v>
      </c>
      <c r="YC4" s="24">
        <v>3</v>
      </c>
      <c r="YD4" s="24">
        <v>3</v>
      </c>
      <c r="YE4" s="24">
        <v>5</v>
      </c>
      <c r="YF4" s="24">
        <v>5</v>
      </c>
      <c r="YG4" s="24">
        <v>5</v>
      </c>
      <c r="YH4" s="24">
        <v>6</v>
      </c>
      <c r="YI4" s="24">
        <v>3</v>
      </c>
      <c r="YJ4" s="24">
        <v>4</v>
      </c>
      <c r="YK4" s="24">
        <v>3</v>
      </c>
      <c r="YL4" s="24">
        <v>3</v>
      </c>
      <c r="YM4" s="24">
        <v>4</v>
      </c>
      <c r="YN4" s="24">
        <v>3</v>
      </c>
      <c r="YO4" s="24">
        <v>2</v>
      </c>
      <c r="YP4" s="24">
        <v>3</v>
      </c>
      <c r="YQ4" s="24">
        <v>3</v>
      </c>
      <c r="YR4" s="24">
        <v>2</v>
      </c>
      <c r="YS4" s="24">
        <v>2</v>
      </c>
      <c r="YT4" s="24">
        <v>3</v>
      </c>
      <c r="YU4" s="24">
        <v>4</v>
      </c>
      <c r="YV4" s="24">
        <v>2</v>
      </c>
      <c r="YW4" s="24">
        <v>3</v>
      </c>
      <c r="YX4" s="24">
        <v>4</v>
      </c>
      <c r="YY4" s="24">
        <v>4</v>
      </c>
      <c r="YZ4" s="24">
        <v>5</v>
      </c>
      <c r="ZA4" s="24">
        <v>5</v>
      </c>
      <c r="ZB4" s="24">
        <v>5</v>
      </c>
      <c r="ZC4" s="24">
        <v>5</v>
      </c>
      <c r="ZD4" s="24">
        <v>4</v>
      </c>
      <c r="ZE4" s="24">
        <v>2</v>
      </c>
      <c r="ZF4" s="24">
        <v>3</v>
      </c>
      <c r="ZG4" s="24">
        <v>4</v>
      </c>
      <c r="ZH4" s="24">
        <v>4</v>
      </c>
      <c r="ZI4" s="24">
        <v>5</v>
      </c>
      <c r="ZJ4" s="24">
        <v>4</v>
      </c>
      <c r="ZK4" s="24">
        <v>4</v>
      </c>
      <c r="ZL4" s="24">
        <v>5</v>
      </c>
      <c r="ZM4" s="13">
        <v>5</v>
      </c>
      <c r="ZN4" s="13">
        <v>6</v>
      </c>
      <c r="ZO4" s="13">
        <v>7</v>
      </c>
      <c r="ZP4" s="13">
        <v>5</v>
      </c>
      <c r="ZQ4" s="13">
        <v>4</v>
      </c>
      <c r="ZR4" s="13">
        <v>5</v>
      </c>
      <c r="ZS4" s="13">
        <v>5</v>
      </c>
      <c r="ZT4" s="24">
        <v>4</v>
      </c>
      <c r="ZU4" s="24">
        <v>4</v>
      </c>
      <c r="ZV4" s="24">
        <v>4</v>
      </c>
      <c r="ZW4" s="24">
        <v>3</v>
      </c>
      <c r="ZX4" s="24">
        <v>4</v>
      </c>
      <c r="ZY4" s="24">
        <v>4</v>
      </c>
      <c r="ZZ4" s="24">
        <v>5</v>
      </c>
      <c r="AAA4" s="24">
        <v>5</v>
      </c>
      <c r="AAB4" s="24">
        <v>3</v>
      </c>
      <c r="AAC4" s="24">
        <v>3</v>
      </c>
      <c r="AAD4" s="24">
        <v>4</v>
      </c>
      <c r="AAE4" s="24">
        <v>5</v>
      </c>
      <c r="AAF4" s="24">
        <v>4</v>
      </c>
      <c r="AAG4" s="24">
        <v>4</v>
      </c>
      <c r="AAH4" s="24">
        <v>3</v>
      </c>
      <c r="AAI4" s="24">
        <v>3</v>
      </c>
      <c r="AAJ4" s="24">
        <v>3</v>
      </c>
      <c r="AAK4" s="24">
        <v>4</v>
      </c>
      <c r="AAL4" s="24">
        <v>5</v>
      </c>
      <c r="AAM4" s="24">
        <v>4</v>
      </c>
      <c r="AAN4" s="24">
        <v>4</v>
      </c>
      <c r="AAO4" s="24">
        <v>5</v>
      </c>
      <c r="AAP4" s="24">
        <v>6</v>
      </c>
      <c r="AAQ4" s="24">
        <v>7</v>
      </c>
      <c r="AAR4" s="24">
        <v>8</v>
      </c>
      <c r="AAS4" s="24">
        <v>9</v>
      </c>
      <c r="AAT4" s="24">
        <v>5</v>
      </c>
      <c r="AAU4" s="24">
        <v>5</v>
      </c>
      <c r="AAV4" s="24">
        <v>4</v>
      </c>
      <c r="AAW4" s="24">
        <v>8</v>
      </c>
      <c r="AAX4" s="24">
        <v>9</v>
      </c>
      <c r="AAY4" s="24">
        <v>4</v>
      </c>
      <c r="AAZ4" s="24">
        <v>5</v>
      </c>
      <c r="ABA4" s="24">
        <v>6</v>
      </c>
      <c r="ABB4" s="24">
        <v>6</v>
      </c>
      <c r="ABC4" s="24">
        <v>4</v>
      </c>
      <c r="ABD4" s="24">
        <v>3</v>
      </c>
      <c r="ABE4" s="24">
        <v>3</v>
      </c>
      <c r="ABF4" s="24">
        <v>4</v>
      </c>
      <c r="ABG4" s="24">
        <v>3</v>
      </c>
      <c r="ABH4" s="24">
        <v>4</v>
      </c>
      <c r="ABI4" s="24">
        <v>4</v>
      </c>
      <c r="ABJ4" s="24">
        <v>5</v>
      </c>
      <c r="ABK4" s="24">
        <v>3</v>
      </c>
      <c r="ABL4" s="24">
        <v>3</v>
      </c>
      <c r="ABM4" s="24">
        <v>4</v>
      </c>
      <c r="ABN4" s="24">
        <v>5</v>
      </c>
      <c r="ABO4" s="24">
        <v>3</v>
      </c>
      <c r="ABP4" s="24">
        <v>2</v>
      </c>
      <c r="ABQ4" s="24">
        <v>3</v>
      </c>
      <c r="ABR4" s="24">
        <v>3</v>
      </c>
      <c r="ABS4" s="24">
        <v>3</v>
      </c>
      <c r="ABT4" s="24">
        <v>3</v>
      </c>
      <c r="ABU4" s="24">
        <v>4</v>
      </c>
      <c r="ABV4" s="24">
        <v>2</v>
      </c>
      <c r="ABW4" s="24">
        <v>3</v>
      </c>
      <c r="ABX4" s="24">
        <v>3</v>
      </c>
      <c r="ABY4" s="24">
        <v>3</v>
      </c>
      <c r="ABZ4" s="24">
        <v>3</v>
      </c>
      <c r="ACA4" s="24">
        <v>4</v>
      </c>
      <c r="ACB4" s="24">
        <v>4</v>
      </c>
      <c r="ACC4" s="24">
        <v>4</v>
      </c>
      <c r="ACD4" s="24">
        <v>2</v>
      </c>
      <c r="ACE4" s="24">
        <v>2</v>
      </c>
      <c r="ACF4" s="24">
        <v>3</v>
      </c>
      <c r="ACG4" s="24">
        <v>0</v>
      </c>
      <c r="ACH4" s="24">
        <v>2</v>
      </c>
      <c r="ACI4" s="24">
        <v>3</v>
      </c>
      <c r="ACJ4" s="24">
        <v>3</v>
      </c>
      <c r="ACK4" s="24">
        <v>3</v>
      </c>
      <c r="ACL4" s="24">
        <v>3</v>
      </c>
      <c r="ACM4" s="24">
        <v>4</v>
      </c>
      <c r="ACN4" s="24">
        <v>2</v>
      </c>
      <c r="ACO4" s="24">
        <v>3</v>
      </c>
      <c r="ACP4" s="24">
        <v>3</v>
      </c>
      <c r="ACQ4" s="24">
        <v>2</v>
      </c>
      <c r="ACR4" s="24">
        <v>3</v>
      </c>
      <c r="ACS4" s="24">
        <v>4</v>
      </c>
      <c r="ACT4" s="24">
        <v>3</v>
      </c>
      <c r="ACU4" s="24">
        <v>4</v>
      </c>
      <c r="ACV4" s="24">
        <v>2</v>
      </c>
      <c r="ACW4" s="24">
        <v>2</v>
      </c>
      <c r="ACX4" s="24">
        <v>3</v>
      </c>
      <c r="ACY4" s="24">
        <v>3</v>
      </c>
      <c r="ACZ4" s="24">
        <v>2</v>
      </c>
      <c r="ADA4" s="24">
        <v>3</v>
      </c>
      <c r="ADB4" s="24">
        <v>2</v>
      </c>
      <c r="ADC4" s="24">
        <v>3</v>
      </c>
      <c r="ADD4" s="24">
        <v>3</v>
      </c>
      <c r="ADE4" s="24">
        <v>3</v>
      </c>
      <c r="ADF4" s="24">
        <v>3</v>
      </c>
      <c r="ADG4" s="24">
        <v>4</v>
      </c>
      <c r="ADH4" s="24">
        <v>4</v>
      </c>
      <c r="ADI4" s="24">
        <v>3</v>
      </c>
      <c r="ADJ4" s="24">
        <v>4</v>
      </c>
      <c r="ADK4" s="24">
        <v>5</v>
      </c>
      <c r="ADL4" s="24">
        <v>3</v>
      </c>
      <c r="ADM4" s="24">
        <v>3</v>
      </c>
      <c r="ADN4" s="24">
        <v>2</v>
      </c>
      <c r="ADO4" s="24">
        <v>3</v>
      </c>
      <c r="ADP4" s="24">
        <v>2</v>
      </c>
      <c r="ADQ4" s="24">
        <v>3</v>
      </c>
      <c r="ADR4" s="24">
        <v>4</v>
      </c>
      <c r="ADS4" s="24">
        <v>2</v>
      </c>
      <c r="ADT4" s="24">
        <v>3</v>
      </c>
      <c r="ADU4" s="24">
        <v>3</v>
      </c>
      <c r="ADV4" s="24">
        <v>3</v>
      </c>
      <c r="ADW4" s="24">
        <v>3</v>
      </c>
    </row>
    <row r="5" spans="1:803" x14ac:dyDescent="0.3">
      <c r="A5" s="24" t="s">
        <v>306</v>
      </c>
      <c r="B5" s="24">
        <v>2</v>
      </c>
      <c r="C5" s="24">
        <v>1</v>
      </c>
      <c r="D5" s="24">
        <v>2</v>
      </c>
      <c r="E5" s="24">
        <v>1</v>
      </c>
      <c r="F5" s="24">
        <v>1</v>
      </c>
      <c r="G5" s="24">
        <v>1</v>
      </c>
      <c r="H5" s="24">
        <v>2</v>
      </c>
      <c r="I5" s="24">
        <v>1</v>
      </c>
      <c r="J5" s="24">
        <v>0</v>
      </c>
      <c r="K5" s="24">
        <v>1</v>
      </c>
      <c r="L5" s="24">
        <v>0</v>
      </c>
      <c r="M5" s="24">
        <v>3</v>
      </c>
      <c r="N5" s="24">
        <v>5</v>
      </c>
      <c r="O5" s="24">
        <v>3</v>
      </c>
      <c r="P5" s="24">
        <v>2</v>
      </c>
      <c r="Q5" s="24">
        <v>3</v>
      </c>
      <c r="R5" s="24">
        <v>3</v>
      </c>
      <c r="S5" s="24">
        <v>2</v>
      </c>
      <c r="T5" s="24">
        <v>3</v>
      </c>
      <c r="U5" s="24">
        <v>2</v>
      </c>
      <c r="V5" s="24">
        <v>0</v>
      </c>
      <c r="W5" s="24">
        <v>0</v>
      </c>
      <c r="X5" s="24">
        <v>1</v>
      </c>
      <c r="Y5" s="24">
        <v>0</v>
      </c>
      <c r="Z5" s="24">
        <v>1</v>
      </c>
      <c r="AA5" s="24">
        <v>3</v>
      </c>
      <c r="AB5" s="24">
        <v>3</v>
      </c>
      <c r="AC5" s="24">
        <v>3</v>
      </c>
      <c r="AD5" s="24">
        <v>2</v>
      </c>
      <c r="AE5" s="24">
        <v>0</v>
      </c>
      <c r="AF5" s="24">
        <v>0</v>
      </c>
      <c r="AG5" s="24">
        <v>4</v>
      </c>
      <c r="AH5" s="24">
        <v>2</v>
      </c>
      <c r="AI5" s="24">
        <v>1</v>
      </c>
      <c r="AJ5" s="24">
        <v>0</v>
      </c>
      <c r="AK5" s="24">
        <v>1</v>
      </c>
      <c r="AL5" s="24">
        <v>1</v>
      </c>
      <c r="AM5" s="24">
        <v>1</v>
      </c>
      <c r="AN5" s="24">
        <v>1</v>
      </c>
      <c r="AO5" s="24">
        <v>1</v>
      </c>
      <c r="AP5" s="24">
        <v>2</v>
      </c>
      <c r="AQ5" s="24">
        <v>1</v>
      </c>
      <c r="AR5" s="24">
        <v>2</v>
      </c>
      <c r="AS5" s="24">
        <v>2</v>
      </c>
      <c r="AT5" s="24">
        <v>3</v>
      </c>
      <c r="AU5" s="24">
        <v>0</v>
      </c>
      <c r="AV5" s="24">
        <v>1</v>
      </c>
      <c r="AW5" s="24">
        <v>0</v>
      </c>
      <c r="AX5" s="24">
        <v>0</v>
      </c>
      <c r="AY5" s="24">
        <v>1</v>
      </c>
      <c r="AZ5" s="24">
        <v>0</v>
      </c>
      <c r="BA5" s="24">
        <v>0</v>
      </c>
      <c r="BB5" s="24">
        <v>1</v>
      </c>
      <c r="BC5" s="24">
        <v>2</v>
      </c>
      <c r="BD5" s="24">
        <v>1</v>
      </c>
      <c r="BE5" s="24">
        <v>1</v>
      </c>
      <c r="BF5" s="24">
        <v>1</v>
      </c>
      <c r="BG5" s="24">
        <v>1</v>
      </c>
      <c r="BH5" s="24">
        <v>0</v>
      </c>
      <c r="BI5" s="24">
        <v>0</v>
      </c>
      <c r="BJ5" s="24">
        <v>1</v>
      </c>
      <c r="BK5" s="24">
        <v>2</v>
      </c>
      <c r="BL5" s="24">
        <v>2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BX5" s="24">
        <v>1</v>
      </c>
      <c r="BY5" s="24">
        <v>2</v>
      </c>
      <c r="BZ5" s="24">
        <v>0</v>
      </c>
      <c r="CA5" s="24">
        <v>0</v>
      </c>
      <c r="CB5" s="24">
        <v>0</v>
      </c>
      <c r="CC5" s="24">
        <v>0</v>
      </c>
      <c r="CD5" s="24">
        <v>0</v>
      </c>
      <c r="CE5" s="24">
        <v>0</v>
      </c>
      <c r="CF5" s="24">
        <v>1</v>
      </c>
      <c r="CG5" s="24">
        <v>0</v>
      </c>
      <c r="CH5" s="24">
        <v>2</v>
      </c>
      <c r="CI5" s="24">
        <v>3</v>
      </c>
      <c r="CJ5" s="24">
        <v>5</v>
      </c>
      <c r="CK5" s="24">
        <v>4</v>
      </c>
      <c r="CL5" s="24">
        <v>6</v>
      </c>
      <c r="CM5" s="24">
        <v>3</v>
      </c>
      <c r="CN5" s="24">
        <v>3</v>
      </c>
      <c r="CO5" s="24">
        <v>4</v>
      </c>
      <c r="CP5" s="24">
        <v>3</v>
      </c>
      <c r="CQ5" s="24">
        <v>2</v>
      </c>
      <c r="CR5" s="24">
        <v>0</v>
      </c>
      <c r="CS5" s="24">
        <v>1</v>
      </c>
      <c r="CT5" s="24">
        <v>2</v>
      </c>
      <c r="CU5" s="24">
        <v>1</v>
      </c>
      <c r="CV5" s="24">
        <v>1</v>
      </c>
      <c r="CW5" s="24">
        <v>2</v>
      </c>
      <c r="CX5" s="24">
        <v>2</v>
      </c>
      <c r="CY5" s="24">
        <v>2</v>
      </c>
      <c r="CZ5" s="24">
        <v>2</v>
      </c>
      <c r="DA5" s="24">
        <v>1</v>
      </c>
      <c r="DB5" s="24">
        <v>0</v>
      </c>
      <c r="DC5" s="24">
        <v>2</v>
      </c>
      <c r="DD5" s="24">
        <v>0</v>
      </c>
      <c r="DE5" s="24">
        <v>1</v>
      </c>
      <c r="DF5" s="24">
        <v>1</v>
      </c>
      <c r="DG5" s="24">
        <v>3</v>
      </c>
      <c r="DH5" s="24">
        <v>3</v>
      </c>
      <c r="DI5" s="24">
        <v>4</v>
      </c>
      <c r="DJ5" s="24">
        <v>2</v>
      </c>
      <c r="DK5" s="24">
        <v>2</v>
      </c>
      <c r="DL5" s="24">
        <v>1</v>
      </c>
      <c r="DM5" s="24">
        <v>4</v>
      </c>
      <c r="DN5" s="24">
        <v>2</v>
      </c>
      <c r="DO5" s="24">
        <v>0</v>
      </c>
      <c r="DP5" s="24">
        <v>1</v>
      </c>
      <c r="DQ5" s="24">
        <v>2</v>
      </c>
      <c r="DR5" s="24">
        <v>2</v>
      </c>
      <c r="DS5" s="24">
        <v>2</v>
      </c>
      <c r="DT5" s="24">
        <v>0</v>
      </c>
      <c r="DU5" s="24">
        <v>0</v>
      </c>
      <c r="DV5" s="24">
        <v>0</v>
      </c>
      <c r="DW5" s="24">
        <v>1</v>
      </c>
      <c r="DX5" s="24">
        <v>1</v>
      </c>
      <c r="DY5" s="24">
        <v>1</v>
      </c>
      <c r="DZ5" s="24">
        <v>0</v>
      </c>
      <c r="EA5" s="24">
        <v>0</v>
      </c>
      <c r="EB5" s="24">
        <v>2</v>
      </c>
      <c r="EC5" s="24">
        <v>0</v>
      </c>
      <c r="ED5" s="24">
        <v>0</v>
      </c>
      <c r="EE5" s="24">
        <v>2</v>
      </c>
      <c r="EF5" s="24">
        <v>1</v>
      </c>
      <c r="EG5" s="24">
        <v>0</v>
      </c>
      <c r="EH5" s="24">
        <v>0</v>
      </c>
      <c r="EI5" s="24">
        <v>0</v>
      </c>
      <c r="EJ5" s="24">
        <v>0</v>
      </c>
      <c r="EK5" s="24">
        <v>0</v>
      </c>
      <c r="EL5" s="24">
        <v>1</v>
      </c>
      <c r="EM5" s="24">
        <v>1</v>
      </c>
      <c r="EN5" s="24">
        <v>3</v>
      </c>
      <c r="EO5" s="24">
        <v>0</v>
      </c>
      <c r="EP5" s="24">
        <v>0</v>
      </c>
      <c r="EQ5" s="24">
        <v>1</v>
      </c>
      <c r="ER5" s="24">
        <v>4</v>
      </c>
      <c r="ES5" s="24">
        <v>2</v>
      </c>
      <c r="ET5" s="24">
        <v>1</v>
      </c>
      <c r="EU5" s="24">
        <v>1</v>
      </c>
      <c r="EV5" s="24">
        <v>1</v>
      </c>
      <c r="EW5" s="24">
        <v>2</v>
      </c>
      <c r="EX5" s="24">
        <v>0</v>
      </c>
      <c r="EY5" s="24">
        <v>1</v>
      </c>
      <c r="EZ5" s="24">
        <v>0</v>
      </c>
      <c r="FA5" s="24">
        <v>0</v>
      </c>
      <c r="FB5" s="24">
        <v>1</v>
      </c>
      <c r="FC5" s="24">
        <v>3</v>
      </c>
      <c r="FD5" s="24">
        <v>3</v>
      </c>
      <c r="FE5" s="24">
        <v>2</v>
      </c>
      <c r="FF5" s="24">
        <v>2</v>
      </c>
      <c r="FG5" s="24">
        <v>1</v>
      </c>
      <c r="FH5" s="24">
        <v>1</v>
      </c>
      <c r="FI5" s="24">
        <v>2</v>
      </c>
      <c r="FJ5" s="24">
        <v>0</v>
      </c>
      <c r="FK5" s="24">
        <v>1</v>
      </c>
      <c r="FL5" s="24">
        <v>2</v>
      </c>
      <c r="FM5" s="24">
        <v>2</v>
      </c>
      <c r="FN5" s="24">
        <v>0</v>
      </c>
      <c r="FO5" s="24">
        <v>1</v>
      </c>
      <c r="FP5" s="24">
        <v>0</v>
      </c>
      <c r="FQ5" s="24">
        <v>0</v>
      </c>
      <c r="FR5" s="24">
        <v>0</v>
      </c>
      <c r="FS5" s="24">
        <v>2</v>
      </c>
      <c r="FT5" s="24">
        <v>4</v>
      </c>
      <c r="FU5" s="24">
        <v>3</v>
      </c>
      <c r="FV5" s="24">
        <v>1</v>
      </c>
      <c r="FW5" s="24">
        <v>4</v>
      </c>
      <c r="FX5" s="24">
        <v>2</v>
      </c>
      <c r="FY5" s="24">
        <v>2</v>
      </c>
      <c r="FZ5" s="24">
        <v>2</v>
      </c>
      <c r="GA5" s="24">
        <v>3</v>
      </c>
      <c r="GB5" s="24">
        <v>4</v>
      </c>
      <c r="GC5" s="24">
        <v>4</v>
      </c>
      <c r="GD5" s="24">
        <v>3</v>
      </c>
      <c r="GE5" s="24">
        <v>2</v>
      </c>
      <c r="GF5" s="24">
        <v>3</v>
      </c>
      <c r="GG5" s="24">
        <v>3</v>
      </c>
      <c r="GH5" s="24">
        <v>3</v>
      </c>
      <c r="GI5" s="24">
        <v>5</v>
      </c>
      <c r="GJ5" s="24">
        <v>6</v>
      </c>
      <c r="GK5" s="24">
        <v>5</v>
      </c>
      <c r="GL5" s="24">
        <v>5</v>
      </c>
      <c r="GM5" s="24">
        <v>3</v>
      </c>
      <c r="GN5" s="24">
        <v>5</v>
      </c>
      <c r="GO5" s="24">
        <v>5</v>
      </c>
      <c r="GP5" s="24">
        <v>4</v>
      </c>
      <c r="GQ5" s="24">
        <v>2</v>
      </c>
      <c r="GR5" s="24">
        <v>5</v>
      </c>
      <c r="GS5" s="24">
        <v>6</v>
      </c>
      <c r="GT5" s="24">
        <v>2</v>
      </c>
      <c r="GU5" s="24">
        <v>3</v>
      </c>
      <c r="GV5" s="24">
        <v>3</v>
      </c>
      <c r="GW5" s="24">
        <v>4</v>
      </c>
      <c r="GX5" s="24">
        <v>4</v>
      </c>
      <c r="GY5" s="24">
        <v>4</v>
      </c>
      <c r="GZ5" s="24">
        <v>4</v>
      </c>
      <c r="HA5" s="24">
        <v>5</v>
      </c>
      <c r="HB5" s="24">
        <v>8</v>
      </c>
      <c r="HC5" s="24">
        <v>7</v>
      </c>
      <c r="HD5" s="24">
        <v>2</v>
      </c>
      <c r="HE5" s="24">
        <v>3</v>
      </c>
      <c r="HF5" s="24">
        <v>3</v>
      </c>
      <c r="HG5" s="24">
        <v>3</v>
      </c>
      <c r="HH5" s="24">
        <v>3</v>
      </c>
      <c r="HI5" s="24">
        <v>3</v>
      </c>
      <c r="HJ5" s="24">
        <v>5</v>
      </c>
      <c r="HK5" s="24">
        <v>5</v>
      </c>
      <c r="HL5" s="24">
        <v>6</v>
      </c>
      <c r="HM5" s="24">
        <v>4</v>
      </c>
      <c r="HN5" s="24">
        <v>3</v>
      </c>
      <c r="HO5" s="24">
        <v>0</v>
      </c>
      <c r="HP5" s="24">
        <v>2</v>
      </c>
      <c r="HQ5" s="24">
        <v>3</v>
      </c>
      <c r="HR5" s="24">
        <v>3</v>
      </c>
      <c r="HS5" s="24">
        <v>4</v>
      </c>
      <c r="HT5" s="24">
        <v>3</v>
      </c>
      <c r="HU5" s="24">
        <v>0</v>
      </c>
      <c r="HV5" s="24">
        <v>1</v>
      </c>
      <c r="HW5" s="24">
        <v>1</v>
      </c>
      <c r="HX5" s="24">
        <v>2</v>
      </c>
      <c r="HY5" s="24">
        <v>1</v>
      </c>
      <c r="HZ5" s="24">
        <v>1</v>
      </c>
      <c r="IA5" s="24">
        <v>4</v>
      </c>
      <c r="IB5" s="24">
        <v>2</v>
      </c>
      <c r="IC5" s="24">
        <v>4</v>
      </c>
      <c r="ID5" s="24">
        <v>5</v>
      </c>
      <c r="IE5" s="24">
        <v>6</v>
      </c>
      <c r="IF5" s="24">
        <v>6</v>
      </c>
      <c r="IG5" s="24">
        <v>1</v>
      </c>
      <c r="IH5" s="24">
        <v>1</v>
      </c>
      <c r="II5" s="24">
        <v>4</v>
      </c>
      <c r="IJ5" s="24">
        <v>4</v>
      </c>
      <c r="IK5" s="24">
        <v>2</v>
      </c>
      <c r="IL5" s="24">
        <v>1</v>
      </c>
      <c r="IM5" s="24">
        <v>2</v>
      </c>
      <c r="IN5" s="24">
        <v>1</v>
      </c>
      <c r="IO5" s="24">
        <v>2</v>
      </c>
      <c r="IP5" s="24">
        <v>1</v>
      </c>
      <c r="IQ5" s="24">
        <v>2</v>
      </c>
      <c r="IR5" s="24">
        <v>3</v>
      </c>
      <c r="IS5" s="24">
        <v>6</v>
      </c>
      <c r="IT5" s="24">
        <v>5</v>
      </c>
      <c r="IU5" s="24">
        <v>2</v>
      </c>
      <c r="IV5" s="24">
        <v>2</v>
      </c>
      <c r="IW5" s="24">
        <v>12</v>
      </c>
      <c r="IX5" s="24">
        <v>9</v>
      </c>
      <c r="IY5" s="24">
        <v>3</v>
      </c>
      <c r="IZ5" s="24">
        <v>1</v>
      </c>
      <c r="JA5" s="24">
        <v>1</v>
      </c>
      <c r="JB5" s="24">
        <v>1</v>
      </c>
      <c r="JC5" s="24">
        <v>1</v>
      </c>
      <c r="JD5" s="24">
        <v>2</v>
      </c>
      <c r="JE5" s="24">
        <v>1</v>
      </c>
      <c r="JF5" s="24">
        <v>2</v>
      </c>
      <c r="JG5" s="24">
        <v>2</v>
      </c>
      <c r="JH5" s="24">
        <v>3</v>
      </c>
      <c r="JI5" s="24">
        <v>9</v>
      </c>
      <c r="JJ5" s="24">
        <v>22</v>
      </c>
      <c r="JK5" s="24">
        <v>22</v>
      </c>
      <c r="JL5" s="24">
        <v>21</v>
      </c>
      <c r="JM5" s="24">
        <v>14</v>
      </c>
      <c r="JN5" s="24">
        <v>5</v>
      </c>
      <c r="JO5" s="24">
        <v>3</v>
      </c>
      <c r="JP5" s="24">
        <v>4</v>
      </c>
      <c r="JQ5" s="24">
        <v>3</v>
      </c>
      <c r="JR5" s="24">
        <v>4</v>
      </c>
      <c r="JS5" s="24">
        <v>4</v>
      </c>
      <c r="JT5" s="24">
        <v>2</v>
      </c>
      <c r="JU5" s="24">
        <v>4</v>
      </c>
      <c r="JV5" s="24">
        <v>4</v>
      </c>
      <c r="JW5" s="24">
        <v>3</v>
      </c>
      <c r="JX5" s="24">
        <v>4</v>
      </c>
      <c r="JY5" s="24">
        <v>3</v>
      </c>
      <c r="JZ5" s="24">
        <v>4</v>
      </c>
      <c r="KA5" s="24">
        <v>3</v>
      </c>
      <c r="KB5" s="24">
        <v>5</v>
      </c>
      <c r="KC5" s="24">
        <v>7</v>
      </c>
      <c r="KD5" s="24">
        <v>7</v>
      </c>
      <c r="KE5" s="24">
        <v>2</v>
      </c>
      <c r="KF5" s="24">
        <v>3</v>
      </c>
      <c r="KG5" s="24">
        <v>4</v>
      </c>
      <c r="KH5" s="24">
        <v>4</v>
      </c>
      <c r="KI5" s="24">
        <v>4</v>
      </c>
      <c r="KJ5" s="24">
        <v>2</v>
      </c>
      <c r="KK5" s="24">
        <v>5</v>
      </c>
      <c r="KL5" s="24">
        <v>6</v>
      </c>
      <c r="KM5" s="24">
        <v>5</v>
      </c>
      <c r="KN5" s="24">
        <v>2</v>
      </c>
      <c r="KO5" s="24">
        <v>2</v>
      </c>
      <c r="KP5" s="24">
        <v>2</v>
      </c>
      <c r="KQ5" s="24">
        <v>2</v>
      </c>
      <c r="KR5" s="24">
        <v>1</v>
      </c>
      <c r="KS5" s="24">
        <v>1</v>
      </c>
      <c r="KT5" s="24">
        <v>0</v>
      </c>
      <c r="KU5" s="24">
        <v>2</v>
      </c>
      <c r="KV5" s="24">
        <v>3</v>
      </c>
      <c r="KW5" s="24">
        <v>2</v>
      </c>
      <c r="KX5" s="24">
        <v>2</v>
      </c>
      <c r="KY5" s="24">
        <v>1</v>
      </c>
      <c r="KZ5" s="24">
        <v>1</v>
      </c>
      <c r="LA5" s="24">
        <v>3</v>
      </c>
      <c r="LB5" s="24">
        <v>3</v>
      </c>
      <c r="LC5" s="24">
        <v>2</v>
      </c>
      <c r="LD5" s="24">
        <v>1</v>
      </c>
      <c r="LE5" s="24">
        <v>2</v>
      </c>
      <c r="LF5" s="24">
        <v>2</v>
      </c>
      <c r="LG5" s="24">
        <v>3</v>
      </c>
      <c r="LH5" s="24">
        <v>3</v>
      </c>
      <c r="LI5" s="24">
        <v>2</v>
      </c>
      <c r="LJ5" s="24">
        <v>0</v>
      </c>
      <c r="LK5" s="24">
        <v>1</v>
      </c>
      <c r="LL5" s="24">
        <v>1</v>
      </c>
      <c r="LM5" s="24">
        <v>1</v>
      </c>
      <c r="LN5" s="24">
        <v>2</v>
      </c>
      <c r="LO5" s="24">
        <v>1</v>
      </c>
      <c r="LP5" s="24">
        <v>0</v>
      </c>
      <c r="LQ5" s="24">
        <v>1</v>
      </c>
      <c r="LR5" s="24">
        <v>1</v>
      </c>
      <c r="LS5" s="24">
        <v>2</v>
      </c>
      <c r="LT5" s="24">
        <v>0</v>
      </c>
      <c r="LU5" s="24">
        <v>0</v>
      </c>
      <c r="LV5" s="24">
        <v>1</v>
      </c>
      <c r="LW5" s="24">
        <v>0</v>
      </c>
      <c r="LX5" s="24">
        <v>1</v>
      </c>
      <c r="LY5" s="24">
        <v>0</v>
      </c>
      <c r="LZ5" s="24">
        <v>1</v>
      </c>
      <c r="MA5" s="24">
        <v>0</v>
      </c>
      <c r="MB5" s="24">
        <v>1</v>
      </c>
      <c r="MC5" s="24">
        <v>1</v>
      </c>
      <c r="MD5" s="24">
        <v>2</v>
      </c>
      <c r="ME5" s="24">
        <v>1</v>
      </c>
      <c r="MF5" s="24">
        <v>2</v>
      </c>
      <c r="MG5" s="24">
        <v>1</v>
      </c>
      <c r="MH5" s="24">
        <v>1</v>
      </c>
      <c r="MI5" s="24">
        <v>1</v>
      </c>
      <c r="MJ5" s="24">
        <v>2</v>
      </c>
      <c r="MK5" s="24">
        <v>3</v>
      </c>
      <c r="ML5" s="24">
        <v>1</v>
      </c>
      <c r="MM5" s="24">
        <v>0</v>
      </c>
      <c r="MN5" s="24">
        <v>1</v>
      </c>
      <c r="MO5" s="24">
        <v>2</v>
      </c>
      <c r="MP5" s="24">
        <v>1</v>
      </c>
      <c r="MQ5" s="24">
        <v>0</v>
      </c>
      <c r="MR5" s="24">
        <v>2</v>
      </c>
      <c r="MS5" s="24">
        <v>2</v>
      </c>
      <c r="MT5" s="24">
        <v>2</v>
      </c>
      <c r="MU5" s="24">
        <v>0</v>
      </c>
      <c r="MV5" s="24">
        <v>2</v>
      </c>
      <c r="MW5" s="24">
        <v>0</v>
      </c>
      <c r="MX5" s="24">
        <v>1</v>
      </c>
      <c r="MY5" s="24">
        <v>0</v>
      </c>
      <c r="MZ5" s="24">
        <v>1</v>
      </c>
      <c r="NA5" s="24">
        <v>2</v>
      </c>
      <c r="NB5" s="24">
        <v>2</v>
      </c>
      <c r="NC5" s="24">
        <v>1</v>
      </c>
      <c r="ND5" s="24">
        <v>1</v>
      </c>
      <c r="NE5" s="24">
        <v>0</v>
      </c>
      <c r="NF5" s="24">
        <v>0</v>
      </c>
      <c r="NG5" s="24">
        <v>1</v>
      </c>
      <c r="NH5" s="24">
        <v>0</v>
      </c>
      <c r="NI5" s="24">
        <v>0</v>
      </c>
      <c r="NJ5" s="24">
        <v>2</v>
      </c>
      <c r="NK5" s="24">
        <v>2</v>
      </c>
      <c r="NL5" s="24">
        <v>2</v>
      </c>
      <c r="NM5" s="24">
        <v>6</v>
      </c>
      <c r="NN5" s="24">
        <v>5</v>
      </c>
      <c r="NO5" s="24">
        <v>6</v>
      </c>
      <c r="NP5" s="24">
        <v>5</v>
      </c>
      <c r="NQ5" s="24">
        <v>4</v>
      </c>
      <c r="NR5" s="24">
        <v>3</v>
      </c>
      <c r="NS5" s="24">
        <v>2</v>
      </c>
      <c r="NT5" s="24">
        <v>2</v>
      </c>
      <c r="NU5" s="24">
        <v>1</v>
      </c>
      <c r="NV5" s="24">
        <v>0</v>
      </c>
      <c r="NW5" s="24">
        <v>1</v>
      </c>
      <c r="NX5" s="24">
        <v>1</v>
      </c>
      <c r="NY5" s="24">
        <v>0</v>
      </c>
      <c r="NZ5" s="24">
        <v>2</v>
      </c>
      <c r="OA5" s="24">
        <v>0</v>
      </c>
      <c r="OB5" s="24">
        <v>1</v>
      </c>
      <c r="OC5" s="24">
        <v>1</v>
      </c>
      <c r="OD5" s="24">
        <v>2</v>
      </c>
      <c r="OE5" s="24">
        <v>1</v>
      </c>
      <c r="OF5" s="24">
        <v>1</v>
      </c>
      <c r="OG5" s="24">
        <v>1</v>
      </c>
      <c r="OH5" s="24">
        <v>2</v>
      </c>
      <c r="OI5" s="24">
        <v>2</v>
      </c>
      <c r="OJ5" s="24">
        <v>1</v>
      </c>
      <c r="OK5" s="24">
        <v>2</v>
      </c>
      <c r="OL5" s="24">
        <v>1</v>
      </c>
      <c r="OM5" s="24">
        <v>2</v>
      </c>
      <c r="ON5" s="24">
        <v>4</v>
      </c>
      <c r="OO5" s="24">
        <v>5</v>
      </c>
      <c r="OP5" s="24">
        <v>3</v>
      </c>
      <c r="OQ5" s="24">
        <v>1</v>
      </c>
      <c r="OR5" s="24">
        <v>1</v>
      </c>
      <c r="OS5" s="24">
        <v>2</v>
      </c>
      <c r="OT5" s="24">
        <v>2</v>
      </c>
      <c r="OU5" s="24">
        <v>1</v>
      </c>
      <c r="OV5" s="24">
        <v>1</v>
      </c>
      <c r="OW5" s="24">
        <v>3</v>
      </c>
      <c r="OX5" s="24">
        <v>4</v>
      </c>
      <c r="OY5" s="24">
        <v>5</v>
      </c>
      <c r="OZ5" s="24">
        <v>3</v>
      </c>
      <c r="PA5" s="24">
        <v>5</v>
      </c>
      <c r="PB5" s="24">
        <v>11</v>
      </c>
      <c r="PC5" s="24">
        <v>14</v>
      </c>
      <c r="PD5" s="24">
        <v>26</v>
      </c>
      <c r="PE5" s="24">
        <v>10</v>
      </c>
      <c r="PF5" s="24">
        <v>1</v>
      </c>
      <c r="PG5" s="24">
        <v>0</v>
      </c>
      <c r="PH5" s="24">
        <v>1</v>
      </c>
      <c r="PI5" s="24">
        <v>0</v>
      </c>
      <c r="PJ5" s="24">
        <v>2</v>
      </c>
      <c r="PK5" s="24">
        <v>8</v>
      </c>
      <c r="PL5" s="24">
        <v>9</v>
      </c>
      <c r="PM5" s="24">
        <v>12</v>
      </c>
      <c r="PN5" s="24">
        <v>12</v>
      </c>
      <c r="PO5" s="24">
        <v>11</v>
      </c>
      <c r="PP5" s="24">
        <v>10</v>
      </c>
      <c r="PQ5" s="24">
        <v>14</v>
      </c>
      <c r="PR5" s="24">
        <v>16</v>
      </c>
      <c r="PS5" s="24">
        <v>18</v>
      </c>
      <c r="PT5" s="24">
        <v>27</v>
      </c>
      <c r="PU5" s="24">
        <v>31</v>
      </c>
      <c r="PV5" s="24">
        <v>12</v>
      </c>
      <c r="PW5" s="24">
        <v>4</v>
      </c>
      <c r="PX5" s="24">
        <v>16</v>
      </c>
      <c r="PY5" s="24">
        <v>14</v>
      </c>
      <c r="PZ5" s="24">
        <v>11</v>
      </c>
      <c r="QA5" s="24">
        <v>11</v>
      </c>
      <c r="QB5" s="24">
        <v>5</v>
      </c>
      <c r="QC5" s="24">
        <v>3</v>
      </c>
      <c r="QD5" s="24">
        <v>2</v>
      </c>
      <c r="QE5" s="24">
        <v>2</v>
      </c>
      <c r="QF5" s="24">
        <v>2</v>
      </c>
      <c r="QG5" s="24">
        <v>7</v>
      </c>
      <c r="QH5" s="24">
        <v>4</v>
      </c>
      <c r="QI5" s="24">
        <v>8</v>
      </c>
      <c r="QJ5" s="24">
        <v>12</v>
      </c>
      <c r="QK5" s="24">
        <v>16</v>
      </c>
      <c r="QL5" s="24">
        <v>17</v>
      </c>
      <c r="QM5" s="24">
        <v>9</v>
      </c>
      <c r="QN5" s="24">
        <v>7</v>
      </c>
      <c r="QO5" s="24">
        <v>6</v>
      </c>
      <c r="QP5" s="24">
        <v>11</v>
      </c>
      <c r="QQ5" s="24">
        <v>15</v>
      </c>
      <c r="QR5" s="24">
        <v>13</v>
      </c>
      <c r="QS5" s="24">
        <v>15</v>
      </c>
      <c r="QT5" s="24">
        <v>14</v>
      </c>
      <c r="QU5" s="24">
        <v>10</v>
      </c>
      <c r="QV5" s="24">
        <v>7</v>
      </c>
      <c r="QW5" s="24">
        <v>9</v>
      </c>
      <c r="QX5" s="24">
        <v>7</v>
      </c>
      <c r="QY5" s="24">
        <v>9</v>
      </c>
      <c r="QZ5" s="24">
        <v>9</v>
      </c>
      <c r="RA5" s="24">
        <v>7</v>
      </c>
      <c r="RB5" s="24">
        <v>4</v>
      </c>
      <c r="RC5" s="24">
        <v>5</v>
      </c>
      <c r="RD5" s="24">
        <v>4</v>
      </c>
      <c r="RE5" s="24">
        <v>2</v>
      </c>
      <c r="RF5" s="24">
        <v>2</v>
      </c>
      <c r="RG5" s="24">
        <v>3</v>
      </c>
      <c r="RH5" s="24">
        <v>3</v>
      </c>
      <c r="RI5" s="24">
        <v>2</v>
      </c>
      <c r="RJ5" s="24">
        <v>1</v>
      </c>
      <c r="RK5" s="24">
        <v>2</v>
      </c>
      <c r="RL5" s="24">
        <v>2</v>
      </c>
      <c r="RM5" s="24">
        <v>3</v>
      </c>
      <c r="RN5" s="24">
        <v>3</v>
      </c>
      <c r="RO5" s="24">
        <v>2</v>
      </c>
      <c r="RP5" s="24">
        <v>2</v>
      </c>
      <c r="RQ5" s="24">
        <v>7</v>
      </c>
      <c r="RR5" s="24">
        <v>10</v>
      </c>
      <c r="RS5" s="24">
        <v>3</v>
      </c>
      <c r="RT5" s="24">
        <v>1</v>
      </c>
      <c r="RU5" s="24">
        <v>4</v>
      </c>
      <c r="RV5" s="24">
        <v>4</v>
      </c>
      <c r="RW5" s="24">
        <v>4</v>
      </c>
      <c r="RX5" s="24">
        <v>8</v>
      </c>
      <c r="RY5" s="24">
        <v>3</v>
      </c>
      <c r="RZ5" s="24">
        <v>3</v>
      </c>
      <c r="SA5" s="24">
        <v>5</v>
      </c>
      <c r="SB5" s="24">
        <v>4</v>
      </c>
      <c r="SC5" s="24">
        <v>4</v>
      </c>
      <c r="SD5" s="24">
        <v>2</v>
      </c>
      <c r="SE5" s="24">
        <v>1</v>
      </c>
      <c r="SF5" s="24">
        <v>2</v>
      </c>
      <c r="SG5" s="24">
        <v>8</v>
      </c>
      <c r="SH5" s="24">
        <v>8</v>
      </c>
      <c r="SI5" s="24">
        <v>11</v>
      </c>
      <c r="SJ5" s="24">
        <v>8</v>
      </c>
      <c r="SK5" s="24">
        <v>4</v>
      </c>
      <c r="SL5" s="24">
        <v>5</v>
      </c>
      <c r="SM5" s="24">
        <v>4</v>
      </c>
      <c r="SN5" s="24">
        <v>3</v>
      </c>
      <c r="SO5" s="24">
        <v>1</v>
      </c>
      <c r="SP5" s="24">
        <v>6</v>
      </c>
      <c r="SQ5" s="24">
        <v>2</v>
      </c>
      <c r="SR5" s="24">
        <v>5</v>
      </c>
      <c r="SS5" s="24">
        <v>1</v>
      </c>
      <c r="ST5" s="24">
        <v>6</v>
      </c>
      <c r="SU5" s="24">
        <v>5</v>
      </c>
      <c r="SV5" s="24">
        <v>1</v>
      </c>
      <c r="SW5" s="24">
        <v>1</v>
      </c>
      <c r="SX5" s="24">
        <v>1</v>
      </c>
      <c r="SY5" s="24">
        <v>1</v>
      </c>
      <c r="SZ5" s="24">
        <v>2</v>
      </c>
      <c r="TA5" s="24">
        <v>3</v>
      </c>
      <c r="TB5" s="24">
        <v>1</v>
      </c>
      <c r="TC5" s="24">
        <v>3</v>
      </c>
      <c r="TD5" s="24">
        <v>3</v>
      </c>
      <c r="TE5" s="24">
        <v>4</v>
      </c>
      <c r="TF5" s="24">
        <v>2</v>
      </c>
      <c r="TG5" s="24">
        <v>3</v>
      </c>
      <c r="TH5" s="24">
        <v>6</v>
      </c>
      <c r="TI5" s="24">
        <v>3</v>
      </c>
      <c r="TJ5" s="24">
        <v>7</v>
      </c>
      <c r="TK5" s="24">
        <v>4</v>
      </c>
      <c r="TL5" s="24">
        <v>3</v>
      </c>
      <c r="TM5" s="24">
        <v>0</v>
      </c>
      <c r="TN5" s="24">
        <v>2</v>
      </c>
      <c r="TO5" s="24">
        <v>2</v>
      </c>
      <c r="TP5" s="24">
        <v>0</v>
      </c>
      <c r="TQ5" s="24">
        <v>1</v>
      </c>
      <c r="TR5" s="24">
        <v>1</v>
      </c>
      <c r="TS5" s="24">
        <v>2</v>
      </c>
      <c r="TT5" s="24">
        <v>0</v>
      </c>
      <c r="TU5" s="24">
        <v>1</v>
      </c>
      <c r="TV5" s="24">
        <v>2</v>
      </c>
      <c r="TW5" s="24">
        <v>7</v>
      </c>
      <c r="TX5" s="24">
        <v>4</v>
      </c>
      <c r="TY5" s="24">
        <v>4</v>
      </c>
      <c r="TZ5" s="24">
        <v>2</v>
      </c>
      <c r="UA5" s="24">
        <v>2</v>
      </c>
      <c r="UB5" s="24">
        <v>2</v>
      </c>
      <c r="UC5" s="24">
        <v>4</v>
      </c>
      <c r="UD5" s="24">
        <v>5</v>
      </c>
      <c r="UE5" s="24">
        <v>5</v>
      </c>
      <c r="UF5" s="24">
        <v>5</v>
      </c>
      <c r="UG5" s="24">
        <v>2</v>
      </c>
      <c r="UH5" s="24">
        <v>4</v>
      </c>
      <c r="UI5" s="24">
        <v>2</v>
      </c>
      <c r="UJ5" s="24">
        <v>1</v>
      </c>
      <c r="UK5" s="24">
        <v>1</v>
      </c>
      <c r="UL5" s="24">
        <v>2</v>
      </c>
      <c r="UM5" s="24">
        <v>1</v>
      </c>
      <c r="UN5" s="24">
        <v>3</v>
      </c>
      <c r="UO5" s="24">
        <v>2</v>
      </c>
      <c r="UP5" s="24">
        <v>3</v>
      </c>
      <c r="UQ5" s="24">
        <v>4</v>
      </c>
      <c r="UR5" s="24">
        <v>3</v>
      </c>
      <c r="US5" s="24">
        <v>4</v>
      </c>
      <c r="UT5" s="24">
        <v>3</v>
      </c>
      <c r="UU5" s="24">
        <v>6</v>
      </c>
      <c r="UV5" s="24">
        <v>4</v>
      </c>
      <c r="UW5" s="24">
        <v>2</v>
      </c>
      <c r="UX5" s="24">
        <v>3</v>
      </c>
      <c r="UY5" s="24">
        <v>5</v>
      </c>
      <c r="UZ5" s="24">
        <v>1</v>
      </c>
      <c r="VA5" s="24">
        <v>1</v>
      </c>
      <c r="VB5" s="24">
        <v>4</v>
      </c>
      <c r="VC5" s="24">
        <v>2</v>
      </c>
      <c r="VD5" s="24">
        <v>5</v>
      </c>
      <c r="VE5" s="24">
        <v>2</v>
      </c>
      <c r="VF5" s="24">
        <v>3</v>
      </c>
      <c r="VG5" s="24">
        <v>1</v>
      </c>
      <c r="VH5" s="24">
        <v>1</v>
      </c>
      <c r="VI5" s="24">
        <v>3</v>
      </c>
      <c r="VJ5" s="24">
        <v>4</v>
      </c>
      <c r="VK5" s="24">
        <v>2</v>
      </c>
      <c r="VL5" s="24">
        <v>3</v>
      </c>
      <c r="VM5" s="24">
        <v>3</v>
      </c>
      <c r="VN5" s="24">
        <v>1</v>
      </c>
      <c r="VO5" s="24">
        <v>1</v>
      </c>
      <c r="VP5" s="24">
        <v>0</v>
      </c>
      <c r="VQ5" s="24">
        <v>5</v>
      </c>
      <c r="VR5" s="24">
        <v>2</v>
      </c>
      <c r="VS5" s="24">
        <v>2</v>
      </c>
      <c r="VT5" s="24">
        <v>3</v>
      </c>
      <c r="VU5" s="24">
        <v>3</v>
      </c>
      <c r="VV5" s="24">
        <v>5</v>
      </c>
      <c r="VW5" s="24">
        <v>2</v>
      </c>
      <c r="VX5" s="24">
        <v>2</v>
      </c>
      <c r="VY5" s="24">
        <v>3</v>
      </c>
      <c r="VZ5" s="24">
        <v>1</v>
      </c>
      <c r="WA5" s="24">
        <v>1</v>
      </c>
      <c r="WB5" s="24">
        <v>3</v>
      </c>
      <c r="WC5" s="24">
        <v>2</v>
      </c>
      <c r="WD5" s="24">
        <v>0</v>
      </c>
      <c r="WE5" s="24">
        <v>4</v>
      </c>
      <c r="WF5" s="24">
        <v>5</v>
      </c>
      <c r="WG5" s="24">
        <v>5</v>
      </c>
      <c r="WH5" s="24">
        <v>3</v>
      </c>
      <c r="WI5" s="24">
        <v>2</v>
      </c>
      <c r="WJ5" s="24">
        <v>1</v>
      </c>
      <c r="WK5" s="24">
        <v>5</v>
      </c>
      <c r="WL5" s="24">
        <v>3</v>
      </c>
      <c r="WM5" s="24">
        <v>2</v>
      </c>
      <c r="WN5" s="24">
        <v>1</v>
      </c>
      <c r="WO5" s="24">
        <v>4</v>
      </c>
      <c r="WP5" s="24">
        <v>1</v>
      </c>
      <c r="WQ5" s="24">
        <v>13</v>
      </c>
      <c r="WR5" s="24">
        <v>3</v>
      </c>
      <c r="WS5" s="24">
        <v>2</v>
      </c>
      <c r="WT5" s="24">
        <v>1</v>
      </c>
      <c r="WU5" s="24">
        <v>1</v>
      </c>
      <c r="WV5" s="24">
        <v>2</v>
      </c>
      <c r="WW5" s="24">
        <v>0</v>
      </c>
      <c r="WX5" s="24">
        <v>1</v>
      </c>
      <c r="WY5" s="13">
        <v>2</v>
      </c>
      <c r="WZ5" s="13">
        <v>2</v>
      </c>
      <c r="XA5" s="13">
        <v>5</v>
      </c>
      <c r="XB5" s="13">
        <v>4</v>
      </c>
      <c r="XC5" s="13">
        <v>0</v>
      </c>
      <c r="XD5" s="13">
        <v>1</v>
      </c>
      <c r="XE5" s="13">
        <v>3</v>
      </c>
      <c r="XF5" s="13">
        <v>1</v>
      </c>
      <c r="XG5" s="13">
        <v>1</v>
      </c>
      <c r="XH5" s="13">
        <v>5</v>
      </c>
      <c r="XI5" s="13">
        <v>1</v>
      </c>
      <c r="XJ5" s="13">
        <v>3</v>
      </c>
      <c r="XK5" s="13">
        <v>2</v>
      </c>
      <c r="XL5" s="13">
        <v>4</v>
      </c>
      <c r="XM5" s="13">
        <v>2</v>
      </c>
      <c r="XN5" s="13">
        <v>1</v>
      </c>
      <c r="XO5" s="13">
        <v>1</v>
      </c>
      <c r="XP5" s="13">
        <v>1</v>
      </c>
      <c r="XQ5" s="13">
        <v>2</v>
      </c>
      <c r="XR5" s="13">
        <v>3</v>
      </c>
      <c r="XS5" s="13">
        <v>2</v>
      </c>
      <c r="XT5" s="13">
        <v>1</v>
      </c>
      <c r="XU5" s="13">
        <v>0</v>
      </c>
      <c r="XV5" s="13">
        <v>1</v>
      </c>
      <c r="XW5" s="13">
        <v>1</v>
      </c>
      <c r="XX5" s="13">
        <v>3</v>
      </c>
      <c r="XY5" s="13">
        <v>2</v>
      </c>
      <c r="XZ5" s="13">
        <v>0</v>
      </c>
      <c r="YA5" s="13">
        <v>3</v>
      </c>
      <c r="YB5" s="13">
        <v>1</v>
      </c>
      <c r="YC5" s="24">
        <v>1</v>
      </c>
      <c r="YD5" s="24">
        <v>4</v>
      </c>
      <c r="YE5" s="24">
        <v>7</v>
      </c>
      <c r="YF5" s="24">
        <v>3</v>
      </c>
      <c r="YG5" s="24">
        <v>3</v>
      </c>
      <c r="YH5" s="24">
        <v>3</v>
      </c>
      <c r="YI5" s="24">
        <v>1</v>
      </c>
      <c r="YJ5" s="24">
        <v>3</v>
      </c>
      <c r="YK5" s="24">
        <v>1</v>
      </c>
      <c r="YL5" s="24">
        <v>1</v>
      </c>
      <c r="YM5" s="24">
        <v>2</v>
      </c>
      <c r="YN5" s="24">
        <v>1</v>
      </c>
      <c r="YO5" s="24">
        <v>0</v>
      </c>
      <c r="YP5" s="24">
        <v>1</v>
      </c>
      <c r="YQ5" s="24">
        <v>2</v>
      </c>
      <c r="YR5" s="24">
        <v>0</v>
      </c>
      <c r="YS5" s="24">
        <v>0</v>
      </c>
      <c r="YT5" s="24">
        <v>2</v>
      </c>
      <c r="YU5" s="24">
        <v>3</v>
      </c>
      <c r="YV5" s="24">
        <v>1</v>
      </c>
      <c r="YW5" s="24">
        <v>1</v>
      </c>
      <c r="YX5" s="24">
        <v>4</v>
      </c>
      <c r="YY5" s="24">
        <v>2</v>
      </c>
      <c r="YZ5" s="24">
        <v>3</v>
      </c>
      <c r="ZA5" s="24">
        <v>4</v>
      </c>
      <c r="ZB5" s="24">
        <v>3</v>
      </c>
      <c r="ZC5" s="24">
        <v>2</v>
      </c>
      <c r="ZD5" s="24">
        <v>3</v>
      </c>
      <c r="ZE5" s="24">
        <v>1</v>
      </c>
      <c r="ZF5" s="24">
        <v>1</v>
      </c>
      <c r="ZG5" s="24">
        <v>3</v>
      </c>
      <c r="ZH5" s="24">
        <v>2</v>
      </c>
      <c r="ZI5" s="24">
        <v>3</v>
      </c>
      <c r="ZJ5" s="24">
        <v>2</v>
      </c>
      <c r="ZK5" s="24">
        <v>2</v>
      </c>
      <c r="ZL5" s="24">
        <v>3</v>
      </c>
      <c r="ZM5" s="13">
        <v>7</v>
      </c>
      <c r="ZN5" s="13">
        <v>7</v>
      </c>
      <c r="ZO5" s="13">
        <v>7</v>
      </c>
      <c r="ZP5" s="13">
        <v>5</v>
      </c>
      <c r="ZQ5" s="13">
        <v>5</v>
      </c>
      <c r="ZR5" s="13">
        <v>4</v>
      </c>
      <c r="ZS5" s="13">
        <v>2</v>
      </c>
      <c r="ZT5" s="24">
        <v>3</v>
      </c>
      <c r="ZU5" s="24">
        <v>2</v>
      </c>
      <c r="ZV5" s="24">
        <v>4</v>
      </c>
      <c r="ZW5" s="24">
        <v>2</v>
      </c>
      <c r="ZX5" s="24">
        <v>2</v>
      </c>
      <c r="ZY5" s="24">
        <v>3</v>
      </c>
      <c r="ZZ5" s="24">
        <v>6</v>
      </c>
      <c r="AAA5" s="24">
        <v>4</v>
      </c>
      <c r="AAB5" s="24">
        <v>1</v>
      </c>
      <c r="AAC5" s="24">
        <v>2</v>
      </c>
      <c r="AAD5" s="24">
        <v>4</v>
      </c>
      <c r="AAE5" s="24">
        <v>4</v>
      </c>
      <c r="AAF5" s="24">
        <v>3</v>
      </c>
      <c r="AAG5" s="24">
        <v>3</v>
      </c>
      <c r="AAH5" s="24">
        <v>1</v>
      </c>
      <c r="AAI5" s="24">
        <v>1</v>
      </c>
      <c r="AAJ5" s="24">
        <v>3</v>
      </c>
      <c r="AAK5" s="24">
        <v>2</v>
      </c>
      <c r="AAL5" s="24">
        <v>3</v>
      </c>
      <c r="AAM5" s="24">
        <v>2</v>
      </c>
      <c r="AAN5" s="24">
        <v>4</v>
      </c>
      <c r="AAO5" s="24">
        <v>4</v>
      </c>
      <c r="AAP5" s="24">
        <v>4</v>
      </c>
      <c r="AAQ5" s="24">
        <v>7</v>
      </c>
      <c r="AAR5" s="24">
        <v>5</v>
      </c>
      <c r="AAS5" s="24">
        <v>7</v>
      </c>
      <c r="AAT5" s="24">
        <v>5</v>
      </c>
      <c r="AAU5" s="24">
        <v>3</v>
      </c>
      <c r="AAV5" s="24">
        <v>2</v>
      </c>
      <c r="AAW5" s="24">
        <v>5</v>
      </c>
      <c r="AAX5" s="24">
        <v>5</v>
      </c>
      <c r="AAY5" s="24">
        <v>9</v>
      </c>
      <c r="AAZ5" s="24">
        <v>7</v>
      </c>
      <c r="ABA5" s="24">
        <v>8</v>
      </c>
      <c r="ABB5" s="24">
        <v>5</v>
      </c>
      <c r="ABC5" s="24">
        <v>5</v>
      </c>
      <c r="ABD5" s="24">
        <v>2</v>
      </c>
      <c r="ABE5" s="24">
        <v>1</v>
      </c>
      <c r="ABF5" s="24">
        <v>2</v>
      </c>
      <c r="ABG5" s="24">
        <v>1</v>
      </c>
      <c r="ABH5" s="24">
        <v>2</v>
      </c>
      <c r="ABI5" s="24">
        <v>2</v>
      </c>
      <c r="ABJ5" s="24">
        <v>3</v>
      </c>
      <c r="ABK5" s="24">
        <v>1</v>
      </c>
      <c r="ABL5" s="24">
        <v>1</v>
      </c>
      <c r="ABM5" s="24">
        <v>5</v>
      </c>
      <c r="ABN5" s="24">
        <v>5</v>
      </c>
      <c r="ABO5" s="24">
        <v>1</v>
      </c>
      <c r="ABP5" s="24">
        <v>0</v>
      </c>
      <c r="ABQ5" s="24">
        <v>3</v>
      </c>
      <c r="ABR5" s="24">
        <v>2</v>
      </c>
      <c r="ABS5" s="24">
        <v>1</v>
      </c>
      <c r="ABT5" s="24">
        <v>1</v>
      </c>
      <c r="ABU5" s="24">
        <v>3</v>
      </c>
      <c r="ABV5" s="24">
        <v>0</v>
      </c>
      <c r="ABW5" s="24">
        <v>1</v>
      </c>
      <c r="ABX5" s="24">
        <v>4</v>
      </c>
      <c r="ABY5" s="24">
        <v>1</v>
      </c>
      <c r="ABZ5" s="24">
        <v>2</v>
      </c>
      <c r="ACA5" s="24">
        <v>2</v>
      </c>
      <c r="ACB5" s="24">
        <v>2</v>
      </c>
      <c r="ACC5" s="24">
        <v>2</v>
      </c>
      <c r="ACD5" s="24">
        <v>0</v>
      </c>
      <c r="ACE5" s="24">
        <v>0</v>
      </c>
      <c r="ACF5" s="24">
        <v>2</v>
      </c>
      <c r="ACG5" s="24">
        <v>0</v>
      </c>
      <c r="ACH5" s="24">
        <v>0</v>
      </c>
      <c r="ACI5" s="24">
        <v>2</v>
      </c>
      <c r="ACJ5" s="24">
        <v>1</v>
      </c>
      <c r="ACK5" s="24">
        <v>1</v>
      </c>
      <c r="ACL5" s="24">
        <v>1</v>
      </c>
      <c r="ACM5" s="24">
        <v>2</v>
      </c>
      <c r="ACN5" s="24">
        <v>0</v>
      </c>
      <c r="ACO5" s="24">
        <v>2</v>
      </c>
      <c r="ACP5" s="24">
        <v>1</v>
      </c>
      <c r="ACQ5" s="24">
        <v>2</v>
      </c>
      <c r="ACR5" s="24">
        <v>2</v>
      </c>
      <c r="ACS5" s="24">
        <v>2</v>
      </c>
      <c r="ACT5" s="24">
        <v>1</v>
      </c>
      <c r="ACU5" s="24">
        <v>2</v>
      </c>
      <c r="ACV5" s="24">
        <v>0</v>
      </c>
      <c r="ACW5" s="24">
        <v>6</v>
      </c>
      <c r="ACX5" s="24">
        <v>1</v>
      </c>
      <c r="ACY5" s="24">
        <v>1</v>
      </c>
      <c r="ACZ5" s="24">
        <v>1</v>
      </c>
      <c r="ADA5" s="24">
        <v>1</v>
      </c>
      <c r="ADB5" s="24">
        <v>1</v>
      </c>
      <c r="ADC5" s="24">
        <v>1</v>
      </c>
      <c r="ADD5" s="24">
        <v>1</v>
      </c>
      <c r="ADE5" s="24">
        <v>1</v>
      </c>
      <c r="ADF5" s="24">
        <v>1</v>
      </c>
      <c r="ADG5" s="24">
        <v>2</v>
      </c>
      <c r="ADH5" s="24">
        <v>3</v>
      </c>
      <c r="ADI5" s="24">
        <v>1</v>
      </c>
      <c r="ADJ5" s="24">
        <v>2</v>
      </c>
      <c r="ADK5" s="24">
        <v>3</v>
      </c>
      <c r="ADL5" s="24">
        <v>1</v>
      </c>
      <c r="ADM5" s="24">
        <v>1</v>
      </c>
      <c r="ADN5" s="24">
        <v>2</v>
      </c>
      <c r="ADO5" s="24">
        <v>1</v>
      </c>
      <c r="ADP5" s="24">
        <v>0</v>
      </c>
      <c r="ADQ5" s="24">
        <v>1</v>
      </c>
      <c r="ADR5" s="24">
        <v>2</v>
      </c>
      <c r="ADS5" s="24">
        <v>0</v>
      </c>
      <c r="ADT5" s="24">
        <v>1</v>
      </c>
      <c r="ADU5" s="24">
        <v>3</v>
      </c>
      <c r="ADV5" s="24">
        <v>1</v>
      </c>
      <c r="ADW5" s="24">
        <v>1</v>
      </c>
    </row>
    <row r="6" spans="1:803" x14ac:dyDescent="0.3">
      <c r="T6" s="24" t="s">
        <v>307</v>
      </c>
      <c r="U6" s="24" t="s">
        <v>307</v>
      </c>
      <c r="AD6" s="24" t="s">
        <v>308</v>
      </c>
    </row>
    <row r="7" spans="1:803" x14ac:dyDescent="0.3">
      <c r="AO7" s="26"/>
      <c r="AP7" s="26"/>
      <c r="AQ7" s="26"/>
      <c r="AR7" s="26"/>
      <c r="AS7" s="26"/>
      <c r="AT7" s="26" t="s">
        <v>309</v>
      </c>
      <c r="AU7" s="26"/>
      <c r="BE7" s="24" t="s">
        <v>310</v>
      </c>
      <c r="BF7" s="24" t="s">
        <v>310</v>
      </c>
      <c r="BG7" s="24" t="s">
        <v>310</v>
      </c>
      <c r="CL7" s="24" t="s">
        <v>311</v>
      </c>
      <c r="CM7" s="24" t="s">
        <v>311</v>
      </c>
      <c r="CN7" s="24" t="s">
        <v>312</v>
      </c>
      <c r="DS7" s="24" t="s">
        <v>313</v>
      </c>
      <c r="FE7" s="24" t="s">
        <v>314</v>
      </c>
      <c r="FF7" s="24" t="s">
        <v>314</v>
      </c>
      <c r="FO7" s="24" t="s">
        <v>315</v>
      </c>
      <c r="FT7" s="24" t="s">
        <v>316</v>
      </c>
      <c r="FU7" s="24" t="s">
        <v>316</v>
      </c>
      <c r="FV7" s="24" t="s">
        <v>316</v>
      </c>
      <c r="FW7" s="24" t="s">
        <v>316</v>
      </c>
      <c r="GB7" s="24" t="s">
        <v>317</v>
      </c>
      <c r="GC7" s="24" t="s">
        <v>317</v>
      </c>
      <c r="GD7" s="24" t="s">
        <v>317</v>
      </c>
      <c r="GE7" s="24" t="s">
        <v>317</v>
      </c>
      <c r="GF7" s="24" t="s">
        <v>317</v>
      </c>
      <c r="GG7" s="24" t="s">
        <v>317</v>
      </c>
      <c r="GH7" s="24" t="s">
        <v>317</v>
      </c>
      <c r="GI7" s="24" t="s">
        <v>317</v>
      </c>
      <c r="GJ7" s="24" t="s">
        <v>318</v>
      </c>
      <c r="GK7" s="24" t="s">
        <v>319</v>
      </c>
      <c r="GL7" s="24" t="s">
        <v>319</v>
      </c>
      <c r="GM7" s="24" t="s">
        <v>319</v>
      </c>
      <c r="GN7" s="24" t="s">
        <v>319</v>
      </c>
      <c r="GO7" s="24" t="s">
        <v>319</v>
      </c>
      <c r="GP7" s="24" t="s">
        <v>320</v>
      </c>
      <c r="GQ7" s="24" t="s">
        <v>320</v>
      </c>
      <c r="GR7" s="24" t="s">
        <v>320</v>
      </c>
      <c r="HA7" s="24" t="s">
        <v>321</v>
      </c>
      <c r="HB7" s="24" t="s">
        <v>321</v>
      </c>
      <c r="HC7" s="24" t="s">
        <v>321</v>
      </c>
      <c r="HJ7" s="24" t="s">
        <v>322</v>
      </c>
      <c r="HK7" s="24" t="s">
        <v>322</v>
      </c>
      <c r="HL7" s="24" t="s">
        <v>322</v>
      </c>
      <c r="IC7" s="24" t="s">
        <v>323</v>
      </c>
      <c r="ID7" s="24" t="s">
        <v>323</v>
      </c>
      <c r="IE7" s="24" t="s">
        <v>323</v>
      </c>
      <c r="II7" s="24" t="s">
        <v>324</v>
      </c>
      <c r="IJ7" s="24" t="s">
        <v>324</v>
      </c>
      <c r="IK7" s="24" t="s">
        <v>324</v>
      </c>
      <c r="IP7" s="24" t="s">
        <v>325</v>
      </c>
      <c r="IQ7" s="24" t="s">
        <v>325</v>
      </c>
      <c r="IR7" s="24" t="s">
        <v>325</v>
      </c>
      <c r="IS7" s="24" t="s">
        <v>325</v>
      </c>
      <c r="IT7" s="24" t="s">
        <v>325</v>
      </c>
      <c r="IX7" s="24" t="s">
        <v>326</v>
      </c>
      <c r="IY7" s="24" t="s">
        <v>326</v>
      </c>
      <c r="IZ7" s="24" t="s">
        <v>326</v>
      </c>
      <c r="JA7" s="24" t="s">
        <v>326</v>
      </c>
      <c r="JG7" s="24" t="s">
        <v>327</v>
      </c>
      <c r="JH7" s="24" t="s">
        <v>327</v>
      </c>
      <c r="JI7" s="24" t="s">
        <v>327</v>
      </c>
      <c r="JJ7" s="24" t="s">
        <v>327</v>
      </c>
      <c r="JK7" s="24" t="s">
        <v>327</v>
      </c>
      <c r="JL7" s="24" t="s">
        <v>327</v>
      </c>
      <c r="JM7" s="24" t="s">
        <v>327</v>
      </c>
      <c r="JX7" s="24" t="s">
        <v>328</v>
      </c>
      <c r="JY7" s="24" t="s">
        <v>328</v>
      </c>
      <c r="JZ7" s="24" t="s">
        <v>328</v>
      </c>
      <c r="KA7" s="24" t="s">
        <v>328</v>
      </c>
      <c r="KB7" s="24" t="s">
        <v>328</v>
      </c>
      <c r="KC7" s="24" t="s">
        <v>328</v>
      </c>
      <c r="KD7" s="24" t="s">
        <v>328</v>
      </c>
    </row>
    <row r="12" spans="1:803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</row>
    <row r="25" spans="729:729" x14ac:dyDescent="0.3">
      <c r="ABA25" s="24">
        <v>14</v>
      </c>
    </row>
  </sheetData>
  <phoneticPr fontId="9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D489"/>
  <sheetViews>
    <sheetView topLeftCell="A13" workbookViewId="0">
      <selection activeCell="D32" sqref="D32"/>
    </sheetView>
  </sheetViews>
  <sheetFormatPr defaultColWidth="8.75" defaultRowHeight="14" x14ac:dyDescent="0.3"/>
  <cols>
    <col min="1" max="1" width="5.75" customWidth="1"/>
    <col min="2" max="2" width="19.75" customWidth="1"/>
    <col min="3" max="3" width="10.33203125" customWidth="1"/>
    <col min="4" max="4" width="15.08203125" customWidth="1"/>
    <col min="14" max="14" width="19.75" customWidth="1"/>
    <col min="15" max="15" width="11.58203125" customWidth="1"/>
    <col min="16" max="16" width="15.58203125" customWidth="1"/>
    <col min="18" max="18" width="19.75" customWidth="1"/>
    <col min="19" max="19" width="11" customWidth="1"/>
    <col min="20" max="20" width="14.33203125" customWidth="1"/>
    <col min="22" max="22" width="17.08203125" customWidth="1"/>
    <col min="23" max="23" width="10.33203125" customWidth="1"/>
    <col min="24" max="24" width="15.33203125" customWidth="1"/>
    <col min="29" max="29" width="17.08203125" customWidth="1"/>
    <col min="30" max="30" width="9.75" customWidth="1"/>
  </cols>
  <sheetData>
    <row r="2" spans="1:30" x14ac:dyDescent="0.3">
      <c r="B2" s="6" t="s">
        <v>337</v>
      </c>
      <c r="C2" s="6" t="e">
        <f ca="1">[2]!s_info_name($B$2)</f>
        <v>#NAME?</v>
      </c>
      <c r="D2" s="7" t="e">
        <f ca="1">[2]!i_dq_pctchange(B2,#REF!)</f>
        <v>#NAME?</v>
      </c>
      <c r="N2" s="6" t="s">
        <v>338</v>
      </c>
      <c r="O2" s="6" t="e">
        <f ca="1">[2]!s_info_name(N2)</f>
        <v>#NAME?</v>
      </c>
      <c r="P2" s="7" t="e">
        <f ca="1">[2]!i_dq_pctchange(N2,#REF!)</f>
        <v>#NAME?</v>
      </c>
      <c r="R2" s="6" t="s">
        <v>339</v>
      </c>
      <c r="S2" s="6" t="e">
        <f ca="1">[2]!s_info_name(R2)</f>
        <v>#NAME?</v>
      </c>
      <c r="T2" s="7" t="e">
        <f ca="1">[2]!i_dq_pctchange(R2,#REF!)</f>
        <v>#NAME?</v>
      </c>
      <c r="V2" s="6" t="s">
        <v>340</v>
      </c>
      <c r="W2" s="6" t="e">
        <f ca="1">[2]!s_info_name(V2)</f>
        <v>#NAME?</v>
      </c>
      <c r="X2" s="7" t="e">
        <f ca="1">[2]!i_dq_pctchange(V2,#REF!)</f>
        <v>#NAME?</v>
      </c>
    </row>
    <row r="3" spans="1:30" x14ac:dyDescent="0.3">
      <c r="A3" s="6"/>
      <c r="B3" s="6" t="s">
        <v>341</v>
      </c>
      <c r="C3" s="6" t="s">
        <v>336</v>
      </c>
      <c r="D3" s="6" t="s">
        <v>342</v>
      </c>
      <c r="N3" s="6" t="s">
        <v>341</v>
      </c>
      <c r="O3" s="6" t="s">
        <v>336</v>
      </c>
      <c r="P3" s="6" t="s">
        <v>342</v>
      </c>
      <c r="R3" s="6" t="s">
        <v>341</v>
      </c>
      <c r="S3" s="6" t="s">
        <v>336</v>
      </c>
      <c r="T3" s="6" t="s">
        <v>342</v>
      </c>
      <c r="V3" s="6" t="s">
        <v>341</v>
      </c>
      <c r="W3" s="6" t="s">
        <v>336</v>
      </c>
      <c r="X3" s="6" t="s">
        <v>342</v>
      </c>
    </row>
    <row r="4" spans="1:30" x14ac:dyDescent="0.3">
      <c r="A4" s="6" t="s">
        <v>343</v>
      </c>
      <c r="B4" s="6" t="e">
        <f>TEXT(#REF!,"yyyy-mm-dd")&amp;" 09:00"</f>
        <v>#REF!</v>
      </c>
      <c r="C4" s="6" t="s">
        <v>344</v>
      </c>
      <c r="D4" s="6" t="s">
        <v>345</v>
      </c>
      <c r="N4" s="6" t="e">
        <f>B4</f>
        <v>#REF!</v>
      </c>
      <c r="O4" s="6" t="s">
        <v>344</v>
      </c>
      <c r="P4" s="6" t="s">
        <v>345</v>
      </c>
      <c r="R4" s="6" t="e">
        <f>B4</f>
        <v>#REF!</v>
      </c>
      <c r="S4" s="6" t="s">
        <v>344</v>
      </c>
      <c r="T4" s="6" t="s">
        <v>345</v>
      </c>
      <c r="V4" s="6" t="e">
        <f>B4</f>
        <v>#REF!</v>
      </c>
      <c r="W4" s="6" t="s">
        <v>344</v>
      </c>
      <c r="X4" s="6" t="s">
        <v>345</v>
      </c>
    </row>
    <row r="5" spans="1:30" x14ac:dyDescent="0.3">
      <c r="A5" s="8" t="e">
        <f t="shared" ref="A5:A68" ca="1" si="0">TEXT(B5,"hh:mm")</f>
        <v>#NAME?</v>
      </c>
      <c r="B5" s="9" t="e">
        <f ca="1">[2]!WSI(B2,C4:D4,B4,"","MaxPoints=500","periodstart=09:00:00;periodend=15:00:00","Fill=Previous","cols=3;rows=242")</f>
        <v>#NAME?</v>
      </c>
      <c r="C5" s="10">
        <v>3231.7289999999998</v>
      </c>
      <c r="D5" s="10">
        <v>1423181000</v>
      </c>
      <c r="E5" s="6"/>
      <c r="N5" s="9" t="e">
        <f ca="1">[2]!WSI(N2,O4:P4,N4,"","MaxPoints=500","periodstart=09:00:00;periodend=15:00:00","Fill=Previous","cols=3;rows=242")</f>
        <v>#NAME?</v>
      </c>
      <c r="O5" s="10">
        <v>12035.7538</v>
      </c>
      <c r="P5" s="10">
        <v>2107356400</v>
      </c>
      <c r="Q5" s="6"/>
      <c r="R5" s="9" t="e">
        <f ca="1">[2]!WSI(R2,S4:T4,R4,"","MaxPoints=500","periodstart=09:00:00;periodend=15:00:00","Fill=Previous","cols=3;rows=242")</f>
        <v>#NAME?</v>
      </c>
      <c r="S5" s="10">
        <v>2641.4497999999999</v>
      </c>
      <c r="T5" s="10">
        <v>421737300</v>
      </c>
      <c r="V5" s="9" t="e">
        <f ca="1">[2]!WSI(V2,W4:X4,V4,"","MaxPoints=500","periodstart=09:00:00;periodend=15:00:00","Fill=Previous","cols=3;rows=242")</f>
        <v>#NAME?</v>
      </c>
      <c r="W5" s="10">
        <v>1083.8966</v>
      </c>
      <c r="X5" s="10">
        <v>15695100</v>
      </c>
    </row>
    <row r="6" spans="1:30" x14ac:dyDescent="0.3">
      <c r="A6" s="8" t="str">
        <f t="shared" si="0"/>
        <v>09:31</v>
      </c>
      <c r="B6" s="9">
        <v>44652.396527777797</v>
      </c>
      <c r="C6" s="10">
        <v>3229.6298999999999</v>
      </c>
      <c r="D6" s="10">
        <v>571116400</v>
      </c>
      <c r="E6" s="6"/>
      <c r="N6" s="9">
        <v>44652.396527777797</v>
      </c>
      <c r="O6" s="10">
        <v>12025.6121</v>
      </c>
      <c r="P6" s="10">
        <v>944662500</v>
      </c>
      <c r="Q6" s="6"/>
      <c r="R6" s="9">
        <v>44652.396527777797</v>
      </c>
      <c r="S6" s="10">
        <v>2639.9501</v>
      </c>
      <c r="T6" s="10">
        <v>210061100</v>
      </c>
      <c r="V6" s="9">
        <v>44652.396527777797</v>
      </c>
      <c r="W6" s="10">
        <v>1082.1343999999999</v>
      </c>
      <c r="X6" s="10">
        <v>9083700</v>
      </c>
      <c r="AC6" s="6"/>
      <c r="AD6" s="6"/>
    </row>
    <row r="7" spans="1:30" x14ac:dyDescent="0.3">
      <c r="A7" s="8" t="str">
        <f t="shared" si="0"/>
        <v>09:32</v>
      </c>
      <c r="B7" s="9">
        <v>44652.3972222222</v>
      </c>
      <c r="C7" s="10">
        <v>3232.4504000000002</v>
      </c>
      <c r="D7" s="10">
        <v>490443100</v>
      </c>
      <c r="E7" s="6"/>
      <c r="N7" s="9">
        <v>44652.3972222222</v>
      </c>
      <c r="O7" s="10">
        <v>12034.017</v>
      </c>
      <c r="P7" s="10">
        <v>765797500</v>
      </c>
      <c r="Q7" s="6"/>
      <c r="R7" s="9">
        <v>44652.3972222222</v>
      </c>
      <c r="S7" s="10">
        <v>2642.1104</v>
      </c>
      <c r="T7" s="10">
        <v>185660800</v>
      </c>
      <c r="V7" s="9">
        <v>44652.3972222222</v>
      </c>
      <c r="W7" s="10">
        <v>1083.454</v>
      </c>
      <c r="X7" s="10">
        <v>7839000</v>
      </c>
      <c r="AC7" s="6"/>
      <c r="AD7" s="6"/>
    </row>
    <row r="8" spans="1:30" x14ac:dyDescent="0.3">
      <c r="A8" s="8" t="str">
        <f t="shared" si="0"/>
        <v>09:33</v>
      </c>
      <c r="B8" s="9">
        <v>44652.397916666698</v>
      </c>
      <c r="C8" s="10">
        <v>3229.9830000000002</v>
      </c>
      <c r="D8" s="10">
        <v>613239000</v>
      </c>
      <c r="E8" s="6"/>
      <c r="N8" s="9">
        <v>44652.397916666698</v>
      </c>
      <c r="O8" s="10">
        <v>12032.9053</v>
      </c>
      <c r="P8" s="10">
        <v>945416800</v>
      </c>
      <c r="Q8" s="6"/>
      <c r="R8" s="9">
        <v>44652.397916666698</v>
      </c>
      <c r="S8" s="10">
        <v>2645.2898</v>
      </c>
      <c r="T8" s="10">
        <v>253601200</v>
      </c>
      <c r="V8" s="9">
        <v>44652.397916666698</v>
      </c>
      <c r="W8" s="10">
        <v>1081.9639999999999</v>
      </c>
      <c r="X8" s="10">
        <v>12927600</v>
      </c>
      <c r="AC8" s="6"/>
      <c r="AD8" s="6"/>
    </row>
    <row r="9" spans="1:30" x14ac:dyDescent="0.3">
      <c r="A9" s="8" t="str">
        <f t="shared" si="0"/>
        <v>09:34</v>
      </c>
      <c r="B9" s="9">
        <v>44652.398611111101</v>
      </c>
      <c r="C9" s="10">
        <v>3237.2791000000002</v>
      </c>
      <c r="D9" s="10">
        <v>522611900</v>
      </c>
      <c r="E9" s="6"/>
      <c r="N9" s="9">
        <v>44652.398611111101</v>
      </c>
      <c r="O9" s="10">
        <v>12054.7583</v>
      </c>
      <c r="P9" s="10">
        <v>652790400</v>
      </c>
      <c r="Q9" s="6"/>
      <c r="R9" s="9">
        <v>44652.398611111101</v>
      </c>
      <c r="S9" s="10">
        <v>2644.7991000000002</v>
      </c>
      <c r="T9" s="10">
        <v>157526400</v>
      </c>
      <c r="V9" s="9">
        <v>44652.398611111101</v>
      </c>
      <c r="W9" s="10">
        <v>1082.2073</v>
      </c>
      <c r="X9" s="10">
        <v>7735300</v>
      </c>
      <c r="AC9" s="9"/>
      <c r="AD9" s="10"/>
    </row>
    <row r="10" spans="1:30" x14ac:dyDescent="0.3">
      <c r="A10" s="8" t="str">
        <f t="shared" si="0"/>
        <v>09:35</v>
      </c>
      <c r="B10" s="9">
        <v>44652.399305555598</v>
      </c>
      <c r="C10" s="10">
        <v>3237.9749000000002</v>
      </c>
      <c r="D10" s="10">
        <v>407982700</v>
      </c>
      <c r="E10" s="6"/>
      <c r="N10" s="9">
        <v>44652.399305555598</v>
      </c>
      <c r="O10" s="10">
        <v>12048.499599999999</v>
      </c>
      <c r="P10" s="10">
        <v>585100000</v>
      </c>
      <c r="Q10" s="6"/>
      <c r="R10" s="9">
        <v>44652.399305555598</v>
      </c>
      <c r="S10" s="10">
        <v>2640.7853</v>
      </c>
      <c r="T10" s="10">
        <v>151925400</v>
      </c>
      <c r="V10" s="9">
        <v>44652.399305555598</v>
      </c>
      <c r="W10" s="10">
        <v>1081.9087</v>
      </c>
      <c r="X10" s="10">
        <v>7058600</v>
      </c>
      <c r="AC10" s="9"/>
      <c r="AD10" s="10"/>
    </row>
    <row r="11" spans="1:30" x14ac:dyDescent="0.3">
      <c r="A11" s="8" t="str">
        <f t="shared" si="0"/>
        <v>09:36</v>
      </c>
      <c r="B11" s="9">
        <v>44652.4</v>
      </c>
      <c r="C11" s="10">
        <v>3239.1592000000001</v>
      </c>
      <c r="D11" s="10">
        <v>377016100</v>
      </c>
      <c r="E11" s="6"/>
      <c r="N11" s="9">
        <v>44652.4</v>
      </c>
      <c r="O11" s="10">
        <v>12060.319799999999</v>
      </c>
      <c r="P11" s="10">
        <v>543378400</v>
      </c>
      <c r="Q11" s="6"/>
      <c r="R11" s="9">
        <v>44652.4</v>
      </c>
      <c r="S11" s="10">
        <v>2643.5509999999999</v>
      </c>
      <c r="T11" s="10">
        <v>126979100</v>
      </c>
      <c r="V11" s="9">
        <v>44652.4</v>
      </c>
      <c r="W11" s="10">
        <v>1082.1422</v>
      </c>
      <c r="X11" s="10">
        <v>6158500</v>
      </c>
      <c r="AC11" s="9"/>
      <c r="AD11" s="10"/>
    </row>
    <row r="12" spans="1:30" x14ac:dyDescent="0.3">
      <c r="A12" s="8" t="str">
        <f t="shared" si="0"/>
        <v>09:37</v>
      </c>
      <c r="B12" s="9">
        <v>44652.400694444397</v>
      </c>
      <c r="C12" s="10">
        <v>3236.5902000000001</v>
      </c>
      <c r="D12" s="10">
        <v>338215700</v>
      </c>
      <c r="E12" s="6"/>
      <c r="N12" s="9">
        <v>44652.400694444397</v>
      </c>
      <c r="O12" s="10">
        <v>12044.2088</v>
      </c>
      <c r="P12" s="10">
        <v>532339000</v>
      </c>
      <c r="Q12" s="6"/>
      <c r="R12" s="9">
        <v>44652.400694444397</v>
      </c>
      <c r="S12" s="10">
        <v>2638.5030000000002</v>
      </c>
      <c r="T12" s="10">
        <v>131653300</v>
      </c>
      <c r="V12" s="9">
        <v>44652.400694444397</v>
      </c>
      <c r="W12" s="10">
        <v>1078.8864000000001</v>
      </c>
      <c r="X12" s="10">
        <v>6732200</v>
      </c>
      <c r="AC12" s="9"/>
      <c r="AD12" s="10"/>
    </row>
    <row r="13" spans="1:30" x14ac:dyDescent="0.3">
      <c r="A13" s="8" t="str">
        <f t="shared" si="0"/>
        <v>09:38</v>
      </c>
      <c r="B13" s="9">
        <v>44652.401388888902</v>
      </c>
      <c r="C13" s="10">
        <v>3236.9798000000001</v>
      </c>
      <c r="D13" s="10">
        <v>326840000</v>
      </c>
      <c r="E13" s="6"/>
      <c r="N13" s="9">
        <v>44652.401388888902</v>
      </c>
      <c r="O13" s="10">
        <v>12042.706700000001</v>
      </c>
      <c r="P13" s="10">
        <v>473792800</v>
      </c>
      <c r="Q13" s="6"/>
      <c r="R13" s="9">
        <v>44652.401388888902</v>
      </c>
      <c r="S13" s="10">
        <v>2638.1993000000002</v>
      </c>
      <c r="T13" s="10">
        <v>123115000</v>
      </c>
      <c r="V13" s="9">
        <v>44652.401388888902</v>
      </c>
      <c r="W13" s="10">
        <v>1079.4164000000001</v>
      </c>
      <c r="X13" s="10">
        <v>5718100</v>
      </c>
      <c r="AC13" s="9"/>
      <c r="AD13" s="10"/>
    </row>
    <row r="14" spans="1:30" x14ac:dyDescent="0.3">
      <c r="A14" s="8" t="str">
        <f t="shared" si="0"/>
        <v>09:39</v>
      </c>
      <c r="B14" s="9">
        <v>44652.402083333298</v>
      </c>
      <c r="C14" s="10">
        <v>3238.2595000000001</v>
      </c>
      <c r="D14" s="10">
        <v>321451000</v>
      </c>
      <c r="E14" s="6"/>
      <c r="N14" s="9">
        <v>44652.402083333298</v>
      </c>
      <c r="O14" s="10">
        <v>12043.001399999999</v>
      </c>
      <c r="P14" s="10">
        <v>469941700</v>
      </c>
      <c r="Q14" s="6"/>
      <c r="R14" s="9">
        <v>44652.402083333298</v>
      </c>
      <c r="S14" s="10">
        <v>2637.0538999999999</v>
      </c>
      <c r="T14" s="10">
        <v>118284400</v>
      </c>
      <c r="V14" s="9">
        <v>44652.402083333298</v>
      </c>
      <c r="W14" s="10">
        <v>1079.4523999999999</v>
      </c>
      <c r="X14" s="10">
        <v>5847100</v>
      </c>
      <c r="AC14" s="9"/>
      <c r="AD14" s="10"/>
    </row>
    <row r="15" spans="1:30" x14ac:dyDescent="0.3">
      <c r="A15" s="8" t="str">
        <f t="shared" si="0"/>
        <v>09:40</v>
      </c>
      <c r="B15" s="9">
        <v>44652.402777777803</v>
      </c>
      <c r="C15" s="10">
        <v>3240.5592000000001</v>
      </c>
      <c r="D15" s="10">
        <v>409244500</v>
      </c>
      <c r="E15" s="6"/>
      <c r="N15" s="9">
        <v>44652.402777777803</v>
      </c>
      <c r="O15" s="10">
        <v>12050.6054</v>
      </c>
      <c r="P15" s="10">
        <v>495801800</v>
      </c>
      <c r="Q15" s="6"/>
      <c r="R15" s="9">
        <v>44652.402777777803</v>
      </c>
      <c r="S15" s="10">
        <v>2640.4117999999999</v>
      </c>
      <c r="T15" s="10">
        <v>129210400</v>
      </c>
      <c r="V15" s="9">
        <v>44652.402777777803</v>
      </c>
      <c r="W15" s="10">
        <v>1079.0156999999999</v>
      </c>
      <c r="X15" s="10">
        <v>6437900</v>
      </c>
      <c r="AC15" s="9"/>
      <c r="AD15" s="10"/>
    </row>
    <row r="16" spans="1:30" x14ac:dyDescent="0.3">
      <c r="A16" s="8" t="str">
        <f t="shared" si="0"/>
        <v>09:41</v>
      </c>
      <c r="B16" s="9">
        <v>44652.403472222199</v>
      </c>
      <c r="C16" s="10">
        <v>3241.7015000000001</v>
      </c>
      <c r="D16" s="10">
        <v>366014400</v>
      </c>
      <c r="E16" s="6"/>
      <c r="N16" s="9">
        <v>44652.403472222199</v>
      </c>
      <c r="O16" s="10">
        <v>12058.1106</v>
      </c>
      <c r="P16" s="10">
        <v>441587600</v>
      </c>
      <c r="Q16" s="6"/>
      <c r="R16" s="9">
        <v>44652.403472222199</v>
      </c>
      <c r="S16" s="10">
        <v>2641.7534000000001</v>
      </c>
      <c r="T16" s="10">
        <v>105377000</v>
      </c>
      <c r="V16" s="9">
        <v>44652.403472222199</v>
      </c>
      <c r="W16" s="10">
        <v>1078.6103000000001</v>
      </c>
      <c r="X16" s="10">
        <v>5530600</v>
      </c>
      <c r="AC16" s="9"/>
      <c r="AD16" s="10"/>
    </row>
    <row r="17" spans="1:30" x14ac:dyDescent="0.3">
      <c r="A17" s="8" t="str">
        <f t="shared" si="0"/>
        <v>09:42</v>
      </c>
      <c r="B17" s="9">
        <v>44652.404166666704</v>
      </c>
      <c r="C17" s="10">
        <v>3241.7338</v>
      </c>
      <c r="D17" s="10">
        <v>324403500</v>
      </c>
      <c r="E17" s="6"/>
      <c r="N17" s="9">
        <v>44652.404166666704</v>
      </c>
      <c r="O17" s="10">
        <v>12059.290800000001</v>
      </c>
      <c r="P17" s="10">
        <v>439356000</v>
      </c>
      <c r="Q17" s="6"/>
      <c r="R17" s="9">
        <v>44652.404166666704</v>
      </c>
      <c r="S17" s="10">
        <v>2642.5626999999999</v>
      </c>
      <c r="T17" s="10">
        <v>102347500</v>
      </c>
      <c r="V17" s="9">
        <v>44652.404166666704</v>
      </c>
      <c r="W17" s="10">
        <v>1078.9689000000001</v>
      </c>
      <c r="X17" s="10">
        <v>4721000</v>
      </c>
      <c r="AC17" s="9"/>
      <c r="AD17" s="10"/>
    </row>
    <row r="18" spans="1:30" x14ac:dyDescent="0.3">
      <c r="A18" s="8" t="str">
        <f t="shared" si="0"/>
        <v>09:43</v>
      </c>
      <c r="B18" s="9">
        <v>44652.404861111099</v>
      </c>
      <c r="C18" s="10">
        <v>3242.6392000000001</v>
      </c>
      <c r="D18" s="10">
        <v>325911700</v>
      </c>
      <c r="E18" s="6"/>
      <c r="N18" s="9">
        <v>44652.404861111099</v>
      </c>
      <c r="O18" s="10">
        <v>12055.86</v>
      </c>
      <c r="P18" s="10">
        <v>384981600</v>
      </c>
      <c r="Q18" s="6"/>
      <c r="R18" s="9">
        <v>44652.404861111099</v>
      </c>
      <c r="S18" s="10">
        <v>2638.7438000000002</v>
      </c>
      <c r="T18" s="10">
        <v>98958400</v>
      </c>
      <c r="V18" s="9">
        <v>44652.404861111099</v>
      </c>
      <c r="W18" s="10">
        <v>1077.3098</v>
      </c>
      <c r="X18" s="10">
        <v>5602600</v>
      </c>
      <c r="AC18" s="9"/>
      <c r="AD18" s="10"/>
    </row>
    <row r="19" spans="1:30" x14ac:dyDescent="0.3">
      <c r="A19" s="8" t="str">
        <f t="shared" si="0"/>
        <v>09:44</v>
      </c>
      <c r="B19" s="9">
        <v>44652.405555555597</v>
      </c>
      <c r="C19" s="10">
        <v>3242.8006</v>
      </c>
      <c r="D19" s="10">
        <v>316649500</v>
      </c>
      <c r="E19" s="6"/>
      <c r="N19" s="9">
        <v>44652.405555555597</v>
      </c>
      <c r="O19" s="10">
        <v>12050.612300000001</v>
      </c>
      <c r="P19" s="10">
        <v>351755700</v>
      </c>
      <c r="Q19" s="6"/>
      <c r="R19" s="9">
        <v>44652.405555555597</v>
      </c>
      <c r="S19" s="10">
        <v>2636.3968</v>
      </c>
      <c r="T19" s="10">
        <v>83016600</v>
      </c>
      <c r="V19" s="9">
        <v>44652.405555555597</v>
      </c>
      <c r="W19" s="10">
        <v>1075.9851000000001</v>
      </c>
      <c r="X19" s="10">
        <v>5255900</v>
      </c>
      <c r="AC19" s="9"/>
      <c r="AD19" s="10"/>
    </row>
    <row r="20" spans="1:30" x14ac:dyDescent="0.3">
      <c r="A20" s="8" t="str">
        <f t="shared" si="0"/>
        <v>09:45</v>
      </c>
      <c r="B20" s="9">
        <v>44652.40625</v>
      </c>
      <c r="C20" s="10">
        <v>3242.9407999999999</v>
      </c>
      <c r="D20" s="10">
        <v>288940200</v>
      </c>
      <c r="E20" s="6"/>
      <c r="N20" s="9">
        <v>44652.40625</v>
      </c>
      <c r="O20" s="10">
        <v>12047.858099999999</v>
      </c>
      <c r="P20" s="10">
        <v>395041700</v>
      </c>
      <c r="Q20" s="6"/>
      <c r="R20" s="9">
        <v>44652.40625</v>
      </c>
      <c r="S20" s="10">
        <v>2635.3172</v>
      </c>
      <c r="T20" s="10">
        <v>87895400</v>
      </c>
      <c r="V20" s="9">
        <v>44652.40625</v>
      </c>
      <c r="W20" s="10">
        <v>1075.0877</v>
      </c>
      <c r="X20" s="10">
        <v>5084100</v>
      </c>
      <c r="AC20" s="9"/>
      <c r="AD20" s="10"/>
    </row>
    <row r="21" spans="1:30" x14ac:dyDescent="0.3">
      <c r="A21" s="8" t="str">
        <f t="shared" si="0"/>
        <v>09:46</v>
      </c>
      <c r="B21" s="9">
        <v>44652.406944444403</v>
      </c>
      <c r="C21" s="10">
        <v>3242.9674</v>
      </c>
      <c r="D21" s="10">
        <v>301201200</v>
      </c>
      <c r="E21" s="6"/>
      <c r="N21" s="9">
        <v>44652.406944444403</v>
      </c>
      <c r="O21" s="10">
        <v>12048.179700000001</v>
      </c>
      <c r="P21" s="10">
        <v>413293300</v>
      </c>
      <c r="Q21" s="6"/>
      <c r="R21" s="9">
        <v>44652.406944444403</v>
      </c>
      <c r="S21" s="10">
        <v>2634.4389999999999</v>
      </c>
      <c r="T21" s="10">
        <v>105818500</v>
      </c>
      <c r="V21" s="9">
        <v>44652.406944444403</v>
      </c>
      <c r="W21" s="10">
        <v>1075.8197</v>
      </c>
      <c r="X21" s="10">
        <v>5411200</v>
      </c>
      <c r="AC21" s="9"/>
      <c r="AD21" s="10"/>
    </row>
    <row r="22" spans="1:30" x14ac:dyDescent="0.3">
      <c r="A22" s="8" t="str">
        <f t="shared" si="0"/>
        <v>09:47</v>
      </c>
      <c r="B22" s="9">
        <v>44652.407638888901</v>
      </c>
      <c r="C22" s="10">
        <v>3241.3859000000002</v>
      </c>
      <c r="D22" s="10">
        <v>299341900</v>
      </c>
      <c r="E22" s="6"/>
      <c r="N22" s="9">
        <v>44652.407638888901</v>
      </c>
      <c r="O22" s="10">
        <v>12049.7412</v>
      </c>
      <c r="P22" s="10">
        <v>381080700</v>
      </c>
      <c r="Q22" s="6"/>
      <c r="R22" s="9">
        <v>44652.407638888901</v>
      </c>
      <c r="S22" s="10">
        <v>2636.3688000000002</v>
      </c>
      <c r="T22" s="10">
        <v>98626000</v>
      </c>
      <c r="V22" s="9">
        <v>44652.407638888901</v>
      </c>
      <c r="W22" s="10">
        <v>1077.5762</v>
      </c>
      <c r="X22" s="10">
        <v>4019200</v>
      </c>
      <c r="AC22" s="9"/>
      <c r="AD22" s="10"/>
    </row>
    <row r="23" spans="1:30" x14ac:dyDescent="0.3">
      <c r="A23" s="8" t="str">
        <f t="shared" si="0"/>
        <v>09:48</v>
      </c>
      <c r="B23" s="9">
        <v>44652.408333333296</v>
      </c>
      <c r="C23" s="10">
        <v>3243.8856999999998</v>
      </c>
      <c r="D23" s="10">
        <v>287600900</v>
      </c>
      <c r="E23" s="6"/>
      <c r="N23" s="9">
        <v>44652.408333333296</v>
      </c>
      <c r="O23" s="10">
        <v>12068.330099999999</v>
      </c>
      <c r="P23" s="10">
        <v>372003600</v>
      </c>
      <c r="Q23" s="6"/>
      <c r="R23" s="9">
        <v>44652.408333333296</v>
      </c>
      <c r="S23" s="10">
        <v>2641.6705999999999</v>
      </c>
      <c r="T23" s="10">
        <v>96176400</v>
      </c>
      <c r="V23" s="9">
        <v>44652.408333333296</v>
      </c>
      <c r="W23" s="10">
        <v>1080.9127000000001</v>
      </c>
      <c r="X23" s="10">
        <v>5042200</v>
      </c>
      <c r="AC23" s="9"/>
      <c r="AD23" s="10"/>
    </row>
    <row r="24" spans="1:30" x14ac:dyDescent="0.3">
      <c r="A24" s="8" t="str">
        <f t="shared" si="0"/>
        <v>09:49</v>
      </c>
      <c r="B24" s="9">
        <v>44652.409027777801</v>
      </c>
      <c r="C24" s="10">
        <v>3245.7352999999998</v>
      </c>
      <c r="D24" s="10">
        <v>237120300</v>
      </c>
      <c r="E24" s="6"/>
      <c r="N24" s="9">
        <v>44652.409027777801</v>
      </c>
      <c r="O24" s="10">
        <v>12073.084800000001</v>
      </c>
      <c r="P24" s="10">
        <v>356873100</v>
      </c>
      <c r="Q24" s="6"/>
      <c r="R24" s="9">
        <v>44652.409027777801</v>
      </c>
      <c r="S24" s="10">
        <v>2640.5934000000002</v>
      </c>
      <c r="T24" s="10">
        <v>85202000</v>
      </c>
      <c r="V24" s="9">
        <v>44652.409027777801</v>
      </c>
      <c r="W24" s="10">
        <v>1079.7364</v>
      </c>
      <c r="X24" s="10">
        <v>3703200</v>
      </c>
      <c r="AC24" s="9"/>
      <c r="AD24" s="10"/>
    </row>
    <row r="25" spans="1:30" x14ac:dyDescent="0.3">
      <c r="A25" s="8" t="str">
        <f t="shared" si="0"/>
        <v>09:50</v>
      </c>
      <c r="B25" s="9">
        <v>44652.409722222197</v>
      </c>
      <c r="C25" s="10">
        <v>3245.7568000000001</v>
      </c>
      <c r="D25" s="10">
        <v>242328900</v>
      </c>
      <c r="E25" s="6"/>
      <c r="N25" s="9">
        <v>44652.409722222197</v>
      </c>
      <c r="O25" s="10">
        <v>12075.412700000001</v>
      </c>
      <c r="P25" s="10">
        <v>337218800</v>
      </c>
      <c r="Q25" s="6"/>
      <c r="R25" s="9">
        <v>44652.409722222197</v>
      </c>
      <c r="S25" s="10">
        <v>2641.4058</v>
      </c>
      <c r="T25" s="10">
        <v>87706000</v>
      </c>
      <c r="V25" s="9">
        <v>44652.409722222197</v>
      </c>
      <c r="W25" s="10">
        <v>1079.4241999999999</v>
      </c>
      <c r="X25" s="10">
        <v>3748300</v>
      </c>
      <c r="AC25" s="9"/>
      <c r="AD25" s="10"/>
    </row>
    <row r="26" spans="1:30" x14ac:dyDescent="0.3">
      <c r="A26" s="8" t="str">
        <f t="shared" si="0"/>
        <v>09:51</v>
      </c>
      <c r="B26" s="9">
        <v>44652.410416666702</v>
      </c>
      <c r="C26" s="10">
        <v>3247.0502999999999</v>
      </c>
      <c r="D26" s="10">
        <v>217950200</v>
      </c>
      <c r="E26" s="6"/>
      <c r="N26" s="9">
        <v>44652.410416666702</v>
      </c>
      <c r="O26" s="10">
        <v>12078.3662</v>
      </c>
      <c r="P26" s="10">
        <v>319924400</v>
      </c>
      <c r="Q26" s="6"/>
      <c r="R26" s="9">
        <v>44652.410416666702</v>
      </c>
      <c r="S26" s="10">
        <v>2641.4333000000001</v>
      </c>
      <c r="T26" s="10">
        <v>81065900</v>
      </c>
      <c r="V26" s="9">
        <v>44652.410416666702</v>
      </c>
      <c r="W26" s="10">
        <v>1079.0880999999999</v>
      </c>
      <c r="X26" s="10">
        <v>3888800</v>
      </c>
      <c r="AC26" s="9"/>
      <c r="AD26" s="10"/>
    </row>
    <row r="27" spans="1:30" x14ac:dyDescent="0.3">
      <c r="A27" s="8" t="str">
        <f t="shared" si="0"/>
        <v>09:52</v>
      </c>
      <c r="B27" s="9">
        <v>44652.411111111098</v>
      </c>
      <c r="C27" s="10">
        <v>3247.6687999999999</v>
      </c>
      <c r="D27" s="10">
        <v>237321300</v>
      </c>
      <c r="E27" s="6"/>
      <c r="N27" s="9">
        <v>44652.411111111098</v>
      </c>
      <c r="O27" s="10">
        <v>12089.418900000001</v>
      </c>
      <c r="P27" s="10">
        <v>324554300</v>
      </c>
      <c r="Q27" s="6"/>
      <c r="R27" s="9">
        <v>44652.411111111098</v>
      </c>
      <c r="S27" s="10">
        <v>2644.8859000000002</v>
      </c>
      <c r="T27" s="10">
        <v>82735900</v>
      </c>
      <c r="V27" s="9">
        <v>44652.411111111098</v>
      </c>
      <c r="W27" s="10">
        <v>1079.9688000000001</v>
      </c>
      <c r="X27" s="10">
        <v>4115200</v>
      </c>
      <c r="AC27" s="9"/>
      <c r="AD27" s="10"/>
    </row>
    <row r="28" spans="1:30" x14ac:dyDescent="0.3">
      <c r="A28" s="8" t="str">
        <f t="shared" si="0"/>
        <v>09:53</v>
      </c>
      <c r="B28" s="9">
        <v>44652.411805555603</v>
      </c>
      <c r="C28" s="10">
        <v>3246.9571000000001</v>
      </c>
      <c r="D28" s="10">
        <v>230371800</v>
      </c>
      <c r="E28" s="6"/>
      <c r="N28" s="9">
        <v>44652.411805555603</v>
      </c>
      <c r="O28" s="10">
        <v>12083.906199999999</v>
      </c>
      <c r="P28" s="10">
        <v>299033100</v>
      </c>
      <c r="Q28" s="6"/>
      <c r="R28" s="9">
        <v>44652.411805555603</v>
      </c>
      <c r="S28" s="10">
        <v>2643.8305</v>
      </c>
      <c r="T28" s="10">
        <v>80912800</v>
      </c>
      <c r="V28" s="9">
        <v>44652.411805555603</v>
      </c>
      <c r="W28" s="10">
        <v>1079.2982999999999</v>
      </c>
      <c r="X28" s="10">
        <v>3862800</v>
      </c>
      <c r="AC28" s="9"/>
      <c r="AD28" s="10"/>
    </row>
    <row r="29" spans="1:30" x14ac:dyDescent="0.3">
      <c r="A29" s="8" t="str">
        <f t="shared" si="0"/>
        <v>09:54</v>
      </c>
      <c r="B29" s="9">
        <v>44652.412499999999</v>
      </c>
      <c r="C29" s="10">
        <v>3248.1615999999999</v>
      </c>
      <c r="D29" s="10">
        <v>230327400</v>
      </c>
      <c r="E29" s="6"/>
      <c r="N29" s="9">
        <v>44652.412499999999</v>
      </c>
      <c r="O29" s="10">
        <v>12085.7127</v>
      </c>
      <c r="P29" s="10">
        <v>300676600</v>
      </c>
      <c r="Q29" s="6"/>
      <c r="R29" s="9">
        <v>44652.412499999999</v>
      </c>
      <c r="S29" s="10">
        <v>2641.7350999999999</v>
      </c>
      <c r="T29" s="10">
        <v>75137200</v>
      </c>
      <c r="V29" s="9">
        <v>44652.412499999999</v>
      </c>
      <c r="W29" s="10">
        <v>1078.7244000000001</v>
      </c>
      <c r="X29" s="10">
        <v>3890700</v>
      </c>
      <c r="AC29" s="9"/>
      <c r="AD29" s="10"/>
    </row>
    <row r="30" spans="1:30" x14ac:dyDescent="0.3">
      <c r="A30" s="8" t="str">
        <f t="shared" si="0"/>
        <v>09:55</v>
      </c>
      <c r="B30" s="9">
        <v>44652.413194444402</v>
      </c>
      <c r="C30" s="10">
        <v>3250.3323</v>
      </c>
      <c r="D30" s="10">
        <v>219583500</v>
      </c>
      <c r="E30" s="6"/>
      <c r="N30" s="9">
        <v>44652.413194444402</v>
      </c>
      <c r="O30" s="10">
        <v>12085.9602</v>
      </c>
      <c r="P30" s="10">
        <v>268654800</v>
      </c>
      <c r="Q30" s="6"/>
      <c r="R30" s="9">
        <v>44652.413194444402</v>
      </c>
      <c r="S30" s="10">
        <v>2641.2923000000001</v>
      </c>
      <c r="T30" s="10">
        <v>68791200</v>
      </c>
      <c r="V30" s="9">
        <v>44652.413194444402</v>
      </c>
      <c r="W30" s="10">
        <v>1077.7713000000001</v>
      </c>
      <c r="X30" s="10">
        <v>3307700</v>
      </c>
      <c r="AC30" s="9"/>
      <c r="AD30" s="10"/>
    </row>
    <row r="31" spans="1:30" x14ac:dyDescent="0.3">
      <c r="A31" s="8" t="str">
        <f t="shared" si="0"/>
        <v>09:56</v>
      </c>
      <c r="B31" s="9">
        <v>44652.413888888899</v>
      </c>
      <c r="C31" s="10">
        <v>3251.6351</v>
      </c>
      <c r="D31" s="10">
        <v>208433800</v>
      </c>
      <c r="E31" s="6"/>
      <c r="N31" s="9">
        <v>44652.413888888899</v>
      </c>
      <c r="O31" s="10">
        <v>12094.662399999999</v>
      </c>
      <c r="P31" s="10">
        <v>267114100</v>
      </c>
      <c r="Q31" s="6"/>
      <c r="R31" s="9">
        <v>44652.413888888899</v>
      </c>
      <c r="S31" s="10">
        <v>2642.0740999999998</v>
      </c>
      <c r="T31" s="10">
        <v>68708600</v>
      </c>
      <c r="V31" s="9">
        <v>44652.413888888899</v>
      </c>
      <c r="W31" s="10">
        <v>1078.1311000000001</v>
      </c>
      <c r="X31" s="10">
        <v>3543400</v>
      </c>
      <c r="AC31" s="9"/>
      <c r="AD31" s="10"/>
    </row>
    <row r="32" spans="1:30" x14ac:dyDescent="0.3">
      <c r="A32" s="8" t="str">
        <f t="shared" si="0"/>
        <v>09:57</v>
      </c>
      <c r="B32" s="9">
        <v>44652.414583333302</v>
      </c>
      <c r="C32" s="10">
        <v>3253.0448999999999</v>
      </c>
      <c r="D32" s="10">
        <v>179733600</v>
      </c>
      <c r="E32" s="6"/>
      <c r="N32" s="9">
        <v>44652.414583333302</v>
      </c>
      <c r="O32" s="10">
        <v>12095.528200000001</v>
      </c>
      <c r="P32" s="10">
        <v>236265000</v>
      </c>
      <c r="Q32" s="6"/>
      <c r="R32" s="9">
        <v>44652.414583333302</v>
      </c>
      <c r="S32" s="10">
        <v>2642.5873000000001</v>
      </c>
      <c r="T32" s="10">
        <v>61129900</v>
      </c>
      <c r="V32" s="9">
        <v>44652.414583333302</v>
      </c>
      <c r="W32" s="10">
        <v>1078.7180000000001</v>
      </c>
      <c r="X32" s="10">
        <v>3195300</v>
      </c>
      <c r="AC32" s="9"/>
      <c r="AD32" s="10"/>
    </row>
    <row r="33" spans="1:30" x14ac:dyDescent="0.3">
      <c r="A33" s="8" t="str">
        <f t="shared" si="0"/>
        <v>09:58</v>
      </c>
      <c r="B33" s="9">
        <v>44652.4152777778</v>
      </c>
      <c r="C33" s="10">
        <v>3255.8573000000001</v>
      </c>
      <c r="D33" s="10">
        <v>211226600</v>
      </c>
      <c r="E33" s="6"/>
      <c r="N33" s="9">
        <v>44652.4152777778</v>
      </c>
      <c r="O33" s="10">
        <v>12113.5514</v>
      </c>
      <c r="P33" s="10">
        <v>247102500</v>
      </c>
      <c r="Q33" s="6"/>
      <c r="R33" s="9">
        <v>44652.4152777778</v>
      </c>
      <c r="S33" s="10">
        <v>2648.3933000000002</v>
      </c>
      <c r="T33" s="10">
        <v>64310500</v>
      </c>
      <c r="V33" s="9">
        <v>44652.4152777778</v>
      </c>
      <c r="W33" s="10">
        <v>1079.1929</v>
      </c>
      <c r="X33" s="10">
        <v>4331300</v>
      </c>
      <c r="AC33" s="9"/>
      <c r="AD33" s="10"/>
    </row>
    <row r="34" spans="1:30" x14ac:dyDescent="0.3">
      <c r="A34" s="8" t="str">
        <f t="shared" si="0"/>
        <v>09:59</v>
      </c>
      <c r="B34" s="9">
        <v>44652.415972222203</v>
      </c>
      <c r="C34" s="10">
        <v>3254.0437999999999</v>
      </c>
      <c r="D34" s="10">
        <v>201726100</v>
      </c>
      <c r="E34" s="6"/>
      <c r="N34" s="9">
        <v>44652.415972222203</v>
      </c>
      <c r="O34" s="10">
        <v>12105.800800000001</v>
      </c>
      <c r="P34" s="10">
        <v>257401900</v>
      </c>
      <c r="Q34" s="6"/>
      <c r="R34" s="9">
        <v>44652.415972222203</v>
      </c>
      <c r="S34" s="10">
        <v>2645.8359</v>
      </c>
      <c r="T34" s="10">
        <v>67218200</v>
      </c>
      <c r="V34" s="9">
        <v>44652.415972222203</v>
      </c>
      <c r="W34" s="10">
        <v>1078.8559</v>
      </c>
      <c r="X34" s="10">
        <v>4610200</v>
      </c>
      <c r="AC34" s="9"/>
      <c r="AD34" s="10"/>
    </row>
    <row r="35" spans="1:30" x14ac:dyDescent="0.3">
      <c r="A35" s="8" t="str">
        <f t="shared" si="0"/>
        <v>10:00</v>
      </c>
      <c r="B35" s="9">
        <v>44652.416666666701</v>
      </c>
      <c r="C35" s="10">
        <v>3257.3836000000001</v>
      </c>
      <c r="D35" s="10">
        <v>266294000</v>
      </c>
      <c r="E35" s="6"/>
      <c r="N35" s="9">
        <v>44652.416666666701</v>
      </c>
      <c r="O35" s="10">
        <v>12117.786599999999</v>
      </c>
      <c r="P35" s="10">
        <v>274497500</v>
      </c>
      <c r="Q35" s="6"/>
      <c r="R35" s="9">
        <v>44652.416666666701</v>
      </c>
      <c r="S35" s="10">
        <v>2646.8566000000001</v>
      </c>
      <c r="T35" s="10">
        <v>72109000</v>
      </c>
      <c r="V35" s="9">
        <v>44652.416666666701</v>
      </c>
      <c r="W35" s="10">
        <v>1079.9351999999999</v>
      </c>
      <c r="X35" s="10">
        <v>4863000</v>
      </c>
      <c r="AC35" s="9"/>
      <c r="AD35" s="10"/>
    </row>
    <row r="36" spans="1:30" x14ac:dyDescent="0.3">
      <c r="A36" s="8" t="str">
        <f t="shared" si="0"/>
        <v>10:01</v>
      </c>
      <c r="B36" s="9">
        <v>44652.417361111096</v>
      </c>
      <c r="C36" s="10">
        <v>3260.3499000000002</v>
      </c>
      <c r="D36" s="10">
        <v>275063200</v>
      </c>
      <c r="E36" s="6"/>
      <c r="N36" s="9">
        <v>44652.417361111096</v>
      </c>
      <c r="O36" s="10">
        <v>12132.532300000001</v>
      </c>
      <c r="P36" s="10">
        <v>308537600</v>
      </c>
      <c r="Q36" s="6"/>
      <c r="R36" s="9">
        <v>44652.417361111096</v>
      </c>
      <c r="S36" s="10">
        <v>2650.1154000000001</v>
      </c>
      <c r="T36" s="10">
        <v>67613700</v>
      </c>
      <c r="V36" s="9">
        <v>44652.417361111096</v>
      </c>
      <c r="W36" s="10">
        <v>1082.4881</v>
      </c>
      <c r="X36" s="10">
        <v>4798600</v>
      </c>
      <c r="AC36" s="9"/>
      <c r="AD36" s="10"/>
    </row>
    <row r="37" spans="1:30" x14ac:dyDescent="0.3">
      <c r="A37" s="8" t="str">
        <f t="shared" si="0"/>
        <v>10:02</v>
      </c>
      <c r="B37" s="9">
        <v>44652.418055555601</v>
      </c>
      <c r="C37" s="10">
        <v>3260.8179</v>
      </c>
      <c r="D37" s="10">
        <v>209567600</v>
      </c>
      <c r="E37" s="6"/>
      <c r="N37" s="9">
        <v>44652.418055555601</v>
      </c>
      <c r="O37" s="10">
        <v>12134.849200000001</v>
      </c>
      <c r="P37" s="10">
        <v>246962600</v>
      </c>
      <c r="Q37" s="6"/>
      <c r="R37" s="9">
        <v>44652.418055555601</v>
      </c>
      <c r="S37" s="10">
        <v>2652.3056000000001</v>
      </c>
      <c r="T37" s="10">
        <v>59722800</v>
      </c>
      <c r="V37" s="9">
        <v>44652.418055555601</v>
      </c>
      <c r="W37" s="10">
        <v>1084.4241</v>
      </c>
      <c r="X37" s="10">
        <v>3654300</v>
      </c>
      <c r="AC37" s="9"/>
      <c r="AD37" s="10"/>
    </row>
    <row r="38" spans="1:30" x14ac:dyDescent="0.3">
      <c r="A38" s="8" t="str">
        <f t="shared" si="0"/>
        <v>10:03</v>
      </c>
      <c r="B38" s="9">
        <v>44652.418749999997</v>
      </c>
      <c r="C38" s="10">
        <v>3261.9468000000002</v>
      </c>
      <c r="D38" s="10">
        <v>207868700</v>
      </c>
      <c r="E38" s="6"/>
      <c r="N38" s="9">
        <v>44652.418749999997</v>
      </c>
      <c r="O38" s="10">
        <v>12141.495000000001</v>
      </c>
      <c r="P38" s="10">
        <v>220005800</v>
      </c>
      <c r="Q38" s="6"/>
      <c r="R38" s="9">
        <v>44652.418749999997</v>
      </c>
      <c r="S38" s="10">
        <v>2655.9508000000001</v>
      </c>
      <c r="T38" s="10">
        <v>51255200</v>
      </c>
      <c r="V38" s="9">
        <v>44652.418749999997</v>
      </c>
      <c r="W38" s="10">
        <v>1083.9640999999999</v>
      </c>
      <c r="X38" s="10">
        <v>3346400</v>
      </c>
      <c r="AC38" s="9"/>
      <c r="AD38" s="10"/>
    </row>
    <row r="39" spans="1:30" x14ac:dyDescent="0.3">
      <c r="A39" s="8" t="str">
        <f t="shared" si="0"/>
        <v>10:04</v>
      </c>
      <c r="B39" s="9">
        <v>44652.4194444444</v>
      </c>
      <c r="C39" s="10">
        <v>3261.0576000000001</v>
      </c>
      <c r="D39" s="10">
        <v>198147000</v>
      </c>
      <c r="E39" s="6"/>
      <c r="N39" s="9">
        <v>44652.4194444444</v>
      </c>
      <c r="O39" s="10">
        <v>12134.0398</v>
      </c>
      <c r="P39" s="10">
        <v>228856900</v>
      </c>
      <c r="Q39" s="6"/>
      <c r="R39" s="9">
        <v>44652.4194444444</v>
      </c>
      <c r="S39" s="10">
        <v>2654.1298999999999</v>
      </c>
      <c r="T39" s="10">
        <v>54475100</v>
      </c>
      <c r="V39" s="9">
        <v>44652.4194444444</v>
      </c>
      <c r="W39" s="10">
        <v>1084.4022</v>
      </c>
      <c r="X39" s="10">
        <v>3250200</v>
      </c>
      <c r="AC39" s="9"/>
      <c r="AD39" s="10"/>
    </row>
    <row r="40" spans="1:30" x14ac:dyDescent="0.3">
      <c r="A40" s="8" t="str">
        <f t="shared" si="0"/>
        <v>10:05</v>
      </c>
      <c r="B40" s="9">
        <v>44652.420138888898</v>
      </c>
      <c r="C40" s="10">
        <v>3259.3685999999998</v>
      </c>
      <c r="D40" s="10">
        <v>216062400</v>
      </c>
      <c r="E40" s="6"/>
      <c r="N40" s="9">
        <v>44652.420138888898</v>
      </c>
      <c r="O40" s="10">
        <v>12132.5237</v>
      </c>
      <c r="P40" s="10">
        <v>237702300</v>
      </c>
      <c r="Q40" s="6"/>
      <c r="R40" s="9">
        <v>44652.420138888898</v>
      </c>
      <c r="S40" s="10">
        <v>2655.6669000000002</v>
      </c>
      <c r="T40" s="10">
        <v>56437400</v>
      </c>
      <c r="V40" s="9">
        <v>44652.420138888898</v>
      </c>
      <c r="W40" s="10">
        <v>1084.4469999999999</v>
      </c>
      <c r="X40" s="10">
        <v>3230700</v>
      </c>
      <c r="AC40" s="9"/>
      <c r="AD40" s="10"/>
    </row>
    <row r="41" spans="1:30" x14ac:dyDescent="0.3">
      <c r="A41" s="8" t="str">
        <f t="shared" si="0"/>
        <v>10:06</v>
      </c>
      <c r="B41" s="9">
        <v>44652.420833333301</v>
      </c>
      <c r="C41" s="10">
        <v>3261.9829</v>
      </c>
      <c r="D41" s="10">
        <v>172764300</v>
      </c>
      <c r="E41" s="6"/>
      <c r="N41" s="9">
        <v>44652.420833333301</v>
      </c>
      <c r="O41" s="10">
        <v>12146.9915</v>
      </c>
      <c r="P41" s="10">
        <v>213644400</v>
      </c>
      <c r="Q41" s="6"/>
      <c r="R41" s="9">
        <v>44652.420833333301</v>
      </c>
      <c r="S41" s="10">
        <v>2658.5497</v>
      </c>
      <c r="T41" s="10">
        <v>54171700</v>
      </c>
      <c r="V41" s="9">
        <v>44652.420833333301</v>
      </c>
      <c r="W41" s="10">
        <v>1085.0554</v>
      </c>
      <c r="X41" s="10">
        <v>3158900</v>
      </c>
      <c r="AC41" s="9"/>
      <c r="AD41" s="10"/>
    </row>
    <row r="42" spans="1:30" x14ac:dyDescent="0.3">
      <c r="A42" s="8" t="str">
        <f t="shared" si="0"/>
        <v>10:07</v>
      </c>
      <c r="B42" s="9">
        <v>44652.421527777798</v>
      </c>
      <c r="C42" s="10">
        <v>3257.7192</v>
      </c>
      <c r="D42" s="10">
        <v>192875700</v>
      </c>
      <c r="E42" s="6"/>
      <c r="N42" s="9">
        <v>44652.421527777798</v>
      </c>
      <c r="O42" s="10">
        <v>12124.754199999999</v>
      </c>
      <c r="P42" s="10">
        <v>217285200</v>
      </c>
      <c r="Q42" s="6"/>
      <c r="R42" s="9">
        <v>44652.421527777798</v>
      </c>
      <c r="S42" s="10">
        <v>2653.6181000000001</v>
      </c>
      <c r="T42" s="10">
        <v>57835800</v>
      </c>
      <c r="V42" s="9">
        <v>44652.421527777798</v>
      </c>
      <c r="W42" s="10">
        <v>1082.9974999999999</v>
      </c>
      <c r="X42" s="10">
        <v>3625200</v>
      </c>
      <c r="AC42" s="9"/>
      <c r="AD42" s="10"/>
    </row>
    <row r="43" spans="1:30" x14ac:dyDescent="0.3">
      <c r="A43" s="8" t="str">
        <f t="shared" si="0"/>
        <v>10:08</v>
      </c>
      <c r="B43" s="9">
        <v>44652.422222222202</v>
      </c>
      <c r="C43" s="10">
        <v>3259.5234</v>
      </c>
      <c r="D43" s="10">
        <v>166495900</v>
      </c>
      <c r="E43" s="6"/>
      <c r="N43" s="9">
        <v>44652.422222222202</v>
      </c>
      <c r="O43" s="10">
        <v>12134.4884</v>
      </c>
      <c r="P43" s="10">
        <v>189252500</v>
      </c>
      <c r="Q43" s="6"/>
      <c r="R43" s="9">
        <v>44652.422222222202</v>
      </c>
      <c r="S43" s="10">
        <v>2656.0142999999998</v>
      </c>
      <c r="T43" s="10">
        <v>48378800</v>
      </c>
      <c r="V43" s="9">
        <v>44652.422222222202</v>
      </c>
      <c r="W43" s="10">
        <v>1084.4131</v>
      </c>
      <c r="X43" s="10">
        <v>2810500</v>
      </c>
      <c r="AC43" s="9"/>
      <c r="AD43" s="10"/>
    </row>
    <row r="44" spans="1:30" x14ac:dyDescent="0.3">
      <c r="A44" s="8" t="str">
        <f t="shared" si="0"/>
        <v>10:09</v>
      </c>
      <c r="B44" s="9">
        <v>44652.422916666699</v>
      </c>
      <c r="C44" s="10">
        <v>3260.5268999999998</v>
      </c>
      <c r="D44" s="10">
        <v>170044100</v>
      </c>
      <c r="E44" s="6"/>
      <c r="N44" s="9">
        <v>44652.422916666699</v>
      </c>
      <c r="O44" s="10">
        <v>12143.924000000001</v>
      </c>
      <c r="P44" s="10">
        <v>170928400</v>
      </c>
      <c r="Q44" s="6"/>
      <c r="R44" s="9">
        <v>44652.422916666699</v>
      </c>
      <c r="S44" s="10">
        <v>2658.1176</v>
      </c>
      <c r="T44" s="10">
        <v>46562700</v>
      </c>
      <c r="V44" s="9">
        <v>44652.422916666699</v>
      </c>
      <c r="W44" s="10">
        <v>1085.1840999999999</v>
      </c>
      <c r="X44" s="10">
        <v>2092900</v>
      </c>
      <c r="AC44" s="9"/>
      <c r="AD44" s="10"/>
    </row>
    <row r="45" spans="1:30" x14ac:dyDescent="0.3">
      <c r="A45" s="8" t="str">
        <f t="shared" si="0"/>
        <v>10:10</v>
      </c>
      <c r="B45" s="9">
        <v>44652.423611111102</v>
      </c>
      <c r="C45" s="10">
        <v>3261.2289000000001</v>
      </c>
      <c r="D45" s="10">
        <v>166376600</v>
      </c>
      <c r="E45" s="6"/>
      <c r="N45" s="9">
        <v>44652.423611111102</v>
      </c>
      <c r="O45" s="10">
        <v>12143.853800000001</v>
      </c>
      <c r="P45" s="10">
        <v>187236300</v>
      </c>
      <c r="Q45" s="6"/>
      <c r="R45" s="9">
        <v>44652.423611111102</v>
      </c>
      <c r="S45" s="10">
        <v>2657.2687999999998</v>
      </c>
      <c r="T45" s="10">
        <v>52184100</v>
      </c>
      <c r="V45" s="9">
        <v>44652.423611111102</v>
      </c>
      <c r="W45" s="10">
        <v>1084.9531999999999</v>
      </c>
      <c r="X45" s="10">
        <v>2579800</v>
      </c>
      <c r="AC45" s="9"/>
      <c r="AD45" s="10"/>
    </row>
    <row r="46" spans="1:30" x14ac:dyDescent="0.3">
      <c r="A46" s="8" t="str">
        <f t="shared" si="0"/>
        <v>10:11</v>
      </c>
      <c r="B46" s="9">
        <v>44652.4243055556</v>
      </c>
      <c r="C46" s="10">
        <v>3264.8269</v>
      </c>
      <c r="D46" s="10">
        <v>180632400</v>
      </c>
      <c r="E46" s="6"/>
      <c r="N46" s="9">
        <v>44652.4243055556</v>
      </c>
      <c r="O46" s="10">
        <v>12157.4766</v>
      </c>
      <c r="P46" s="10">
        <v>184645700</v>
      </c>
      <c r="Q46" s="6"/>
      <c r="R46" s="9">
        <v>44652.4243055556</v>
      </c>
      <c r="S46" s="10">
        <v>2661.1633999999999</v>
      </c>
      <c r="T46" s="10">
        <v>56933200</v>
      </c>
      <c r="V46" s="9">
        <v>44652.4243055556</v>
      </c>
      <c r="W46" s="10">
        <v>1085.4760000000001</v>
      </c>
      <c r="X46" s="10">
        <v>2843000</v>
      </c>
      <c r="AC46" s="9"/>
      <c r="AD46" s="10"/>
    </row>
    <row r="47" spans="1:30" x14ac:dyDescent="0.3">
      <c r="A47" s="8" t="str">
        <f t="shared" si="0"/>
        <v>10:12</v>
      </c>
      <c r="B47" s="9">
        <v>44652.425000000003</v>
      </c>
      <c r="C47" s="10">
        <v>3265.7483999999999</v>
      </c>
      <c r="D47" s="10">
        <v>179596300</v>
      </c>
      <c r="E47" s="6"/>
      <c r="N47" s="9">
        <v>44652.425000000003</v>
      </c>
      <c r="O47" s="10">
        <v>12168.692800000001</v>
      </c>
      <c r="P47" s="10">
        <v>217570400</v>
      </c>
      <c r="Q47" s="6"/>
      <c r="R47" s="9">
        <v>44652.425000000003</v>
      </c>
      <c r="S47" s="10">
        <v>2664.3551000000002</v>
      </c>
      <c r="T47" s="10">
        <v>69059500</v>
      </c>
      <c r="V47" s="9">
        <v>44652.425000000003</v>
      </c>
      <c r="W47" s="10">
        <v>1086.5327</v>
      </c>
      <c r="X47" s="10">
        <v>2999300</v>
      </c>
      <c r="AC47" s="9"/>
      <c r="AD47" s="10"/>
    </row>
    <row r="48" spans="1:30" x14ac:dyDescent="0.3">
      <c r="A48" s="8" t="str">
        <f t="shared" si="0"/>
        <v>10:13</v>
      </c>
      <c r="B48" s="9">
        <v>44652.425694444399</v>
      </c>
      <c r="C48" s="10">
        <v>3267.3072000000002</v>
      </c>
      <c r="D48" s="10">
        <v>190306800</v>
      </c>
      <c r="E48" s="6"/>
      <c r="N48" s="9">
        <v>44652.425694444399</v>
      </c>
      <c r="O48" s="10">
        <v>12167.900600000001</v>
      </c>
      <c r="P48" s="10">
        <v>219826000</v>
      </c>
      <c r="Q48" s="6"/>
      <c r="R48" s="9">
        <v>44652.425694444399</v>
      </c>
      <c r="S48" s="10">
        <v>2663.3099000000002</v>
      </c>
      <c r="T48" s="10">
        <v>61468200</v>
      </c>
      <c r="V48" s="9">
        <v>44652.425694444399</v>
      </c>
      <c r="W48" s="10">
        <v>1086.9884</v>
      </c>
      <c r="X48" s="10">
        <v>2626300</v>
      </c>
      <c r="AC48" s="9"/>
      <c r="AD48" s="10"/>
    </row>
    <row r="49" spans="1:30" x14ac:dyDescent="0.3">
      <c r="A49" s="8" t="str">
        <f t="shared" si="0"/>
        <v>10:14</v>
      </c>
      <c r="B49" s="9">
        <v>44652.426388888904</v>
      </c>
      <c r="C49" s="10">
        <v>3265.8987000000002</v>
      </c>
      <c r="D49" s="10">
        <v>195895500</v>
      </c>
      <c r="E49" s="6"/>
      <c r="N49" s="9">
        <v>44652.426388888904</v>
      </c>
      <c r="O49" s="10">
        <v>12163.902700000001</v>
      </c>
      <c r="P49" s="10">
        <v>213938800</v>
      </c>
      <c r="Q49" s="6"/>
      <c r="R49" s="9">
        <v>44652.426388888904</v>
      </c>
      <c r="S49" s="10">
        <v>2662.1262999999999</v>
      </c>
      <c r="T49" s="10">
        <v>57605900</v>
      </c>
      <c r="V49" s="9">
        <v>44652.426388888904</v>
      </c>
      <c r="W49" s="10">
        <v>1086.9127000000001</v>
      </c>
      <c r="X49" s="10">
        <v>2601500</v>
      </c>
      <c r="AC49" s="9"/>
      <c r="AD49" s="10"/>
    </row>
    <row r="50" spans="1:30" x14ac:dyDescent="0.3">
      <c r="A50" s="8" t="str">
        <f t="shared" si="0"/>
        <v>10:15</v>
      </c>
      <c r="B50" s="9">
        <v>44652.427083333299</v>
      </c>
      <c r="C50" s="10">
        <v>3268.0297999999998</v>
      </c>
      <c r="D50" s="10">
        <v>195259500</v>
      </c>
      <c r="E50" s="6"/>
      <c r="N50" s="9">
        <v>44652.427083333299</v>
      </c>
      <c r="O50" s="10">
        <v>12181.7371</v>
      </c>
      <c r="P50" s="10">
        <v>202992200</v>
      </c>
      <c r="Q50" s="6"/>
      <c r="R50" s="9">
        <v>44652.427083333299</v>
      </c>
      <c r="S50" s="10">
        <v>2667.1462999999999</v>
      </c>
      <c r="T50" s="10">
        <v>55052800</v>
      </c>
      <c r="V50" s="9">
        <v>44652.427083333299</v>
      </c>
      <c r="W50" s="10">
        <v>1089.1845000000001</v>
      </c>
      <c r="X50" s="10">
        <v>3409400</v>
      </c>
      <c r="AC50" s="9"/>
      <c r="AD50" s="10"/>
    </row>
    <row r="51" spans="1:30" x14ac:dyDescent="0.3">
      <c r="A51" s="8" t="str">
        <f t="shared" si="0"/>
        <v>10:16</v>
      </c>
      <c r="B51" s="9">
        <v>44652.427777777797</v>
      </c>
      <c r="C51" s="10">
        <v>3267.7950999999998</v>
      </c>
      <c r="D51" s="10">
        <v>174162200</v>
      </c>
      <c r="E51" s="6"/>
      <c r="N51" s="9">
        <v>44652.427777777797</v>
      </c>
      <c r="O51" s="10">
        <v>12182.6654</v>
      </c>
      <c r="P51" s="10">
        <v>206335600</v>
      </c>
      <c r="Q51" s="6"/>
      <c r="R51" s="9">
        <v>44652.427777777797</v>
      </c>
      <c r="S51" s="10">
        <v>2666.8047000000001</v>
      </c>
      <c r="T51" s="10">
        <v>59699900</v>
      </c>
      <c r="V51" s="9">
        <v>44652.427777777797</v>
      </c>
      <c r="W51" s="10">
        <v>1088.3336999999999</v>
      </c>
      <c r="X51" s="10">
        <v>3491700</v>
      </c>
      <c r="AC51" s="9"/>
      <c r="AD51" s="10"/>
    </row>
    <row r="52" spans="1:30" x14ac:dyDescent="0.3">
      <c r="A52" s="8" t="str">
        <f t="shared" si="0"/>
        <v>10:17</v>
      </c>
      <c r="B52" s="9">
        <v>44652.4284722222</v>
      </c>
      <c r="C52" s="10">
        <v>3271.5354000000002</v>
      </c>
      <c r="D52" s="10">
        <v>220165900</v>
      </c>
      <c r="E52" s="6"/>
      <c r="N52" s="9">
        <v>44652.4284722222</v>
      </c>
      <c r="O52" s="10">
        <v>12199.046399999999</v>
      </c>
      <c r="P52" s="10">
        <v>229878200</v>
      </c>
      <c r="Q52" s="6"/>
      <c r="R52" s="9">
        <v>44652.4284722222</v>
      </c>
      <c r="S52" s="10">
        <v>2670.7532999999999</v>
      </c>
      <c r="T52" s="10">
        <v>61482900</v>
      </c>
      <c r="V52" s="9">
        <v>44652.4284722222</v>
      </c>
      <c r="W52" s="10">
        <v>1090.8133</v>
      </c>
      <c r="X52" s="10">
        <v>3868300</v>
      </c>
      <c r="AC52" s="9"/>
      <c r="AD52" s="10"/>
    </row>
    <row r="53" spans="1:30" x14ac:dyDescent="0.3">
      <c r="A53" s="8" t="str">
        <f t="shared" si="0"/>
        <v>10:18</v>
      </c>
      <c r="B53" s="9">
        <v>44652.429166666698</v>
      </c>
      <c r="C53" s="10">
        <v>3271.4004</v>
      </c>
      <c r="D53" s="10">
        <v>199029100</v>
      </c>
      <c r="E53" s="6"/>
      <c r="N53" s="9">
        <v>44652.429166666698</v>
      </c>
      <c r="O53" s="10">
        <v>12196.2325</v>
      </c>
      <c r="P53" s="10">
        <v>203883500</v>
      </c>
      <c r="Q53" s="6"/>
      <c r="R53" s="9">
        <v>44652.429166666698</v>
      </c>
      <c r="S53" s="10">
        <v>2670.1120999999998</v>
      </c>
      <c r="T53" s="10">
        <v>54802300</v>
      </c>
      <c r="V53" s="9">
        <v>44652.429166666698</v>
      </c>
      <c r="W53" s="10">
        <v>1091.9326000000001</v>
      </c>
      <c r="X53" s="10">
        <v>3319900</v>
      </c>
      <c r="AC53" s="9"/>
      <c r="AD53" s="10"/>
    </row>
    <row r="54" spans="1:30" x14ac:dyDescent="0.3">
      <c r="A54" s="8" t="str">
        <f t="shared" si="0"/>
        <v>10:19</v>
      </c>
      <c r="B54" s="9">
        <v>44652.429861111101</v>
      </c>
      <c r="C54" s="10">
        <v>3272.6082999999999</v>
      </c>
      <c r="D54" s="10">
        <v>181453100</v>
      </c>
      <c r="E54" s="6"/>
      <c r="N54" s="9">
        <v>44652.429861111101</v>
      </c>
      <c r="O54" s="10">
        <v>12205.319100000001</v>
      </c>
      <c r="P54" s="10">
        <v>207908200</v>
      </c>
      <c r="Q54" s="6"/>
      <c r="R54" s="9">
        <v>44652.429861111101</v>
      </c>
      <c r="S54" s="10">
        <v>2673.5329000000002</v>
      </c>
      <c r="T54" s="10">
        <v>55573500</v>
      </c>
      <c r="V54" s="9">
        <v>44652.429861111101</v>
      </c>
      <c r="W54" s="10">
        <v>1091.8453999999999</v>
      </c>
      <c r="X54" s="10">
        <v>3595000</v>
      </c>
      <c r="AC54" s="9"/>
      <c r="AD54" s="10"/>
    </row>
    <row r="55" spans="1:30" x14ac:dyDescent="0.3">
      <c r="A55" s="8" t="str">
        <f t="shared" si="0"/>
        <v>10:20</v>
      </c>
      <c r="B55" s="9">
        <v>44652.430555555598</v>
      </c>
      <c r="C55" s="10">
        <v>3272.4722999999999</v>
      </c>
      <c r="D55" s="10">
        <v>227771900</v>
      </c>
      <c r="E55" s="6"/>
      <c r="N55" s="9">
        <v>44652.430555555598</v>
      </c>
      <c r="O55" s="10">
        <v>12204.611500000001</v>
      </c>
      <c r="P55" s="10">
        <v>237392400</v>
      </c>
      <c r="Q55" s="6"/>
      <c r="R55" s="9">
        <v>44652.430555555598</v>
      </c>
      <c r="S55" s="10">
        <v>2671.8341</v>
      </c>
      <c r="T55" s="10">
        <v>64485600</v>
      </c>
      <c r="V55" s="9">
        <v>44652.430555555598</v>
      </c>
      <c r="W55" s="10">
        <v>1091.8738000000001</v>
      </c>
      <c r="X55" s="10">
        <v>4640300</v>
      </c>
      <c r="AC55" s="9"/>
      <c r="AD55" s="10"/>
    </row>
    <row r="56" spans="1:30" x14ac:dyDescent="0.3">
      <c r="A56" s="8" t="str">
        <f t="shared" si="0"/>
        <v>10:21</v>
      </c>
      <c r="B56" s="9">
        <v>44652.431250000001</v>
      </c>
      <c r="C56" s="10">
        <v>3268.9740999999999</v>
      </c>
      <c r="D56" s="10">
        <v>226532400</v>
      </c>
      <c r="E56" s="6"/>
      <c r="N56" s="9">
        <v>44652.431250000001</v>
      </c>
      <c r="O56" s="10">
        <v>12188.2988</v>
      </c>
      <c r="P56" s="10">
        <v>247687000</v>
      </c>
      <c r="Q56" s="6"/>
      <c r="R56" s="9">
        <v>44652.431250000001</v>
      </c>
      <c r="S56" s="10">
        <v>2667.2521999999999</v>
      </c>
      <c r="T56" s="10">
        <v>63176100</v>
      </c>
      <c r="V56" s="9">
        <v>44652.431250000001</v>
      </c>
      <c r="W56" s="10">
        <v>1090.4838999999999</v>
      </c>
      <c r="X56" s="10">
        <v>4380000</v>
      </c>
      <c r="AC56" s="9"/>
      <c r="AD56" s="10"/>
    </row>
    <row r="57" spans="1:30" x14ac:dyDescent="0.3">
      <c r="A57" s="8" t="str">
        <f t="shared" si="0"/>
        <v>10:22</v>
      </c>
      <c r="B57" s="9">
        <v>44652.431944444397</v>
      </c>
      <c r="C57" s="10">
        <v>3267.5210999999999</v>
      </c>
      <c r="D57" s="10">
        <v>171174200</v>
      </c>
      <c r="E57" s="6"/>
      <c r="N57" s="9">
        <v>44652.431944444397</v>
      </c>
      <c r="O57" s="10">
        <v>12185.578</v>
      </c>
      <c r="P57" s="10">
        <v>201630300</v>
      </c>
      <c r="Q57" s="6"/>
      <c r="R57" s="9">
        <v>44652.431944444397</v>
      </c>
      <c r="S57" s="10">
        <v>2666.2094000000002</v>
      </c>
      <c r="T57" s="10">
        <v>52129900</v>
      </c>
      <c r="V57" s="9">
        <v>44652.431944444397</v>
      </c>
      <c r="W57" s="10">
        <v>1090.3471</v>
      </c>
      <c r="X57" s="10">
        <v>3220300</v>
      </c>
      <c r="AC57" s="9"/>
      <c r="AD57" s="10"/>
    </row>
    <row r="58" spans="1:30" x14ac:dyDescent="0.3">
      <c r="A58" s="8" t="str">
        <f t="shared" si="0"/>
        <v>10:23</v>
      </c>
      <c r="B58" s="9">
        <v>44652.432638888902</v>
      </c>
      <c r="C58" s="10">
        <v>3265.8047999999999</v>
      </c>
      <c r="D58" s="10">
        <v>156093500</v>
      </c>
      <c r="E58" s="6"/>
      <c r="N58" s="9">
        <v>44652.432638888902</v>
      </c>
      <c r="O58" s="10">
        <v>12172.7021</v>
      </c>
      <c r="P58" s="10">
        <v>212856900</v>
      </c>
      <c r="Q58" s="6"/>
      <c r="R58" s="9">
        <v>44652.432638888902</v>
      </c>
      <c r="S58" s="10">
        <v>2662.5612000000001</v>
      </c>
      <c r="T58" s="10">
        <v>46754600</v>
      </c>
      <c r="V58" s="9">
        <v>44652.432638888902</v>
      </c>
      <c r="W58" s="10">
        <v>1088.6691000000001</v>
      </c>
      <c r="X58" s="10">
        <v>2541200</v>
      </c>
      <c r="AC58" s="9"/>
      <c r="AD58" s="10"/>
    </row>
    <row r="59" spans="1:30" x14ac:dyDescent="0.3">
      <c r="A59" s="8" t="str">
        <f t="shared" si="0"/>
        <v>10:24</v>
      </c>
      <c r="B59" s="9">
        <v>44652.433333333298</v>
      </c>
      <c r="C59" s="10">
        <v>3268.4823999999999</v>
      </c>
      <c r="D59" s="10">
        <v>136674400</v>
      </c>
      <c r="E59" s="6"/>
      <c r="N59" s="9">
        <v>44652.433333333298</v>
      </c>
      <c r="O59" s="10">
        <v>12181.408600000001</v>
      </c>
      <c r="P59" s="10">
        <v>203968800</v>
      </c>
      <c r="Q59" s="6"/>
      <c r="R59" s="9">
        <v>44652.433333333298</v>
      </c>
      <c r="S59" s="10">
        <v>2664.7645000000002</v>
      </c>
      <c r="T59" s="10">
        <v>44736100</v>
      </c>
      <c r="V59" s="9">
        <v>44652.433333333298</v>
      </c>
      <c r="W59" s="10">
        <v>1088.9640999999999</v>
      </c>
      <c r="X59" s="10">
        <v>2326400</v>
      </c>
      <c r="AC59" s="9"/>
      <c r="AD59" s="10"/>
    </row>
    <row r="60" spans="1:30" x14ac:dyDescent="0.3">
      <c r="A60" s="8" t="str">
        <f t="shared" si="0"/>
        <v>10:25</v>
      </c>
      <c r="B60" s="9">
        <v>44652.434027777803</v>
      </c>
      <c r="C60" s="10">
        <v>3267.0039999999999</v>
      </c>
      <c r="D60" s="10">
        <v>171556700</v>
      </c>
      <c r="E60" s="6"/>
      <c r="N60" s="9">
        <v>44652.434027777803</v>
      </c>
      <c r="O60" s="10">
        <v>12179.315000000001</v>
      </c>
      <c r="P60" s="10">
        <v>200989700</v>
      </c>
      <c r="Q60" s="6"/>
      <c r="R60" s="9">
        <v>44652.434027777803</v>
      </c>
      <c r="S60" s="10">
        <v>2664.0904</v>
      </c>
      <c r="T60" s="10">
        <v>52127300</v>
      </c>
      <c r="V60" s="9">
        <v>44652.434027777803</v>
      </c>
      <c r="W60" s="10">
        <v>1089.2145</v>
      </c>
      <c r="X60" s="10">
        <v>2224100</v>
      </c>
      <c r="AC60" s="9"/>
      <c r="AD60" s="10"/>
    </row>
    <row r="61" spans="1:30" x14ac:dyDescent="0.3">
      <c r="A61" s="8" t="str">
        <f t="shared" si="0"/>
        <v>10:26</v>
      </c>
      <c r="B61" s="9">
        <v>44652.434722222199</v>
      </c>
      <c r="C61" s="10">
        <v>3267.9373000000001</v>
      </c>
      <c r="D61" s="10">
        <v>139834400</v>
      </c>
      <c r="E61" s="6"/>
      <c r="N61" s="9">
        <v>44652.434722222199</v>
      </c>
      <c r="O61" s="10">
        <v>12187.8784</v>
      </c>
      <c r="P61" s="10">
        <v>204465000</v>
      </c>
      <c r="Q61" s="6"/>
      <c r="R61" s="9">
        <v>44652.434722222199</v>
      </c>
      <c r="S61" s="10">
        <v>2667.0866999999998</v>
      </c>
      <c r="T61" s="10">
        <v>50502400</v>
      </c>
      <c r="V61" s="9">
        <v>44652.434722222199</v>
      </c>
      <c r="W61" s="10">
        <v>1090.5779</v>
      </c>
      <c r="X61" s="10">
        <v>2722400</v>
      </c>
      <c r="AC61" s="9"/>
      <c r="AD61" s="10"/>
    </row>
    <row r="62" spans="1:30" x14ac:dyDescent="0.3">
      <c r="A62" s="8" t="str">
        <f t="shared" si="0"/>
        <v>10:27</v>
      </c>
      <c r="B62" s="9">
        <v>44652.435416666704</v>
      </c>
      <c r="C62" s="10">
        <v>3264.4063000000001</v>
      </c>
      <c r="D62" s="10">
        <v>214181700</v>
      </c>
      <c r="E62" s="6"/>
      <c r="N62" s="9">
        <v>44652.435416666704</v>
      </c>
      <c r="O62" s="10">
        <v>12175.4966</v>
      </c>
      <c r="P62" s="10">
        <v>277269200</v>
      </c>
      <c r="Q62" s="6"/>
      <c r="R62" s="9">
        <v>44652.435416666704</v>
      </c>
      <c r="S62" s="10">
        <v>2664.7743999999998</v>
      </c>
      <c r="T62" s="10">
        <v>53572700</v>
      </c>
      <c r="V62" s="9">
        <v>44652.435416666704</v>
      </c>
      <c r="W62" s="10">
        <v>1089.7745</v>
      </c>
      <c r="X62" s="10">
        <v>2661700</v>
      </c>
      <c r="AC62" s="9"/>
      <c r="AD62" s="10"/>
    </row>
    <row r="63" spans="1:30" x14ac:dyDescent="0.3">
      <c r="A63" s="8" t="str">
        <f t="shared" si="0"/>
        <v>10:28</v>
      </c>
      <c r="B63" s="9">
        <v>44652.436111111099</v>
      </c>
      <c r="C63" s="10">
        <v>3263.2134000000001</v>
      </c>
      <c r="D63" s="10">
        <v>223423800</v>
      </c>
      <c r="E63" s="6"/>
      <c r="N63" s="9">
        <v>44652.436111111099</v>
      </c>
      <c r="O63" s="10">
        <v>12177.206</v>
      </c>
      <c r="P63" s="10">
        <v>238243600</v>
      </c>
      <c r="Q63" s="6"/>
      <c r="R63" s="9">
        <v>44652.436111111099</v>
      </c>
      <c r="S63" s="10">
        <v>2667.2620999999999</v>
      </c>
      <c r="T63" s="10">
        <v>51150600</v>
      </c>
      <c r="V63" s="9">
        <v>44652.436111111099</v>
      </c>
      <c r="W63" s="10">
        <v>1089.6986999999999</v>
      </c>
      <c r="X63" s="10">
        <v>2311700</v>
      </c>
      <c r="AC63" s="9"/>
      <c r="AD63" s="10"/>
    </row>
    <row r="64" spans="1:30" x14ac:dyDescent="0.3">
      <c r="A64" s="8" t="str">
        <f t="shared" si="0"/>
        <v>10:29</v>
      </c>
      <c r="B64" s="9">
        <v>44652.436805555597</v>
      </c>
      <c r="C64" s="10">
        <v>3265.2950999999998</v>
      </c>
      <c r="D64" s="10">
        <v>214612400</v>
      </c>
      <c r="E64" s="6"/>
      <c r="N64" s="9">
        <v>44652.436805555597</v>
      </c>
      <c r="O64" s="10">
        <v>12197.512000000001</v>
      </c>
      <c r="P64" s="10">
        <v>244132700</v>
      </c>
      <c r="Q64" s="6"/>
      <c r="R64" s="9">
        <v>44652.436805555597</v>
      </c>
      <c r="S64" s="10">
        <v>2673.9135999999999</v>
      </c>
      <c r="T64" s="10">
        <v>49737300</v>
      </c>
      <c r="V64" s="9">
        <v>44652.436805555597</v>
      </c>
      <c r="W64" s="10">
        <v>1092.5904</v>
      </c>
      <c r="X64" s="10">
        <v>3283600</v>
      </c>
      <c r="AC64" s="9"/>
      <c r="AD64" s="10"/>
    </row>
    <row r="65" spans="1:30" x14ac:dyDescent="0.3">
      <c r="A65" s="8" t="str">
        <f t="shared" si="0"/>
        <v>10:30</v>
      </c>
      <c r="B65" s="9">
        <v>44652.4375</v>
      </c>
      <c r="C65" s="10">
        <v>3264.9405999999999</v>
      </c>
      <c r="D65" s="10">
        <v>182237900</v>
      </c>
      <c r="E65" s="6"/>
      <c r="N65" s="9">
        <v>44652.4375</v>
      </c>
      <c r="O65" s="10">
        <v>12189.813</v>
      </c>
      <c r="P65" s="10">
        <v>206853600</v>
      </c>
      <c r="Q65" s="6"/>
      <c r="R65" s="9">
        <v>44652.4375</v>
      </c>
      <c r="S65" s="10">
        <v>2671.8508000000002</v>
      </c>
      <c r="T65" s="10">
        <v>50222700</v>
      </c>
      <c r="V65" s="9">
        <v>44652.4375</v>
      </c>
      <c r="W65" s="10">
        <v>1091.5482999999999</v>
      </c>
      <c r="X65" s="10">
        <v>2543100</v>
      </c>
      <c r="AC65" s="9"/>
      <c r="AD65" s="10"/>
    </row>
    <row r="66" spans="1:30" x14ac:dyDescent="0.3">
      <c r="A66" s="8" t="str">
        <f t="shared" si="0"/>
        <v>10:31</v>
      </c>
      <c r="B66" s="9">
        <v>44652.438194444403</v>
      </c>
      <c r="C66" s="10">
        <v>3266.8438999999998</v>
      </c>
      <c r="D66" s="10">
        <v>201539400</v>
      </c>
      <c r="E66" s="6"/>
      <c r="N66" s="9">
        <v>44652.438194444403</v>
      </c>
      <c r="O66" s="10">
        <v>12201.388300000001</v>
      </c>
      <c r="P66" s="10">
        <v>276215100</v>
      </c>
      <c r="Q66" s="6"/>
      <c r="R66" s="9">
        <v>44652.438194444403</v>
      </c>
      <c r="S66" s="10">
        <v>2673.4854</v>
      </c>
      <c r="T66" s="10">
        <v>50740000</v>
      </c>
      <c r="V66" s="9">
        <v>44652.438194444403</v>
      </c>
      <c r="W66" s="10">
        <v>1092.0851</v>
      </c>
      <c r="X66" s="10">
        <v>2905200</v>
      </c>
      <c r="AC66" s="9"/>
      <c r="AD66" s="10"/>
    </row>
    <row r="67" spans="1:30" x14ac:dyDescent="0.3">
      <c r="A67" s="8" t="str">
        <f t="shared" si="0"/>
        <v>10:32</v>
      </c>
      <c r="B67" s="9">
        <v>44652.438888888901</v>
      </c>
      <c r="C67" s="10">
        <v>3263.8674000000001</v>
      </c>
      <c r="D67" s="10">
        <v>147483000</v>
      </c>
      <c r="E67" s="6"/>
      <c r="N67" s="9">
        <v>44652.438888888901</v>
      </c>
      <c r="O67" s="10">
        <v>12182.1008</v>
      </c>
      <c r="P67" s="10">
        <v>239891100</v>
      </c>
      <c r="Q67" s="6"/>
      <c r="R67" s="9">
        <v>44652.438888888901</v>
      </c>
      <c r="S67" s="10">
        <v>2668.2707999999998</v>
      </c>
      <c r="T67" s="10">
        <v>45884100</v>
      </c>
      <c r="V67" s="9">
        <v>44652.438888888901</v>
      </c>
      <c r="W67" s="10">
        <v>1090.1801</v>
      </c>
      <c r="X67" s="10">
        <v>2221000</v>
      </c>
      <c r="AC67" s="9"/>
      <c r="AD67" s="10"/>
    </row>
    <row r="68" spans="1:30" x14ac:dyDescent="0.3">
      <c r="A68" s="8" t="str">
        <f t="shared" si="0"/>
        <v>10:33</v>
      </c>
      <c r="B68" s="9">
        <v>44652.439583333296</v>
      </c>
      <c r="C68" s="10">
        <v>3263.2172999999998</v>
      </c>
      <c r="D68" s="10">
        <v>151016300</v>
      </c>
      <c r="E68" s="6"/>
      <c r="N68" s="9">
        <v>44652.439583333296</v>
      </c>
      <c r="O68" s="10">
        <v>12178.3776</v>
      </c>
      <c r="P68" s="10">
        <v>200787100</v>
      </c>
      <c r="Q68" s="6"/>
      <c r="R68" s="9">
        <v>44652.439583333296</v>
      </c>
      <c r="S68" s="10">
        <v>2666.0335</v>
      </c>
      <c r="T68" s="10">
        <v>42707000</v>
      </c>
      <c r="V68" s="9">
        <v>44652.439583333296</v>
      </c>
      <c r="W68" s="10">
        <v>1089.5117</v>
      </c>
      <c r="X68" s="10">
        <v>2389600</v>
      </c>
      <c r="AC68" s="9"/>
      <c r="AD68" s="10"/>
    </row>
    <row r="69" spans="1:30" x14ac:dyDescent="0.3">
      <c r="A69" s="8" t="str">
        <f t="shared" ref="A69:A132" si="1">TEXT(B69,"hh:mm")</f>
        <v>10:34</v>
      </c>
      <c r="B69" s="9">
        <v>44652.440277777801</v>
      </c>
      <c r="C69" s="10">
        <v>3265.2797999999998</v>
      </c>
      <c r="D69" s="10">
        <v>147706200</v>
      </c>
      <c r="E69" s="6"/>
      <c r="N69" s="9">
        <v>44652.440277777801</v>
      </c>
      <c r="O69" s="10">
        <v>12192.254499999999</v>
      </c>
      <c r="P69" s="10">
        <v>193153000</v>
      </c>
      <c r="Q69" s="6"/>
      <c r="R69" s="9">
        <v>44652.440277777801</v>
      </c>
      <c r="S69" s="10">
        <v>2669.6927000000001</v>
      </c>
      <c r="T69" s="10">
        <v>37749800</v>
      </c>
      <c r="V69" s="9">
        <v>44652.440277777801</v>
      </c>
      <c r="W69" s="10">
        <v>1090.3043</v>
      </c>
      <c r="X69" s="10">
        <v>2268900</v>
      </c>
      <c r="AC69" s="9"/>
      <c r="AD69" s="10"/>
    </row>
    <row r="70" spans="1:30" x14ac:dyDescent="0.3">
      <c r="A70" s="8" t="str">
        <f t="shared" si="1"/>
        <v>10:35</v>
      </c>
      <c r="B70" s="9">
        <v>44652.440972222197</v>
      </c>
      <c r="C70" s="10">
        <v>3266.2390999999998</v>
      </c>
      <c r="D70" s="10">
        <v>124916600</v>
      </c>
      <c r="E70" s="6"/>
      <c r="N70" s="9">
        <v>44652.440972222197</v>
      </c>
      <c r="O70" s="10">
        <v>12192.899799999999</v>
      </c>
      <c r="P70" s="10">
        <v>185121100</v>
      </c>
      <c r="Q70" s="6"/>
      <c r="R70" s="9">
        <v>44652.440972222197</v>
      </c>
      <c r="S70" s="10">
        <v>2669.7728999999999</v>
      </c>
      <c r="T70" s="10">
        <v>36354500</v>
      </c>
      <c r="V70" s="9">
        <v>44652.440972222197</v>
      </c>
      <c r="W70" s="10">
        <v>1089.7829999999999</v>
      </c>
      <c r="X70" s="10">
        <v>1729500</v>
      </c>
      <c r="AC70" s="9"/>
      <c r="AD70" s="10"/>
    </row>
    <row r="71" spans="1:30" x14ac:dyDescent="0.3">
      <c r="A71" s="8" t="str">
        <f t="shared" si="1"/>
        <v>10:36</v>
      </c>
      <c r="B71" s="9">
        <v>44652.441666666702</v>
      </c>
      <c r="C71" s="10">
        <v>3263.5979000000002</v>
      </c>
      <c r="D71" s="10">
        <v>120112900</v>
      </c>
      <c r="E71" s="6"/>
      <c r="N71" s="9">
        <v>44652.441666666702</v>
      </c>
      <c r="O71" s="10">
        <v>12184.2593</v>
      </c>
      <c r="P71" s="10">
        <v>155597500</v>
      </c>
      <c r="Q71" s="6"/>
      <c r="R71" s="9">
        <v>44652.441666666702</v>
      </c>
      <c r="S71" s="10">
        <v>2668.0717</v>
      </c>
      <c r="T71" s="10">
        <v>37588500</v>
      </c>
      <c r="V71" s="9">
        <v>44652.441666666702</v>
      </c>
      <c r="W71" s="10">
        <v>1089.2624000000001</v>
      </c>
      <c r="X71" s="10">
        <v>2009500</v>
      </c>
      <c r="AC71" s="9"/>
      <c r="AD71" s="10"/>
    </row>
    <row r="72" spans="1:30" x14ac:dyDescent="0.3">
      <c r="A72" s="8" t="str">
        <f t="shared" si="1"/>
        <v>10:37</v>
      </c>
      <c r="B72" s="9">
        <v>44652.442361111098</v>
      </c>
      <c r="C72" s="10">
        <v>3264.3611999999998</v>
      </c>
      <c r="D72" s="10">
        <v>104365100</v>
      </c>
      <c r="E72" s="6"/>
      <c r="N72" s="9">
        <v>44652.442361111098</v>
      </c>
      <c r="O72" s="10">
        <v>12186.079599999999</v>
      </c>
      <c r="P72" s="10">
        <v>151840900</v>
      </c>
      <c r="Q72" s="6"/>
      <c r="R72" s="9">
        <v>44652.442361111098</v>
      </c>
      <c r="S72" s="10">
        <v>2668.6055999999999</v>
      </c>
      <c r="T72" s="10">
        <v>35261600</v>
      </c>
      <c r="V72" s="9">
        <v>44652.442361111098</v>
      </c>
      <c r="W72" s="10">
        <v>1088.7607</v>
      </c>
      <c r="X72" s="10">
        <v>2073900</v>
      </c>
      <c r="AC72" s="9"/>
      <c r="AD72" s="10"/>
    </row>
    <row r="73" spans="1:30" x14ac:dyDescent="0.3">
      <c r="A73" s="8" t="str">
        <f t="shared" si="1"/>
        <v>10:38</v>
      </c>
      <c r="B73" s="9">
        <v>44652.443055555603</v>
      </c>
      <c r="C73" s="10">
        <v>3264.7838999999999</v>
      </c>
      <c r="D73" s="10">
        <v>101216500</v>
      </c>
      <c r="E73" s="6"/>
      <c r="N73" s="9">
        <v>44652.443055555603</v>
      </c>
      <c r="O73" s="10">
        <v>12188.9642</v>
      </c>
      <c r="P73" s="10">
        <v>153106800</v>
      </c>
      <c r="Q73" s="6"/>
      <c r="R73" s="9">
        <v>44652.443055555603</v>
      </c>
      <c r="S73" s="10">
        <v>2669.82</v>
      </c>
      <c r="T73" s="10">
        <v>32582600</v>
      </c>
      <c r="V73" s="9">
        <v>44652.443055555603</v>
      </c>
      <c r="W73" s="10">
        <v>1089.0826</v>
      </c>
      <c r="X73" s="10">
        <v>1702800</v>
      </c>
      <c r="AC73" s="9"/>
      <c r="AD73" s="10"/>
    </row>
    <row r="74" spans="1:30" x14ac:dyDescent="0.3">
      <c r="A74" s="8" t="str">
        <f t="shared" si="1"/>
        <v>10:39</v>
      </c>
      <c r="B74" s="9">
        <v>44652.443749999999</v>
      </c>
      <c r="C74" s="10">
        <v>3268.1410999999998</v>
      </c>
      <c r="D74" s="10">
        <v>138112700</v>
      </c>
      <c r="E74" s="6"/>
      <c r="N74" s="9">
        <v>44652.443749999999</v>
      </c>
      <c r="O74" s="10">
        <v>12199.8336</v>
      </c>
      <c r="P74" s="10">
        <v>143511700</v>
      </c>
      <c r="Q74" s="6"/>
      <c r="R74" s="9">
        <v>44652.443749999999</v>
      </c>
      <c r="S74" s="10">
        <v>2671.9683</v>
      </c>
      <c r="T74" s="10">
        <v>34958600</v>
      </c>
      <c r="V74" s="9">
        <v>44652.443749999999</v>
      </c>
      <c r="W74" s="10">
        <v>1090.9591</v>
      </c>
      <c r="X74" s="10">
        <v>2412900</v>
      </c>
      <c r="AC74" s="9"/>
      <c r="AD74" s="10"/>
    </row>
    <row r="75" spans="1:30" x14ac:dyDescent="0.3">
      <c r="A75" s="8" t="str">
        <f t="shared" si="1"/>
        <v>10:40</v>
      </c>
      <c r="B75" s="9">
        <v>44652.444444444402</v>
      </c>
      <c r="C75" s="10">
        <v>3268.3463999999999</v>
      </c>
      <c r="D75" s="10">
        <v>138527400</v>
      </c>
      <c r="E75" s="6"/>
      <c r="N75" s="9">
        <v>44652.444444444402</v>
      </c>
      <c r="O75" s="10">
        <v>12201.381100000001</v>
      </c>
      <c r="P75" s="10">
        <v>140078700</v>
      </c>
      <c r="Q75" s="6"/>
      <c r="R75" s="9">
        <v>44652.444444444402</v>
      </c>
      <c r="S75" s="10">
        <v>2672.3098</v>
      </c>
      <c r="T75" s="10">
        <v>33941000</v>
      </c>
      <c r="V75" s="9">
        <v>44652.444444444402</v>
      </c>
      <c r="W75" s="10">
        <v>1090.4735000000001</v>
      </c>
      <c r="X75" s="10">
        <v>1912000</v>
      </c>
      <c r="AC75" s="9"/>
      <c r="AD75" s="10"/>
    </row>
    <row r="76" spans="1:30" x14ac:dyDescent="0.3">
      <c r="A76" s="8" t="str">
        <f t="shared" si="1"/>
        <v>10:41</v>
      </c>
      <c r="B76" s="9">
        <v>44652.445138888899</v>
      </c>
      <c r="C76" s="10">
        <v>3275.0389</v>
      </c>
      <c r="D76" s="10">
        <v>216093000</v>
      </c>
      <c r="E76" s="6"/>
      <c r="N76" s="9">
        <v>44652.445138888899</v>
      </c>
      <c r="O76" s="10">
        <v>12225.833199999999</v>
      </c>
      <c r="P76" s="10">
        <v>182094900</v>
      </c>
      <c r="Q76" s="6"/>
      <c r="R76" s="9">
        <v>44652.445138888899</v>
      </c>
      <c r="S76" s="10">
        <v>2677.0034000000001</v>
      </c>
      <c r="T76" s="10">
        <v>38482000</v>
      </c>
      <c r="V76" s="9">
        <v>44652.445138888899</v>
      </c>
      <c r="W76" s="10">
        <v>1092.5401999999999</v>
      </c>
      <c r="X76" s="10">
        <v>1868500</v>
      </c>
      <c r="AC76" s="9"/>
      <c r="AD76" s="10"/>
    </row>
    <row r="77" spans="1:30" x14ac:dyDescent="0.3">
      <c r="A77" s="8" t="str">
        <f t="shared" si="1"/>
        <v>10:42</v>
      </c>
      <c r="B77" s="9">
        <v>44652.445833333302</v>
      </c>
      <c r="C77" s="10">
        <v>3274.5545000000002</v>
      </c>
      <c r="D77" s="10">
        <v>143766400</v>
      </c>
      <c r="E77" s="6"/>
      <c r="N77" s="9">
        <v>44652.445833333302</v>
      </c>
      <c r="O77" s="10">
        <v>12232.1484</v>
      </c>
      <c r="P77" s="10">
        <v>173744600</v>
      </c>
      <c r="Q77" s="6"/>
      <c r="R77" s="9">
        <v>44652.445833333302</v>
      </c>
      <c r="S77" s="10">
        <v>2678.7451999999998</v>
      </c>
      <c r="T77" s="10">
        <v>41433800</v>
      </c>
      <c r="V77" s="9">
        <v>44652.445833333302</v>
      </c>
      <c r="W77" s="10">
        <v>1092.2612999999999</v>
      </c>
      <c r="X77" s="10">
        <v>2729500</v>
      </c>
      <c r="AC77" s="9"/>
      <c r="AD77" s="10"/>
    </row>
    <row r="78" spans="1:30" x14ac:dyDescent="0.3">
      <c r="A78" s="8" t="str">
        <f t="shared" si="1"/>
        <v>10:43</v>
      </c>
      <c r="B78" s="9">
        <v>44652.4465277778</v>
      </c>
      <c r="C78" s="10">
        <v>3275.5284000000001</v>
      </c>
      <c r="D78" s="10">
        <v>149769700</v>
      </c>
      <c r="E78" s="6"/>
      <c r="N78" s="9">
        <v>44652.4465277778</v>
      </c>
      <c r="O78" s="10">
        <v>12235.16</v>
      </c>
      <c r="P78" s="10">
        <v>161756100</v>
      </c>
      <c r="Q78" s="6"/>
      <c r="R78" s="9">
        <v>44652.4465277778</v>
      </c>
      <c r="S78" s="10">
        <v>2679.8341999999998</v>
      </c>
      <c r="T78" s="10">
        <v>32931600</v>
      </c>
      <c r="V78" s="9">
        <v>44652.4465277778</v>
      </c>
      <c r="W78" s="10">
        <v>1092.454</v>
      </c>
      <c r="X78" s="10">
        <v>2162900</v>
      </c>
      <c r="AC78" s="9"/>
      <c r="AD78" s="10"/>
    </row>
    <row r="79" spans="1:30" x14ac:dyDescent="0.3">
      <c r="A79" s="8" t="str">
        <f t="shared" si="1"/>
        <v>10:44</v>
      </c>
      <c r="B79" s="9">
        <v>44652.447222222203</v>
      </c>
      <c r="C79" s="10">
        <v>3278.4079000000002</v>
      </c>
      <c r="D79" s="10">
        <v>144738100</v>
      </c>
      <c r="E79" s="6"/>
      <c r="N79" s="9">
        <v>44652.447222222203</v>
      </c>
      <c r="O79" s="10">
        <v>12247.0825</v>
      </c>
      <c r="P79" s="10">
        <v>159172200</v>
      </c>
      <c r="Q79" s="6"/>
      <c r="R79" s="9">
        <v>44652.447222222203</v>
      </c>
      <c r="S79" s="10">
        <v>2683.2856000000002</v>
      </c>
      <c r="T79" s="10">
        <v>38232100</v>
      </c>
      <c r="V79" s="9">
        <v>44652.447222222203</v>
      </c>
      <c r="W79" s="10">
        <v>1093.4505999999999</v>
      </c>
      <c r="X79" s="10">
        <v>2476300</v>
      </c>
      <c r="AC79" s="9"/>
      <c r="AD79" s="10"/>
    </row>
    <row r="80" spans="1:30" x14ac:dyDescent="0.3">
      <c r="A80" s="8" t="str">
        <f t="shared" si="1"/>
        <v>10:45</v>
      </c>
      <c r="B80" s="9">
        <v>44652.447916666701</v>
      </c>
      <c r="C80" s="10">
        <v>3278.5329999999999</v>
      </c>
      <c r="D80" s="10">
        <v>155189800</v>
      </c>
      <c r="E80" s="6"/>
      <c r="N80" s="9">
        <v>44652.447916666701</v>
      </c>
      <c r="O80" s="10">
        <v>12246.075999999999</v>
      </c>
      <c r="P80" s="10">
        <v>177149400</v>
      </c>
      <c r="Q80" s="6"/>
      <c r="R80" s="9">
        <v>44652.447916666701</v>
      </c>
      <c r="S80" s="10">
        <v>2681.3440000000001</v>
      </c>
      <c r="T80" s="10">
        <v>43755200</v>
      </c>
      <c r="V80" s="9">
        <v>44652.447916666701</v>
      </c>
      <c r="W80" s="10">
        <v>1093.4834000000001</v>
      </c>
      <c r="X80" s="10">
        <v>3257300</v>
      </c>
      <c r="AC80" s="9"/>
      <c r="AD80" s="10"/>
    </row>
    <row r="81" spans="1:30" x14ac:dyDescent="0.3">
      <c r="A81" s="8" t="str">
        <f t="shared" si="1"/>
        <v>10:46</v>
      </c>
      <c r="B81" s="9">
        <v>44652.448611111096</v>
      </c>
      <c r="C81" s="10">
        <v>3277.7993999999999</v>
      </c>
      <c r="D81" s="10">
        <v>119589500</v>
      </c>
      <c r="E81" s="6"/>
      <c r="N81" s="9">
        <v>44652.448611111096</v>
      </c>
      <c r="O81" s="10">
        <v>12245.1458</v>
      </c>
      <c r="P81" s="10">
        <v>142538100</v>
      </c>
      <c r="Q81" s="6"/>
      <c r="R81" s="9">
        <v>44652.448611111096</v>
      </c>
      <c r="S81" s="10">
        <v>2681.8948</v>
      </c>
      <c r="T81" s="10">
        <v>35527300</v>
      </c>
      <c r="V81" s="9">
        <v>44652.448611111096</v>
      </c>
      <c r="W81" s="10">
        <v>1093.73</v>
      </c>
      <c r="X81" s="10">
        <v>2162600</v>
      </c>
      <c r="AC81" s="9"/>
      <c r="AD81" s="10"/>
    </row>
    <row r="82" spans="1:30" x14ac:dyDescent="0.3">
      <c r="A82" s="8" t="str">
        <f t="shared" si="1"/>
        <v>10:47</v>
      </c>
      <c r="B82" s="9">
        <v>44652.449305555601</v>
      </c>
      <c r="C82" s="10">
        <v>3277.8719000000001</v>
      </c>
      <c r="D82" s="10">
        <v>131361700</v>
      </c>
      <c r="E82" s="6"/>
      <c r="N82" s="9">
        <v>44652.449305555601</v>
      </c>
      <c r="O82" s="10">
        <v>12241.3092</v>
      </c>
      <c r="P82" s="10">
        <v>130493400</v>
      </c>
      <c r="Q82" s="6"/>
      <c r="R82" s="9">
        <v>44652.449305555601</v>
      </c>
      <c r="S82" s="10">
        <v>2680.2031999999999</v>
      </c>
      <c r="T82" s="10">
        <v>31390700</v>
      </c>
      <c r="V82" s="9">
        <v>44652.449305555601</v>
      </c>
      <c r="W82" s="10">
        <v>1092.9773</v>
      </c>
      <c r="X82" s="10">
        <v>1952100</v>
      </c>
      <c r="AC82" s="9"/>
      <c r="AD82" s="10"/>
    </row>
    <row r="83" spans="1:30" x14ac:dyDescent="0.3">
      <c r="A83" s="8" t="str">
        <f t="shared" si="1"/>
        <v>10:48</v>
      </c>
      <c r="B83" s="9">
        <v>44652.45</v>
      </c>
      <c r="C83" s="10">
        <v>3282.2691</v>
      </c>
      <c r="D83" s="10">
        <v>133596800</v>
      </c>
      <c r="E83" s="6"/>
      <c r="N83" s="9">
        <v>44652.45</v>
      </c>
      <c r="O83" s="10">
        <v>12259.1854</v>
      </c>
      <c r="P83" s="10">
        <v>164566100</v>
      </c>
      <c r="Q83" s="6"/>
      <c r="R83" s="9">
        <v>44652.45</v>
      </c>
      <c r="S83" s="10">
        <v>2684.5666999999999</v>
      </c>
      <c r="T83" s="10">
        <v>35077400</v>
      </c>
      <c r="V83" s="9">
        <v>44652.45</v>
      </c>
      <c r="W83" s="10">
        <v>1093.3108</v>
      </c>
      <c r="X83" s="10">
        <v>2207100</v>
      </c>
      <c r="AC83" s="9"/>
      <c r="AD83" s="10"/>
    </row>
    <row r="84" spans="1:30" x14ac:dyDescent="0.3">
      <c r="A84" s="8" t="str">
        <f t="shared" si="1"/>
        <v>10:49</v>
      </c>
      <c r="B84" s="9">
        <v>44652.4506944444</v>
      </c>
      <c r="C84" s="10">
        <v>3282.6633999999999</v>
      </c>
      <c r="D84" s="10">
        <v>187352400</v>
      </c>
      <c r="E84" s="6"/>
      <c r="N84" s="9">
        <v>44652.4506944444</v>
      </c>
      <c r="O84" s="10">
        <v>12257.1091</v>
      </c>
      <c r="P84" s="10">
        <v>146318100</v>
      </c>
      <c r="Q84" s="6"/>
      <c r="R84" s="9">
        <v>44652.4506944444</v>
      </c>
      <c r="S84" s="10">
        <v>2683.7912999999999</v>
      </c>
      <c r="T84" s="10">
        <v>37069500</v>
      </c>
      <c r="V84" s="9">
        <v>44652.4506944444</v>
      </c>
      <c r="W84" s="10">
        <v>1093.0981999999999</v>
      </c>
      <c r="X84" s="10">
        <v>2485100</v>
      </c>
      <c r="AC84" s="9"/>
      <c r="AD84" s="10"/>
    </row>
    <row r="85" spans="1:30" x14ac:dyDescent="0.3">
      <c r="A85" s="8" t="str">
        <f t="shared" si="1"/>
        <v>10:50</v>
      </c>
      <c r="B85" s="9">
        <v>44652.451388888898</v>
      </c>
      <c r="C85" s="10">
        <v>3286.9078</v>
      </c>
      <c r="D85" s="10">
        <v>181914500</v>
      </c>
      <c r="E85" s="6"/>
      <c r="N85" s="9">
        <v>44652.451388888898</v>
      </c>
      <c r="O85" s="10">
        <v>12274.2068</v>
      </c>
      <c r="P85" s="10">
        <v>167551500</v>
      </c>
      <c r="Q85" s="6"/>
      <c r="R85" s="9">
        <v>44652.451388888898</v>
      </c>
      <c r="S85" s="10">
        <v>2686.6008000000002</v>
      </c>
      <c r="T85" s="10">
        <v>35972900</v>
      </c>
      <c r="V85" s="9">
        <v>44652.451388888898</v>
      </c>
      <c r="W85" s="10">
        <v>1095.0264999999999</v>
      </c>
      <c r="X85" s="10">
        <v>2419500</v>
      </c>
      <c r="AC85" s="9"/>
      <c r="AD85" s="10"/>
    </row>
    <row r="86" spans="1:30" x14ac:dyDescent="0.3">
      <c r="A86" s="8" t="str">
        <f t="shared" si="1"/>
        <v>10:51</v>
      </c>
      <c r="B86" s="9">
        <v>44652.452083333301</v>
      </c>
      <c r="C86" s="10">
        <v>3284.1232</v>
      </c>
      <c r="D86" s="10">
        <v>180478700</v>
      </c>
      <c r="E86" s="6"/>
      <c r="N86" s="9">
        <v>44652.452083333301</v>
      </c>
      <c r="O86" s="10">
        <v>12266.0615</v>
      </c>
      <c r="P86" s="10">
        <v>157915400</v>
      </c>
      <c r="Q86" s="6"/>
      <c r="R86" s="9">
        <v>44652.452083333301</v>
      </c>
      <c r="S86" s="10">
        <v>2684.6556</v>
      </c>
      <c r="T86" s="10">
        <v>38206700</v>
      </c>
      <c r="V86" s="9">
        <v>44652.452083333301</v>
      </c>
      <c r="W86" s="10">
        <v>1094.8780999999999</v>
      </c>
      <c r="X86" s="10">
        <v>2777000</v>
      </c>
      <c r="AC86" s="9"/>
      <c r="AD86" s="10"/>
    </row>
    <row r="87" spans="1:30" x14ac:dyDescent="0.3">
      <c r="A87" s="8" t="str">
        <f t="shared" si="1"/>
        <v>10:52</v>
      </c>
      <c r="B87" s="9">
        <v>44652.452777777798</v>
      </c>
      <c r="C87" s="10">
        <v>3283.4573</v>
      </c>
      <c r="D87" s="10">
        <v>115468500</v>
      </c>
      <c r="E87" s="6"/>
      <c r="N87" s="9">
        <v>44652.452777777798</v>
      </c>
      <c r="O87" s="10">
        <v>12262.526</v>
      </c>
      <c r="P87" s="10">
        <v>133809300</v>
      </c>
      <c r="Q87" s="6"/>
      <c r="R87" s="9">
        <v>44652.452777777798</v>
      </c>
      <c r="S87" s="10">
        <v>2684.7849999999999</v>
      </c>
      <c r="T87" s="10">
        <v>29950400</v>
      </c>
      <c r="V87" s="9">
        <v>44652.452777777798</v>
      </c>
      <c r="W87" s="10">
        <v>1093.9268</v>
      </c>
      <c r="X87" s="10">
        <v>2036500</v>
      </c>
      <c r="AC87" s="9"/>
      <c r="AD87" s="10"/>
    </row>
    <row r="88" spans="1:30" x14ac:dyDescent="0.3">
      <c r="A88" s="8" t="str">
        <f t="shared" si="1"/>
        <v>10:53</v>
      </c>
      <c r="B88" s="9">
        <v>44652.453472222202</v>
      </c>
      <c r="C88" s="10">
        <v>3284.9283999999998</v>
      </c>
      <c r="D88" s="10">
        <v>130115800</v>
      </c>
      <c r="E88" s="6"/>
      <c r="N88" s="9">
        <v>44652.453472222202</v>
      </c>
      <c r="O88" s="10">
        <v>12270.883900000001</v>
      </c>
      <c r="P88" s="10">
        <v>129364600</v>
      </c>
      <c r="Q88" s="6"/>
      <c r="R88" s="9">
        <v>44652.453472222202</v>
      </c>
      <c r="S88" s="10">
        <v>2686.3957</v>
      </c>
      <c r="T88" s="10">
        <v>28834100</v>
      </c>
      <c r="V88" s="9">
        <v>44652.453472222202</v>
      </c>
      <c r="W88" s="10">
        <v>1094.5232000000001</v>
      </c>
      <c r="X88" s="10">
        <v>2237400</v>
      </c>
      <c r="AC88" s="9"/>
      <c r="AD88" s="10"/>
    </row>
    <row r="89" spans="1:30" x14ac:dyDescent="0.3">
      <c r="A89" s="8" t="str">
        <f t="shared" si="1"/>
        <v>10:54</v>
      </c>
      <c r="B89" s="9">
        <v>44652.454166666699</v>
      </c>
      <c r="C89" s="10">
        <v>3282.3647000000001</v>
      </c>
      <c r="D89" s="10">
        <v>121461200</v>
      </c>
      <c r="E89" s="6"/>
      <c r="N89" s="9">
        <v>44652.454166666699</v>
      </c>
      <c r="O89" s="10">
        <v>12256.9745</v>
      </c>
      <c r="P89" s="10">
        <v>129611300</v>
      </c>
      <c r="Q89" s="6"/>
      <c r="R89" s="9">
        <v>44652.454166666699</v>
      </c>
      <c r="S89" s="10">
        <v>2683.2669000000001</v>
      </c>
      <c r="T89" s="10">
        <v>32045100</v>
      </c>
      <c r="V89" s="9">
        <v>44652.454166666699</v>
      </c>
      <c r="W89" s="10">
        <v>1093.4574</v>
      </c>
      <c r="X89" s="10">
        <v>2253100</v>
      </c>
      <c r="AC89" s="9"/>
      <c r="AD89" s="10"/>
    </row>
    <row r="90" spans="1:30" x14ac:dyDescent="0.3">
      <c r="A90" s="8" t="str">
        <f t="shared" si="1"/>
        <v>10:55</v>
      </c>
      <c r="B90" s="9">
        <v>44652.454861111102</v>
      </c>
      <c r="C90" s="10">
        <v>3282.4836</v>
      </c>
      <c r="D90" s="10">
        <v>114614800</v>
      </c>
      <c r="E90" s="6"/>
      <c r="N90" s="9">
        <v>44652.454861111102</v>
      </c>
      <c r="O90" s="10">
        <v>12259.4548</v>
      </c>
      <c r="P90" s="10">
        <v>120259000</v>
      </c>
      <c r="Q90" s="6"/>
      <c r="R90" s="9">
        <v>44652.454861111102</v>
      </c>
      <c r="S90" s="10">
        <v>2683.7556</v>
      </c>
      <c r="T90" s="10">
        <v>29512700</v>
      </c>
      <c r="V90" s="9">
        <v>44652.454861111102</v>
      </c>
      <c r="W90" s="10">
        <v>1093.7021999999999</v>
      </c>
      <c r="X90" s="10">
        <v>1811300</v>
      </c>
      <c r="AC90" s="9"/>
      <c r="AD90" s="10"/>
    </row>
    <row r="91" spans="1:30" x14ac:dyDescent="0.3">
      <c r="A91" s="8" t="str">
        <f t="shared" si="1"/>
        <v>10:56</v>
      </c>
      <c r="B91" s="9">
        <v>44652.4555555556</v>
      </c>
      <c r="C91" s="10">
        <v>3280.7471</v>
      </c>
      <c r="D91" s="10">
        <v>104864900</v>
      </c>
      <c r="E91" s="6"/>
      <c r="N91" s="9">
        <v>44652.4555555556</v>
      </c>
      <c r="O91" s="10">
        <v>12250.062900000001</v>
      </c>
      <c r="P91" s="10">
        <v>126820500</v>
      </c>
      <c r="Q91" s="6"/>
      <c r="R91" s="9">
        <v>44652.4555555556</v>
      </c>
      <c r="S91" s="10">
        <v>2681.7384000000002</v>
      </c>
      <c r="T91" s="10">
        <v>30826100</v>
      </c>
      <c r="V91" s="9">
        <v>44652.4555555556</v>
      </c>
      <c r="W91" s="10">
        <v>1092.8076000000001</v>
      </c>
      <c r="X91" s="10">
        <v>1749000</v>
      </c>
      <c r="AC91" s="9"/>
      <c r="AD91" s="10"/>
    </row>
    <row r="92" spans="1:30" x14ac:dyDescent="0.3">
      <c r="A92" s="8" t="str">
        <f t="shared" si="1"/>
        <v>10:57</v>
      </c>
      <c r="B92" s="9">
        <v>44652.456250000003</v>
      </c>
      <c r="C92" s="10">
        <v>3279.8697000000002</v>
      </c>
      <c r="D92" s="10">
        <v>122683500</v>
      </c>
      <c r="E92" s="6"/>
      <c r="N92" s="9">
        <v>44652.456250000003</v>
      </c>
      <c r="O92" s="10">
        <v>12250.327600000001</v>
      </c>
      <c r="P92" s="10">
        <v>129973300</v>
      </c>
      <c r="Q92" s="6"/>
      <c r="R92" s="9">
        <v>44652.456250000003</v>
      </c>
      <c r="S92" s="10">
        <v>2681.7741000000001</v>
      </c>
      <c r="T92" s="10">
        <v>30755800</v>
      </c>
      <c r="V92" s="9">
        <v>44652.456250000003</v>
      </c>
      <c r="W92" s="10">
        <v>1092.7171000000001</v>
      </c>
      <c r="X92" s="10">
        <v>1797800</v>
      </c>
      <c r="AC92" s="9"/>
      <c r="AD92" s="10"/>
    </row>
    <row r="93" spans="1:30" x14ac:dyDescent="0.3">
      <c r="A93" s="8" t="str">
        <f t="shared" si="1"/>
        <v>10:58</v>
      </c>
      <c r="B93" s="9">
        <v>44652.456944444399</v>
      </c>
      <c r="C93" s="10">
        <v>3278.4387999999999</v>
      </c>
      <c r="D93" s="10">
        <v>105812700</v>
      </c>
      <c r="E93" s="6"/>
      <c r="N93" s="9">
        <v>44652.456944444399</v>
      </c>
      <c r="O93" s="10">
        <v>12242.750099999999</v>
      </c>
      <c r="P93" s="10">
        <v>114783300</v>
      </c>
      <c r="Q93" s="6"/>
      <c r="R93" s="9">
        <v>44652.456944444399</v>
      </c>
      <c r="S93" s="10">
        <v>2679.3319000000001</v>
      </c>
      <c r="T93" s="10">
        <v>31459200</v>
      </c>
      <c r="V93" s="9">
        <v>44652.456944444399</v>
      </c>
      <c r="W93" s="10">
        <v>1091.8502000000001</v>
      </c>
      <c r="X93" s="10">
        <v>1851900</v>
      </c>
      <c r="AC93" s="9"/>
      <c r="AD93" s="10"/>
    </row>
    <row r="94" spans="1:30" x14ac:dyDescent="0.3">
      <c r="A94" s="8" t="str">
        <f t="shared" si="1"/>
        <v>10:59</v>
      </c>
      <c r="B94" s="9">
        <v>44652.457638888904</v>
      </c>
      <c r="C94" s="10">
        <v>3279.0246999999999</v>
      </c>
      <c r="D94" s="10">
        <v>87083800</v>
      </c>
      <c r="E94" s="6"/>
      <c r="N94" s="9">
        <v>44652.457638888904</v>
      </c>
      <c r="O94" s="10">
        <v>12244.135</v>
      </c>
      <c r="P94" s="10">
        <v>118707400</v>
      </c>
      <c r="Q94" s="6"/>
      <c r="R94" s="9">
        <v>44652.457638888904</v>
      </c>
      <c r="S94" s="10">
        <v>2679.2046999999998</v>
      </c>
      <c r="T94" s="10">
        <v>34465200</v>
      </c>
      <c r="V94" s="9">
        <v>44652.457638888904</v>
      </c>
      <c r="W94" s="10">
        <v>1091.2594999999999</v>
      </c>
      <c r="X94" s="10">
        <v>1727800</v>
      </c>
      <c r="AC94" s="9"/>
      <c r="AD94" s="10"/>
    </row>
    <row r="95" spans="1:30" x14ac:dyDescent="0.3">
      <c r="A95" s="8" t="str">
        <f t="shared" si="1"/>
        <v>11:00</v>
      </c>
      <c r="B95" s="9">
        <v>44652.458333333299</v>
      </c>
      <c r="C95" s="10">
        <v>3280.0839999999998</v>
      </c>
      <c r="D95" s="10">
        <v>87561100</v>
      </c>
      <c r="E95" s="6"/>
      <c r="N95" s="9">
        <v>44652.458333333299</v>
      </c>
      <c r="O95" s="10">
        <v>12251.795700000001</v>
      </c>
      <c r="P95" s="10">
        <v>127413600</v>
      </c>
      <c r="Q95" s="6"/>
      <c r="R95" s="9">
        <v>44652.458333333299</v>
      </c>
      <c r="S95" s="10">
        <v>2681.2109999999998</v>
      </c>
      <c r="T95" s="10">
        <v>33442100</v>
      </c>
      <c r="V95" s="9">
        <v>44652.458333333299</v>
      </c>
      <c r="W95" s="10">
        <v>1091.2447999999999</v>
      </c>
      <c r="X95" s="10">
        <v>2049800</v>
      </c>
      <c r="AC95" s="9"/>
      <c r="AD95" s="10"/>
    </row>
    <row r="96" spans="1:30" x14ac:dyDescent="0.3">
      <c r="A96" s="8" t="str">
        <f t="shared" si="1"/>
        <v>11:01</v>
      </c>
      <c r="B96" s="9">
        <v>44652.459027777797</v>
      </c>
      <c r="C96" s="10">
        <v>3278.8431</v>
      </c>
      <c r="D96" s="10">
        <v>115482400</v>
      </c>
      <c r="E96" s="6"/>
      <c r="N96" s="9">
        <v>44652.459027777797</v>
      </c>
      <c r="O96" s="10">
        <v>12250.653899999999</v>
      </c>
      <c r="P96" s="10">
        <v>135468000</v>
      </c>
      <c r="Q96" s="6"/>
      <c r="R96" s="9">
        <v>44652.459027777797</v>
      </c>
      <c r="S96" s="10">
        <v>2681.6093999999998</v>
      </c>
      <c r="T96" s="10">
        <v>35608500</v>
      </c>
      <c r="V96" s="9">
        <v>44652.459027777797</v>
      </c>
      <c r="W96" s="10">
        <v>1091.8363999999999</v>
      </c>
      <c r="X96" s="10">
        <v>1970300</v>
      </c>
      <c r="AC96" s="9"/>
      <c r="AD96" s="10"/>
    </row>
    <row r="97" spans="1:30" x14ac:dyDescent="0.3">
      <c r="A97" s="8" t="str">
        <f t="shared" si="1"/>
        <v>11:02</v>
      </c>
      <c r="B97" s="9">
        <v>44652.4597222222</v>
      </c>
      <c r="C97" s="10">
        <v>3277.2089000000001</v>
      </c>
      <c r="D97" s="10">
        <v>93748400</v>
      </c>
      <c r="E97" s="6"/>
      <c r="N97" s="9">
        <v>44652.4597222222</v>
      </c>
      <c r="O97" s="10">
        <v>12240.606599999999</v>
      </c>
      <c r="P97" s="10">
        <v>163803700</v>
      </c>
      <c r="Q97" s="6"/>
      <c r="R97" s="9">
        <v>44652.4597222222</v>
      </c>
      <c r="S97" s="10">
        <v>2679.4805000000001</v>
      </c>
      <c r="T97" s="10">
        <v>47810400</v>
      </c>
      <c r="V97" s="9">
        <v>44652.4597222222</v>
      </c>
      <c r="W97" s="10">
        <v>1091.2589</v>
      </c>
      <c r="X97" s="10">
        <v>1720700</v>
      </c>
      <c r="AC97" s="9"/>
      <c r="AD97" s="10"/>
    </row>
    <row r="98" spans="1:30" x14ac:dyDescent="0.3">
      <c r="A98" s="8" t="str">
        <f t="shared" si="1"/>
        <v>11:03</v>
      </c>
      <c r="B98" s="9">
        <v>44652.460416666698</v>
      </c>
      <c r="C98" s="10">
        <v>3276.1976</v>
      </c>
      <c r="D98" s="10">
        <v>111862300</v>
      </c>
      <c r="E98" s="6"/>
      <c r="N98" s="9">
        <v>44652.460416666698</v>
      </c>
      <c r="O98" s="10">
        <v>12239.870800000001</v>
      </c>
      <c r="P98" s="10">
        <v>174224800</v>
      </c>
      <c r="Q98" s="6"/>
      <c r="R98" s="9">
        <v>44652.460416666698</v>
      </c>
      <c r="S98" s="10">
        <v>2680.2100999999998</v>
      </c>
      <c r="T98" s="10">
        <v>58788500</v>
      </c>
      <c r="V98" s="9">
        <v>44652.460416666698</v>
      </c>
      <c r="W98" s="10">
        <v>1090.7421999999999</v>
      </c>
      <c r="X98" s="10">
        <v>1975600</v>
      </c>
      <c r="AC98" s="9"/>
      <c r="AD98" s="10"/>
    </row>
    <row r="99" spans="1:30" x14ac:dyDescent="0.3">
      <c r="A99" s="8" t="str">
        <f t="shared" si="1"/>
        <v>11:04</v>
      </c>
      <c r="B99" s="9">
        <v>44652.461111111101</v>
      </c>
      <c r="C99" s="10">
        <v>3275.1309999999999</v>
      </c>
      <c r="D99" s="10">
        <v>103851700</v>
      </c>
      <c r="E99" s="6"/>
      <c r="N99" s="9">
        <v>44652.461111111101</v>
      </c>
      <c r="O99" s="10">
        <v>12238.761</v>
      </c>
      <c r="P99" s="10">
        <v>162152500</v>
      </c>
      <c r="Q99" s="6"/>
      <c r="R99" s="9">
        <v>44652.461111111101</v>
      </c>
      <c r="S99" s="10">
        <v>2681.2860000000001</v>
      </c>
      <c r="T99" s="10">
        <v>46817600</v>
      </c>
      <c r="V99" s="9">
        <v>44652.461111111101</v>
      </c>
      <c r="W99" s="10">
        <v>1090.8411000000001</v>
      </c>
      <c r="X99" s="10">
        <v>2011400</v>
      </c>
      <c r="AC99" s="9"/>
      <c r="AD99" s="10"/>
    </row>
    <row r="100" spans="1:30" x14ac:dyDescent="0.3">
      <c r="A100" s="8" t="str">
        <f t="shared" si="1"/>
        <v>11:05</v>
      </c>
      <c r="B100" s="9">
        <v>44652.461805555598</v>
      </c>
      <c r="C100" s="10">
        <v>3276.3409999999999</v>
      </c>
      <c r="D100" s="10">
        <v>113376500</v>
      </c>
      <c r="E100" s="6"/>
      <c r="N100" s="9">
        <v>44652.461805555598</v>
      </c>
      <c r="O100" s="10">
        <v>12246.1353</v>
      </c>
      <c r="P100" s="10">
        <v>147328600</v>
      </c>
      <c r="Q100" s="6"/>
      <c r="R100" s="9">
        <v>44652.461805555598</v>
      </c>
      <c r="S100" s="10">
        <v>2683.6595000000002</v>
      </c>
      <c r="T100" s="10">
        <v>39464000</v>
      </c>
      <c r="V100" s="9">
        <v>44652.461805555598</v>
      </c>
      <c r="W100" s="10">
        <v>1091.1020000000001</v>
      </c>
      <c r="X100" s="10">
        <v>1573200</v>
      </c>
      <c r="AC100" s="9"/>
      <c r="AD100" s="10"/>
    </row>
    <row r="101" spans="1:30" x14ac:dyDescent="0.3">
      <c r="A101" s="8" t="str">
        <f t="shared" si="1"/>
        <v>11:06</v>
      </c>
      <c r="B101" s="9">
        <v>44652.462500000001</v>
      </c>
      <c r="C101" s="10">
        <v>3272.3265999999999</v>
      </c>
      <c r="D101" s="10">
        <v>142546100</v>
      </c>
      <c r="E101" s="6"/>
      <c r="N101" s="9">
        <v>44652.462500000001</v>
      </c>
      <c r="O101" s="10">
        <v>12228.2929</v>
      </c>
      <c r="P101" s="10">
        <v>205210900</v>
      </c>
      <c r="Q101" s="6"/>
      <c r="R101" s="9">
        <v>44652.462500000001</v>
      </c>
      <c r="S101" s="10">
        <v>2679.0275999999999</v>
      </c>
      <c r="T101" s="10">
        <v>57864800</v>
      </c>
      <c r="V101" s="9">
        <v>44652.462500000001</v>
      </c>
      <c r="W101" s="10">
        <v>1089.3811000000001</v>
      </c>
      <c r="X101" s="10">
        <v>2819900</v>
      </c>
      <c r="AC101" s="9"/>
      <c r="AD101" s="10"/>
    </row>
    <row r="102" spans="1:30" x14ac:dyDescent="0.3">
      <c r="A102" s="8" t="str">
        <f t="shared" si="1"/>
        <v>11:07</v>
      </c>
      <c r="B102" s="9">
        <v>44652.463194444397</v>
      </c>
      <c r="C102" s="10">
        <v>3272.2022000000002</v>
      </c>
      <c r="D102" s="10">
        <v>114009800</v>
      </c>
      <c r="E102" s="6"/>
      <c r="N102" s="9">
        <v>44652.463194444397</v>
      </c>
      <c r="O102" s="10">
        <v>12227.7574</v>
      </c>
      <c r="P102" s="10">
        <v>162128400</v>
      </c>
      <c r="Q102" s="6"/>
      <c r="R102" s="9">
        <v>44652.463194444397</v>
      </c>
      <c r="S102" s="10">
        <v>2678.9288999999999</v>
      </c>
      <c r="T102" s="10">
        <v>42879200</v>
      </c>
      <c r="V102" s="9">
        <v>44652.463194444397</v>
      </c>
      <c r="W102" s="10">
        <v>1089.6283000000001</v>
      </c>
      <c r="X102" s="10">
        <v>1875700</v>
      </c>
      <c r="AC102" s="9"/>
      <c r="AD102" s="10"/>
    </row>
    <row r="103" spans="1:30" x14ac:dyDescent="0.3">
      <c r="A103" s="8" t="str">
        <f t="shared" si="1"/>
        <v>11:08</v>
      </c>
      <c r="B103" s="9">
        <v>44652.463888888902</v>
      </c>
      <c r="C103" s="10">
        <v>3272.7267999999999</v>
      </c>
      <c r="D103" s="10">
        <v>101037900</v>
      </c>
      <c r="E103" s="6"/>
      <c r="N103" s="9">
        <v>44652.463888888902</v>
      </c>
      <c r="O103" s="10">
        <v>12230.4383</v>
      </c>
      <c r="P103" s="10">
        <v>133353200</v>
      </c>
      <c r="Q103" s="6"/>
      <c r="R103" s="9">
        <v>44652.463888888902</v>
      </c>
      <c r="S103" s="10">
        <v>2679.8420000000001</v>
      </c>
      <c r="T103" s="10">
        <v>34550700</v>
      </c>
      <c r="V103" s="9">
        <v>44652.463888888902</v>
      </c>
      <c r="W103" s="10">
        <v>1089.6413</v>
      </c>
      <c r="X103" s="10">
        <v>1938700</v>
      </c>
      <c r="AC103" s="9"/>
      <c r="AD103" s="10"/>
    </row>
    <row r="104" spans="1:30" x14ac:dyDescent="0.3">
      <c r="A104" s="8" t="str">
        <f t="shared" si="1"/>
        <v>11:09</v>
      </c>
      <c r="B104" s="9">
        <v>44652.464583333298</v>
      </c>
      <c r="C104" s="10">
        <v>3273.4263000000001</v>
      </c>
      <c r="D104" s="10">
        <v>90945000</v>
      </c>
      <c r="E104" s="6"/>
      <c r="N104" s="9">
        <v>44652.464583333298</v>
      </c>
      <c r="O104" s="10">
        <v>12236.470799999999</v>
      </c>
      <c r="P104" s="10">
        <v>121442600</v>
      </c>
      <c r="Q104" s="6"/>
      <c r="R104" s="9">
        <v>44652.464583333298</v>
      </c>
      <c r="S104" s="10">
        <v>2680.7784999999999</v>
      </c>
      <c r="T104" s="10">
        <v>30885900</v>
      </c>
      <c r="V104" s="9">
        <v>44652.464583333298</v>
      </c>
      <c r="W104" s="10">
        <v>1089.7525000000001</v>
      </c>
      <c r="X104" s="10">
        <v>1742700</v>
      </c>
      <c r="AC104" s="9"/>
      <c r="AD104" s="10"/>
    </row>
    <row r="105" spans="1:30" x14ac:dyDescent="0.3">
      <c r="A105" s="8" t="str">
        <f t="shared" si="1"/>
        <v>11:10</v>
      </c>
      <c r="B105" s="9">
        <v>44652.465277777803</v>
      </c>
      <c r="C105" s="10">
        <v>3271.8701999999998</v>
      </c>
      <c r="D105" s="10">
        <v>115001300</v>
      </c>
      <c r="E105" s="6"/>
      <c r="N105" s="9">
        <v>44652.465277777803</v>
      </c>
      <c r="O105" s="10">
        <v>12226.814700000001</v>
      </c>
      <c r="P105" s="10">
        <v>138698800</v>
      </c>
      <c r="Q105" s="6"/>
      <c r="R105" s="9">
        <v>44652.465277777803</v>
      </c>
      <c r="S105" s="10">
        <v>2677.0621999999998</v>
      </c>
      <c r="T105" s="10">
        <v>41991400</v>
      </c>
      <c r="V105" s="9">
        <v>44652.465277777803</v>
      </c>
      <c r="W105" s="10">
        <v>1088.9285</v>
      </c>
      <c r="X105" s="10">
        <v>2535700</v>
      </c>
      <c r="AC105" s="9"/>
      <c r="AD105" s="10"/>
    </row>
    <row r="106" spans="1:30" x14ac:dyDescent="0.3">
      <c r="A106" s="8" t="str">
        <f t="shared" si="1"/>
        <v>11:11</v>
      </c>
      <c r="B106" s="9">
        <v>44652.465972222199</v>
      </c>
      <c r="C106" s="10">
        <v>3273.6120000000001</v>
      </c>
      <c r="D106" s="10">
        <v>82165500</v>
      </c>
      <c r="E106" s="6"/>
      <c r="N106" s="9">
        <v>44652.465972222199</v>
      </c>
      <c r="O106" s="10">
        <v>12236.003699999999</v>
      </c>
      <c r="P106" s="10">
        <v>123372800</v>
      </c>
      <c r="Q106" s="6"/>
      <c r="R106" s="9">
        <v>44652.465972222199</v>
      </c>
      <c r="S106" s="10">
        <v>2680.0945000000002</v>
      </c>
      <c r="T106" s="10">
        <v>34156600</v>
      </c>
      <c r="V106" s="9">
        <v>44652.465972222199</v>
      </c>
      <c r="W106" s="10">
        <v>1089.7639999999999</v>
      </c>
      <c r="X106" s="10">
        <v>2063100</v>
      </c>
      <c r="AC106" s="9"/>
      <c r="AD106" s="10"/>
    </row>
    <row r="107" spans="1:30" x14ac:dyDescent="0.3">
      <c r="A107" s="8" t="str">
        <f t="shared" si="1"/>
        <v>11:12</v>
      </c>
      <c r="B107" s="9">
        <v>44652.466666666704</v>
      </c>
      <c r="C107" s="10">
        <v>3273.7330999999999</v>
      </c>
      <c r="D107" s="10">
        <v>86954700</v>
      </c>
      <c r="E107" s="6"/>
      <c r="N107" s="9">
        <v>44652.466666666704</v>
      </c>
      <c r="O107" s="10">
        <v>12235.5762</v>
      </c>
      <c r="P107" s="10">
        <v>140616900</v>
      </c>
      <c r="Q107" s="6"/>
      <c r="R107" s="9">
        <v>44652.466666666704</v>
      </c>
      <c r="S107" s="10">
        <v>2679.3116</v>
      </c>
      <c r="T107" s="10">
        <v>37487800</v>
      </c>
      <c r="V107" s="9">
        <v>44652.466666666704</v>
      </c>
      <c r="W107" s="10">
        <v>1088.9055000000001</v>
      </c>
      <c r="X107" s="10">
        <v>2136600</v>
      </c>
      <c r="AC107" s="9"/>
      <c r="AD107" s="10"/>
    </row>
    <row r="108" spans="1:30" x14ac:dyDescent="0.3">
      <c r="A108" s="8" t="str">
        <f t="shared" si="1"/>
        <v>11:13</v>
      </c>
      <c r="B108" s="9">
        <v>44652.467361111099</v>
      </c>
      <c r="C108" s="10">
        <v>3273.8182999999999</v>
      </c>
      <c r="D108" s="10">
        <v>92048600</v>
      </c>
      <c r="E108" s="6"/>
      <c r="N108" s="9">
        <v>44652.467361111099</v>
      </c>
      <c r="O108" s="10">
        <v>12241.1121</v>
      </c>
      <c r="P108" s="10">
        <v>121825300</v>
      </c>
      <c r="Q108" s="6"/>
      <c r="R108" s="9">
        <v>44652.467361111099</v>
      </c>
      <c r="S108" s="10">
        <v>2680.2303999999999</v>
      </c>
      <c r="T108" s="10">
        <v>35703600</v>
      </c>
      <c r="V108" s="9">
        <v>44652.467361111099</v>
      </c>
      <c r="W108" s="10">
        <v>1088.7853</v>
      </c>
      <c r="X108" s="10">
        <v>1885800</v>
      </c>
      <c r="AC108" s="9"/>
      <c r="AD108" s="10"/>
    </row>
    <row r="109" spans="1:30" x14ac:dyDescent="0.3">
      <c r="A109" s="8" t="str">
        <f t="shared" si="1"/>
        <v>11:14</v>
      </c>
      <c r="B109" s="9">
        <v>44652.468055555597</v>
      </c>
      <c r="C109" s="10">
        <v>3276.6851999999999</v>
      </c>
      <c r="D109" s="10">
        <v>94062900</v>
      </c>
      <c r="E109" s="6"/>
      <c r="N109" s="9">
        <v>44652.468055555597</v>
      </c>
      <c r="O109" s="10">
        <v>12251.1754</v>
      </c>
      <c r="P109" s="10">
        <v>116979600</v>
      </c>
      <c r="Q109" s="6"/>
      <c r="R109" s="9">
        <v>44652.468055555597</v>
      </c>
      <c r="S109" s="10">
        <v>2682.1545000000001</v>
      </c>
      <c r="T109" s="10">
        <v>33461200</v>
      </c>
      <c r="V109" s="9">
        <v>44652.468055555597</v>
      </c>
      <c r="W109" s="10">
        <v>1088.1101000000001</v>
      </c>
      <c r="X109" s="10">
        <v>2051800</v>
      </c>
      <c r="AC109" s="9"/>
      <c r="AD109" s="10"/>
    </row>
    <row r="110" spans="1:30" x14ac:dyDescent="0.3">
      <c r="A110" s="8" t="str">
        <f t="shared" si="1"/>
        <v>11:15</v>
      </c>
      <c r="B110" s="9">
        <v>44652.46875</v>
      </c>
      <c r="C110" s="10">
        <v>3275.7673</v>
      </c>
      <c r="D110" s="10">
        <v>101309500</v>
      </c>
      <c r="E110" s="6"/>
      <c r="N110" s="9">
        <v>44652.46875</v>
      </c>
      <c r="O110" s="10">
        <v>12247.015600000001</v>
      </c>
      <c r="P110" s="10">
        <v>114957200</v>
      </c>
      <c r="Q110" s="6"/>
      <c r="R110" s="9">
        <v>44652.46875</v>
      </c>
      <c r="S110" s="10">
        <v>2681.3926999999999</v>
      </c>
      <c r="T110" s="10">
        <v>32994400</v>
      </c>
      <c r="V110" s="9">
        <v>44652.46875</v>
      </c>
      <c r="W110" s="10">
        <v>1087.8016</v>
      </c>
      <c r="X110" s="10">
        <v>1884800</v>
      </c>
      <c r="AC110" s="9"/>
      <c r="AD110" s="10"/>
    </row>
    <row r="111" spans="1:30" x14ac:dyDescent="0.3">
      <c r="A111" s="8" t="str">
        <f t="shared" si="1"/>
        <v>11:16</v>
      </c>
      <c r="B111" s="9">
        <v>44652.469444444403</v>
      </c>
      <c r="C111" s="10">
        <v>3277.3544999999999</v>
      </c>
      <c r="D111" s="10">
        <v>92527700</v>
      </c>
      <c r="E111" s="6"/>
      <c r="N111" s="9">
        <v>44652.469444444403</v>
      </c>
      <c r="O111" s="10">
        <v>12255.0782</v>
      </c>
      <c r="P111" s="10">
        <v>101711300</v>
      </c>
      <c r="Q111" s="6"/>
      <c r="R111" s="9">
        <v>44652.469444444403</v>
      </c>
      <c r="S111" s="10">
        <v>2684.0333000000001</v>
      </c>
      <c r="T111" s="10">
        <v>29419800</v>
      </c>
      <c r="V111" s="9">
        <v>44652.469444444403</v>
      </c>
      <c r="W111" s="10">
        <v>1088.4938999999999</v>
      </c>
      <c r="X111" s="10">
        <v>1791000</v>
      </c>
      <c r="AC111" s="9"/>
      <c r="AD111" s="10"/>
    </row>
    <row r="112" spans="1:30" x14ac:dyDescent="0.3">
      <c r="A112" s="8" t="str">
        <f t="shared" si="1"/>
        <v>11:17</v>
      </c>
      <c r="B112" s="9">
        <v>44652.470138888901</v>
      </c>
      <c r="C112" s="10">
        <v>3278.1062999999999</v>
      </c>
      <c r="D112" s="10">
        <v>92652400</v>
      </c>
      <c r="E112" s="6"/>
      <c r="N112" s="9">
        <v>44652.470138888901</v>
      </c>
      <c r="O112" s="10">
        <v>12256.6924</v>
      </c>
      <c r="P112" s="10">
        <v>123847000</v>
      </c>
      <c r="Q112" s="6"/>
      <c r="R112" s="9">
        <v>44652.470138888901</v>
      </c>
      <c r="S112" s="10">
        <v>2685.1284000000001</v>
      </c>
      <c r="T112" s="10">
        <v>39202000</v>
      </c>
      <c r="V112" s="9">
        <v>44652.470138888901</v>
      </c>
      <c r="W112" s="10">
        <v>1088.6005</v>
      </c>
      <c r="X112" s="10">
        <v>2475000</v>
      </c>
      <c r="AC112" s="9"/>
      <c r="AD112" s="10"/>
    </row>
    <row r="113" spans="1:30" x14ac:dyDescent="0.3">
      <c r="A113" s="8" t="str">
        <f t="shared" si="1"/>
        <v>11:18</v>
      </c>
      <c r="B113" s="9">
        <v>44652.470833333296</v>
      </c>
      <c r="C113" s="10">
        <v>3279.3910999999998</v>
      </c>
      <c r="D113" s="10">
        <v>87774800</v>
      </c>
      <c r="E113" s="6"/>
      <c r="N113" s="9">
        <v>44652.470833333296</v>
      </c>
      <c r="O113" s="10">
        <v>12262.087100000001</v>
      </c>
      <c r="P113" s="10">
        <v>136973500</v>
      </c>
      <c r="Q113" s="6"/>
      <c r="R113" s="9">
        <v>44652.470833333296</v>
      </c>
      <c r="S113" s="10">
        <v>2685.7226000000001</v>
      </c>
      <c r="T113" s="10">
        <v>41771600</v>
      </c>
      <c r="V113" s="9">
        <v>44652.470833333296</v>
      </c>
      <c r="W113" s="10">
        <v>1089.2470000000001</v>
      </c>
      <c r="X113" s="10">
        <v>1949800</v>
      </c>
      <c r="AC113" s="9"/>
      <c r="AD113" s="10"/>
    </row>
    <row r="114" spans="1:30" x14ac:dyDescent="0.3">
      <c r="A114" s="8" t="str">
        <f t="shared" si="1"/>
        <v>11:19</v>
      </c>
      <c r="B114" s="9">
        <v>44652.471527777801</v>
      </c>
      <c r="C114" s="10">
        <v>3278.6543000000001</v>
      </c>
      <c r="D114" s="10">
        <v>80544900</v>
      </c>
      <c r="E114" s="6"/>
      <c r="N114" s="9">
        <v>44652.471527777801</v>
      </c>
      <c r="O114" s="10">
        <v>12257.334800000001</v>
      </c>
      <c r="P114" s="10">
        <v>112044700</v>
      </c>
      <c r="Q114" s="6"/>
      <c r="R114" s="9">
        <v>44652.471527777801</v>
      </c>
      <c r="S114" s="10">
        <v>2684.2413999999999</v>
      </c>
      <c r="T114" s="10">
        <v>39581800</v>
      </c>
      <c r="V114" s="9">
        <v>44652.471527777801</v>
      </c>
      <c r="W114" s="10">
        <v>1088.615</v>
      </c>
      <c r="X114" s="10">
        <v>2135100</v>
      </c>
      <c r="AC114" s="9"/>
      <c r="AD114" s="10"/>
    </row>
    <row r="115" spans="1:30" x14ac:dyDescent="0.3">
      <c r="A115" s="8" t="str">
        <f t="shared" si="1"/>
        <v>11:20</v>
      </c>
      <c r="B115" s="9">
        <v>44652.472222222197</v>
      </c>
      <c r="C115" s="10">
        <v>3276.5354000000002</v>
      </c>
      <c r="D115" s="10">
        <v>88067700</v>
      </c>
      <c r="E115" s="6"/>
      <c r="N115" s="9">
        <v>44652.472222222197</v>
      </c>
      <c r="O115" s="10">
        <v>12248.918100000001</v>
      </c>
      <c r="P115" s="10">
        <v>126935800</v>
      </c>
      <c r="Q115" s="6"/>
      <c r="R115" s="9">
        <v>44652.472222222197</v>
      </c>
      <c r="S115" s="10">
        <v>2681.4072999999999</v>
      </c>
      <c r="T115" s="10">
        <v>42434900</v>
      </c>
      <c r="V115" s="9">
        <v>44652.472222222197</v>
      </c>
      <c r="W115" s="10">
        <v>1088.2665</v>
      </c>
      <c r="X115" s="10">
        <v>1998200</v>
      </c>
      <c r="AC115" s="9"/>
      <c r="AD115" s="10"/>
    </row>
    <row r="116" spans="1:30" x14ac:dyDescent="0.3">
      <c r="A116" s="8" t="str">
        <f t="shared" si="1"/>
        <v>11:21</v>
      </c>
      <c r="B116" s="9">
        <v>44652.472916666702</v>
      </c>
      <c r="C116" s="10">
        <v>3276.64</v>
      </c>
      <c r="D116" s="10">
        <v>71739800</v>
      </c>
      <c r="E116" s="6"/>
      <c r="N116" s="9">
        <v>44652.472916666702</v>
      </c>
      <c r="O116" s="10">
        <v>12249.935299999999</v>
      </c>
      <c r="P116" s="10">
        <v>112628800</v>
      </c>
      <c r="Q116" s="6"/>
      <c r="R116" s="9">
        <v>44652.472916666702</v>
      </c>
      <c r="S116" s="10">
        <v>2682.5632000000001</v>
      </c>
      <c r="T116" s="10">
        <v>33942100</v>
      </c>
      <c r="V116" s="9">
        <v>44652.472916666702</v>
      </c>
      <c r="W116" s="10">
        <v>1088.2447999999999</v>
      </c>
      <c r="X116" s="10">
        <v>1460100</v>
      </c>
      <c r="AC116" s="9"/>
      <c r="AD116" s="10"/>
    </row>
    <row r="117" spans="1:30" x14ac:dyDescent="0.3">
      <c r="A117" s="8" t="str">
        <f t="shared" si="1"/>
        <v>11:22</v>
      </c>
      <c r="B117" s="9">
        <v>44652.473611111098</v>
      </c>
      <c r="C117" s="10">
        <v>3275.2388999999998</v>
      </c>
      <c r="D117" s="10">
        <v>100341200</v>
      </c>
      <c r="E117" s="6"/>
      <c r="N117" s="9">
        <v>44652.473611111098</v>
      </c>
      <c r="O117" s="10">
        <v>12246.663200000001</v>
      </c>
      <c r="P117" s="10">
        <v>106501400</v>
      </c>
      <c r="Q117" s="6"/>
      <c r="R117" s="9">
        <v>44652.473611111098</v>
      </c>
      <c r="S117" s="10">
        <v>2682.3951000000002</v>
      </c>
      <c r="T117" s="10">
        <v>32664800</v>
      </c>
      <c r="V117" s="9">
        <v>44652.473611111098</v>
      </c>
      <c r="W117" s="10">
        <v>1087.7715000000001</v>
      </c>
      <c r="X117" s="10">
        <v>1720200</v>
      </c>
      <c r="AC117" s="9"/>
      <c r="AD117" s="10"/>
    </row>
    <row r="118" spans="1:30" x14ac:dyDescent="0.3">
      <c r="A118" s="8" t="str">
        <f t="shared" si="1"/>
        <v>11:23</v>
      </c>
      <c r="B118" s="9">
        <v>44652.474305555603</v>
      </c>
      <c r="C118" s="10">
        <v>3274.5965999999999</v>
      </c>
      <c r="D118" s="10">
        <v>82132400</v>
      </c>
      <c r="E118" s="6"/>
      <c r="N118" s="9">
        <v>44652.474305555603</v>
      </c>
      <c r="O118" s="10">
        <v>12244.0777</v>
      </c>
      <c r="P118" s="10">
        <v>102368800</v>
      </c>
      <c r="Q118" s="6"/>
      <c r="R118" s="9">
        <v>44652.474305555603</v>
      </c>
      <c r="S118" s="10">
        <v>2681.7190000000001</v>
      </c>
      <c r="T118" s="10">
        <v>35122600</v>
      </c>
      <c r="V118" s="9">
        <v>44652.474305555603</v>
      </c>
      <c r="W118" s="10">
        <v>1087.6717000000001</v>
      </c>
      <c r="X118" s="10">
        <v>1595600</v>
      </c>
      <c r="AC118" s="9"/>
      <c r="AD118" s="10"/>
    </row>
    <row r="119" spans="1:30" x14ac:dyDescent="0.3">
      <c r="A119" s="8" t="str">
        <f t="shared" si="1"/>
        <v>11:24</v>
      </c>
      <c r="B119" s="9">
        <v>44652.474999999999</v>
      </c>
      <c r="C119" s="10">
        <v>3275.8272000000002</v>
      </c>
      <c r="D119" s="10">
        <v>73329200</v>
      </c>
      <c r="E119" s="6"/>
      <c r="N119" s="9">
        <v>44652.474999999999</v>
      </c>
      <c r="O119" s="10">
        <v>12242.858399999999</v>
      </c>
      <c r="P119" s="10">
        <v>117709800</v>
      </c>
      <c r="Q119" s="6"/>
      <c r="R119" s="9">
        <v>44652.474999999999</v>
      </c>
      <c r="S119" s="10">
        <v>2680.8171000000002</v>
      </c>
      <c r="T119" s="10">
        <v>35567400</v>
      </c>
      <c r="V119" s="9">
        <v>44652.474999999999</v>
      </c>
      <c r="W119" s="10">
        <v>1087.6409000000001</v>
      </c>
      <c r="X119" s="10">
        <v>1852500</v>
      </c>
      <c r="AC119" s="9"/>
      <c r="AD119" s="10"/>
    </row>
    <row r="120" spans="1:30" x14ac:dyDescent="0.3">
      <c r="A120" s="8" t="str">
        <f t="shared" si="1"/>
        <v>11:25</v>
      </c>
      <c r="B120" s="9">
        <v>44652.475694444402</v>
      </c>
      <c r="C120" s="10">
        <v>3275.3117000000002</v>
      </c>
      <c r="D120" s="10">
        <v>81316300</v>
      </c>
      <c r="E120" s="6"/>
      <c r="N120" s="9">
        <v>44652.475694444402</v>
      </c>
      <c r="O120" s="10">
        <v>12245.0928</v>
      </c>
      <c r="P120" s="10">
        <v>102861700</v>
      </c>
      <c r="Q120" s="6"/>
      <c r="R120" s="9">
        <v>44652.475694444402</v>
      </c>
      <c r="S120" s="10">
        <v>2681.7597000000001</v>
      </c>
      <c r="T120" s="10">
        <v>32727800</v>
      </c>
      <c r="V120" s="9">
        <v>44652.475694444402</v>
      </c>
      <c r="W120" s="10">
        <v>1087.8126999999999</v>
      </c>
      <c r="X120" s="10">
        <v>1690100</v>
      </c>
      <c r="AC120" s="9"/>
      <c r="AD120" s="10"/>
    </row>
    <row r="121" spans="1:30" x14ac:dyDescent="0.3">
      <c r="A121" s="8" t="str">
        <f t="shared" si="1"/>
        <v>11:26</v>
      </c>
      <c r="B121" s="9">
        <v>44652.476388888899</v>
      </c>
      <c r="C121" s="10">
        <v>3275.5173</v>
      </c>
      <c r="D121" s="10">
        <v>85174000</v>
      </c>
      <c r="E121" s="6"/>
      <c r="N121" s="9">
        <v>44652.476388888899</v>
      </c>
      <c r="O121" s="10">
        <v>12246.6314</v>
      </c>
      <c r="P121" s="10">
        <v>100034300</v>
      </c>
      <c r="Q121" s="6"/>
      <c r="R121" s="9">
        <v>44652.476388888899</v>
      </c>
      <c r="S121" s="10">
        <v>2681.3782999999999</v>
      </c>
      <c r="T121" s="10">
        <v>32534900</v>
      </c>
      <c r="V121" s="9">
        <v>44652.476388888899</v>
      </c>
      <c r="W121" s="10">
        <v>1087.8563999999999</v>
      </c>
      <c r="X121" s="10">
        <v>1742200</v>
      </c>
      <c r="AC121" s="9"/>
      <c r="AD121" s="10"/>
    </row>
    <row r="122" spans="1:30" x14ac:dyDescent="0.3">
      <c r="A122" s="8" t="str">
        <f t="shared" si="1"/>
        <v>11:27</v>
      </c>
      <c r="B122" s="9">
        <v>44652.477083333302</v>
      </c>
      <c r="C122" s="10">
        <v>3275.8679999999999</v>
      </c>
      <c r="D122" s="10">
        <v>85100000</v>
      </c>
      <c r="E122" s="6"/>
      <c r="N122" s="9">
        <v>44652.477083333302</v>
      </c>
      <c r="O122" s="10">
        <v>12250.5568</v>
      </c>
      <c r="P122" s="10">
        <v>116409100</v>
      </c>
      <c r="Q122" s="6"/>
      <c r="R122" s="9">
        <v>44652.477083333302</v>
      </c>
      <c r="S122" s="10">
        <v>2681.0778</v>
      </c>
      <c r="T122" s="10">
        <v>34846700</v>
      </c>
      <c r="V122" s="9">
        <v>44652.477083333302</v>
      </c>
      <c r="W122" s="10">
        <v>1087.9849999999999</v>
      </c>
      <c r="X122" s="10">
        <v>1440500</v>
      </c>
      <c r="AC122" s="9"/>
      <c r="AD122" s="10"/>
    </row>
    <row r="123" spans="1:30" x14ac:dyDescent="0.3">
      <c r="A123" s="8" t="str">
        <f t="shared" si="1"/>
        <v>11:28</v>
      </c>
      <c r="B123" s="9">
        <v>44652.4777777778</v>
      </c>
      <c r="C123" s="10">
        <v>3274.3245999999999</v>
      </c>
      <c r="D123" s="10">
        <v>102066300</v>
      </c>
      <c r="E123" s="6"/>
      <c r="N123" s="9">
        <v>44652.4777777778</v>
      </c>
      <c r="O123" s="10">
        <v>12236.4802</v>
      </c>
      <c r="P123" s="10">
        <v>126519500</v>
      </c>
      <c r="Q123" s="6"/>
      <c r="R123" s="9">
        <v>44652.4777777778</v>
      </c>
      <c r="S123" s="10">
        <v>2677.0810999999999</v>
      </c>
      <c r="T123" s="10">
        <v>37178500</v>
      </c>
      <c r="V123" s="9">
        <v>44652.4777777778</v>
      </c>
      <c r="W123" s="10">
        <v>1087.117</v>
      </c>
      <c r="X123" s="10">
        <v>1622900</v>
      </c>
      <c r="AC123" s="9"/>
      <c r="AD123" s="10"/>
    </row>
    <row r="124" spans="1:30" x14ac:dyDescent="0.3">
      <c r="A124" s="8" t="str">
        <f t="shared" si="1"/>
        <v>11:29</v>
      </c>
      <c r="B124" s="9">
        <v>44652.478472222203</v>
      </c>
      <c r="C124" s="10">
        <v>3272.2105999999999</v>
      </c>
      <c r="D124" s="10">
        <v>119030600</v>
      </c>
      <c r="E124" s="6"/>
      <c r="N124" s="9">
        <v>44652.478472222203</v>
      </c>
      <c r="O124" s="10">
        <v>12225.750099999999</v>
      </c>
      <c r="P124" s="10">
        <v>136812800</v>
      </c>
      <c r="Q124" s="6"/>
      <c r="R124" s="9">
        <v>44652.478472222203</v>
      </c>
      <c r="S124" s="10">
        <v>2675.1064000000001</v>
      </c>
      <c r="T124" s="10">
        <v>42349100</v>
      </c>
      <c r="V124" s="9">
        <v>44652.478472222203</v>
      </c>
      <c r="W124" s="10">
        <v>1086.0338999999999</v>
      </c>
      <c r="X124" s="10">
        <v>2740500</v>
      </c>
      <c r="AC124" s="9"/>
      <c r="AD124" s="10"/>
    </row>
    <row r="125" spans="1:30" x14ac:dyDescent="0.3">
      <c r="A125" s="8" t="str">
        <f t="shared" si="1"/>
        <v>11:30</v>
      </c>
      <c r="B125" s="9">
        <v>44652.479166666701</v>
      </c>
      <c r="C125" s="10">
        <v>3272.4002999999998</v>
      </c>
      <c r="D125" s="10">
        <v>1551000</v>
      </c>
      <c r="E125" s="6"/>
      <c r="N125" s="9">
        <v>44652.479166666701</v>
      </c>
      <c r="O125" s="10">
        <v>12225.3737</v>
      </c>
      <c r="P125" s="10">
        <v>5572500</v>
      </c>
      <c r="Q125" s="6"/>
      <c r="R125" s="9">
        <v>44652.479166666701</v>
      </c>
      <c r="S125" s="10">
        <v>2675.15</v>
      </c>
      <c r="T125" s="10">
        <v>2353400</v>
      </c>
      <c r="V125" s="9">
        <v>44652.479166666701</v>
      </c>
      <c r="W125" s="10">
        <v>1085.9862000000001</v>
      </c>
      <c r="X125" s="10">
        <v>26100</v>
      </c>
      <c r="AC125" s="9"/>
      <c r="AD125" s="10"/>
    </row>
    <row r="126" spans="1:30" x14ac:dyDescent="0.3">
      <c r="A126" s="8" t="str">
        <f t="shared" si="1"/>
        <v>13:00</v>
      </c>
      <c r="B126" s="9">
        <v>44652.541666666701</v>
      </c>
      <c r="C126" s="10">
        <v>3271.5834</v>
      </c>
      <c r="D126" s="10">
        <v>291805800</v>
      </c>
      <c r="E126" s="6"/>
      <c r="N126" s="9">
        <v>44652.541666666701</v>
      </c>
      <c r="O126" s="10">
        <v>12222.6571</v>
      </c>
      <c r="P126" s="10">
        <v>343427600</v>
      </c>
      <c r="Q126" s="6"/>
      <c r="R126" s="9">
        <v>44652.541666666701</v>
      </c>
      <c r="S126" s="10">
        <v>2675.0767999999998</v>
      </c>
      <c r="T126" s="10">
        <v>84180500</v>
      </c>
      <c r="V126" s="9">
        <v>44652.541666666701</v>
      </c>
      <c r="W126" s="10">
        <v>1086.779</v>
      </c>
      <c r="X126" s="10">
        <v>4178400</v>
      </c>
      <c r="AC126" s="9"/>
      <c r="AD126" s="10"/>
    </row>
    <row r="127" spans="1:30" x14ac:dyDescent="0.3">
      <c r="A127" s="8" t="str">
        <f t="shared" si="1"/>
        <v>13:01</v>
      </c>
      <c r="B127" s="9">
        <v>44652.542361111096</v>
      </c>
      <c r="C127" s="10">
        <v>3271.5342999999998</v>
      </c>
      <c r="D127" s="10">
        <v>94003200</v>
      </c>
      <c r="E127" s="6"/>
      <c r="N127" s="9">
        <v>44652.542361111096</v>
      </c>
      <c r="O127" s="10">
        <v>12223.476500000001</v>
      </c>
      <c r="P127" s="10">
        <v>117240000</v>
      </c>
      <c r="Q127" s="6"/>
      <c r="R127" s="9">
        <v>44652.542361111096</v>
      </c>
      <c r="S127" s="10">
        <v>2675.3658</v>
      </c>
      <c r="T127" s="10">
        <v>35668700</v>
      </c>
      <c r="V127" s="9">
        <v>44652.542361111096</v>
      </c>
      <c r="W127" s="10">
        <v>1086.3529000000001</v>
      </c>
      <c r="X127" s="10">
        <v>1646500</v>
      </c>
      <c r="AC127" s="9"/>
      <c r="AD127" s="10"/>
    </row>
    <row r="128" spans="1:30" x14ac:dyDescent="0.3">
      <c r="A128" s="8" t="str">
        <f t="shared" si="1"/>
        <v>13:02</v>
      </c>
      <c r="B128" s="9">
        <v>44652.543055555601</v>
      </c>
      <c r="C128" s="10">
        <v>3272.5394999999999</v>
      </c>
      <c r="D128" s="10">
        <v>85220500</v>
      </c>
      <c r="E128" s="6"/>
      <c r="N128" s="9">
        <v>44652.543055555601</v>
      </c>
      <c r="O128" s="10">
        <v>12234.5316</v>
      </c>
      <c r="P128" s="10">
        <v>109682100</v>
      </c>
      <c r="Q128" s="6"/>
      <c r="R128" s="9">
        <v>44652.543055555601</v>
      </c>
      <c r="S128" s="10">
        <v>2678.2266</v>
      </c>
      <c r="T128" s="10">
        <v>29041300</v>
      </c>
      <c r="V128" s="9">
        <v>44652.543055555601</v>
      </c>
      <c r="W128" s="10">
        <v>1087.1524999999999</v>
      </c>
      <c r="X128" s="10">
        <v>1718000</v>
      </c>
      <c r="AC128" s="9"/>
      <c r="AD128" s="10"/>
    </row>
    <row r="129" spans="1:30" x14ac:dyDescent="0.3">
      <c r="A129" s="8" t="str">
        <f t="shared" si="1"/>
        <v>13:03</v>
      </c>
      <c r="B129" s="9">
        <v>44652.543749999997</v>
      </c>
      <c r="C129" s="10">
        <v>3270.8233</v>
      </c>
      <c r="D129" s="10">
        <v>108242400</v>
      </c>
      <c r="E129" s="6"/>
      <c r="N129" s="9">
        <v>44652.543749999997</v>
      </c>
      <c r="O129" s="10">
        <v>12221.472599999999</v>
      </c>
      <c r="P129" s="10">
        <v>102581300</v>
      </c>
      <c r="Q129" s="6"/>
      <c r="R129" s="9">
        <v>44652.543749999997</v>
      </c>
      <c r="S129" s="10">
        <v>2674.2799</v>
      </c>
      <c r="T129" s="10">
        <v>29298800</v>
      </c>
      <c r="V129" s="9">
        <v>44652.543749999997</v>
      </c>
      <c r="W129" s="10">
        <v>1086.4314999999999</v>
      </c>
      <c r="X129" s="10">
        <v>1730000</v>
      </c>
      <c r="AC129" s="9"/>
      <c r="AD129" s="10"/>
    </row>
    <row r="130" spans="1:30" x14ac:dyDescent="0.3">
      <c r="A130" s="8" t="str">
        <f t="shared" si="1"/>
        <v>13:04</v>
      </c>
      <c r="B130" s="9">
        <v>44652.5444444444</v>
      </c>
      <c r="C130" s="10">
        <v>3267.4083999999998</v>
      </c>
      <c r="D130" s="10">
        <v>156722000</v>
      </c>
      <c r="E130" s="6"/>
      <c r="N130" s="9">
        <v>44652.5444444444</v>
      </c>
      <c r="O130" s="10">
        <v>12207.668900000001</v>
      </c>
      <c r="P130" s="10">
        <v>148170200</v>
      </c>
      <c r="Q130" s="6"/>
      <c r="R130" s="9">
        <v>44652.5444444444</v>
      </c>
      <c r="S130" s="10">
        <v>2671.8150000000001</v>
      </c>
      <c r="T130" s="10">
        <v>38661900</v>
      </c>
      <c r="V130" s="9">
        <v>44652.5444444444</v>
      </c>
      <c r="W130" s="10">
        <v>1084.9190000000001</v>
      </c>
      <c r="X130" s="10">
        <v>3250200</v>
      </c>
      <c r="AC130" s="9"/>
      <c r="AD130" s="10"/>
    </row>
    <row r="131" spans="1:30" x14ac:dyDescent="0.3">
      <c r="A131" s="8" t="str">
        <f t="shared" si="1"/>
        <v>13:05</v>
      </c>
      <c r="B131" s="9">
        <v>44652.545138888898</v>
      </c>
      <c r="C131" s="10">
        <v>3268.6486</v>
      </c>
      <c r="D131" s="10">
        <v>119295600</v>
      </c>
      <c r="E131" s="6"/>
      <c r="N131" s="9">
        <v>44652.545138888898</v>
      </c>
      <c r="O131" s="10">
        <v>12215.5695</v>
      </c>
      <c r="P131" s="10">
        <v>133335900</v>
      </c>
      <c r="Q131" s="6"/>
      <c r="R131" s="9">
        <v>44652.545138888898</v>
      </c>
      <c r="S131" s="10">
        <v>2673.5985000000001</v>
      </c>
      <c r="T131" s="10">
        <v>31231700</v>
      </c>
      <c r="V131" s="9">
        <v>44652.545138888898</v>
      </c>
      <c r="W131" s="10">
        <v>1086.2146</v>
      </c>
      <c r="X131" s="10">
        <v>1787100</v>
      </c>
      <c r="AC131" s="9"/>
      <c r="AD131" s="10"/>
    </row>
    <row r="132" spans="1:30" x14ac:dyDescent="0.3">
      <c r="A132" s="8" t="str">
        <f t="shared" si="1"/>
        <v>13:06</v>
      </c>
      <c r="B132" s="9">
        <v>44652.545833333301</v>
      </c>
      <c r="C132" s="10">
        <v>3269.0001999999999</v>
      </c>
      <c r="D132" s="10">
        <v>118485500</v>
      </c>
      <c r="E132" s="6"/>
      <c r="N132" s="9">
        <v>44652.545833333301</v>
      </c>
      <c r="O132" s="10">
        <v>12215.564700000001</v>
      </c>
      <c r="P132" s="10">
        <v>131425200</v>
      </c>
      <c r="Q132" s="6"/>
      <c r="R132" s="9">
        <v>44652.545833333301</v>
      </c>
      <c r="S132" s="10">
        <v>2673.1615000000002</v>
      </c>
      <c r="T132" s="10">
        <v>29551700</v>
      </c>
      <c r="V132" s="9">
        <v>44652.545833333301</v>
      </c>
      <c r="W132" s="10">
        <v>1085.1516999999999</v>
      </c>
      <c r="X132" s="10">
        <v>1663100</v>
      </c>
      <c r="AC132" s="9"/>
      <c r="AD132" s="10"/>
    </row>
    <row r="133" spans="1:30" x14ac:dyDescent="0.3">
      <c r="A133" s="8" t="str">
        <f t="shared" ref="A133:A190" si="2">TEXT(B133,"hh:mm")</f>
        <v>13:07</v>
      </c>
      <c r="B133" s="9">
        <v>44652.546527777798</v>
      </c>
      <c r="C133" s="10">
        <v>3269.5129999999999</v>
      </c>
      <c r="D133" s="10">
        <v>120043900</v>
      </c>
      <c r="E133" s="6"/>
      <c r="N133" s="9">
        <v>44652.546527777798</v>
      </c>
      <c r="O133" s="10">
        <v>12217.373799999999</v>
      </c>
      <c r="P133" s="10">
        <v>129559800</v>
      </c>
      <c r="Q133" s="6"/>
      <c r="R133" s="9">
        <v>44652.546527777798</v>
      </c>
      <c r="S133" s="10">
        <v>2673.5221999999999</v>
      </c>
      <c r="T133" s="10">
        <v>27198000</v>
      </c>
      <c r="V133" s="9">
        <v>44652.546527777798</v>
      </c>
      <c r="W133" s="10">
        <v>1085.0798</v>
      </c>
      <c r="X133" s="10">
        <v>1537500</v>
      </c>
      <c r="AC133" s="9"/>
      <c r="AD133" s="10"/>
    </row>
    <row r="134" spans="1:30" x14ac:dyDescent="0.3">
      <c r="A134" s="8" t="str">
        <f t="shared" si="2"/>
        <v>13:08</v>
      </c>
      <c r="B134" s="9">
        <v>44652.547222222202</v>
      </c>
      <c r="C134" s="10">
        <v>3268.5225999999998</v>
      </c>
      <c r="D134" s="10">
        <v>108138400</v>
      </c>
      <c r="E134" s="6"/>
      <c r="N134" s="9">
        <v>44652.547222222202</v>
      </c>
      <c r="O134" s="10">
        <v>12216.0288</v>
      </c>
      <c r="P134" s="10">
        <v>130157500</v>
      </c>
      <c r="Q134" s="6"/>
      <c r="R134" s="9">
        <v>44652.547222222202</v>
      </c>
      <c r="S134" s="10">
        <v>2673.8038999999999</v>
      </c>
      <c r="T134" s="10">
        <v>31783100</v>
      </c>
      <c r="V134" s="9">
        <v>44652.547222222202</v>
      </c>
      <c r="W134" s="10">
        <v>1085.1146000000001</v>
      </c>
      <c r="X134" s="10">
        <v>1778200</v>
      </c>
      <c r="AC134" s="9"/>
      <c r="AD134" s="10"/>
    </row>
    <row r="135" spans="1:30" x14ac:dyDescent="0.3">
      <c r="A135" s="8" t="str">
        <f t="shared" si="2"/>
        <v>13:09</v>
      </c>
      <c r="B135" s="9">
        <v>44652.547916666699</v>
      </c>
      <c r="C135" s="10">
        <v>3269.3838000000001</v>
      </c>
      <c r="D135" s="10">
        <v>99681100</v>
      </c>
      <c r="E135" s="6"/>
      <c r="N135" s="9">
        <v>44652.547916666699</v>
      </c>
      <c r="O135" s="10">
        <v>12220.8339</v>
      </c>
      <c r="P135" s="10">
        <v>134254200</v>
      </c>
      <c r="Q135" s="6"/>
      <c r="R135" s="9">
        <v>44652.547916666699</v>
      </c>
      <c r="S135" s="10">
        <v>2674.6388000000002</v>
      </c>
      <c r="T135" s="10">
        <v>29170300</v>
      </c>
      <c r="V135" s="9">
        <v>44652.547916666699</v>
      </c>
      <c r="W135" s="10">
        <v>1085.3124</v>
      </c>
      <c r="X135" s="10">
        <v>1548000</v>
      </c>
      <c r="AC135" s="9"/>
      <c r="AD135" s="10"/>
    </row>
    <row r="136" spans="1:30" x14ac:dyDescent="0.3">
      <c r="A136" s="8" t="str">
        <f t="shared" si="2"/>
        <v>13:10</v>
      </c>
      <c r="B136" s="9">
        <v>44652.548611111102</v>
      </c>
      <c r="C136" s="10">
        <v>3270.7728000000002</v>
      </c>
      <c r="D136" s="10">
        <v>110885100</v>
      </c>
      <c r="E136" s="6"/>
      <c r="N136" s="9">
        <v>44652.548611111102</v>
      </c>
      <c r="O136" s="10">
        <v>12224.1847</v>
      </c>
      <c r="P136" s="10">
        <v>135768900</v>
      </c>
      <c r="Q136" s="6"/>
      <c r="R136" s="9">
        <v>44652.548611111102</v>
      </c>
      <c r="S136" s="10">
        <v>2674.7141000000001</v>
      </c>
      <c r="T136" s="10">
        <v>30492900</v>
      </c>
      <c r="V136" s="9">
        <v>44652.548611111102</v>
      </c>
      <c r="W136" s="10">
        <v>1086.9094</v>
      </c>
      <c r="X136" s="10">
        <v>1651800</v>
      </c>
      <c r="AC136" s="9"/>
      <c r="AD136" s="10"/>
    </row>
    <row r="137" spans="1:30" x14ac:dyDescent="0.3">
      <c r="A137" s="8" t="str">
        <f t="shared" si="2"/>
        <v>13:11</v>
      </c>
      <c r="B137" s="9">
        <v>44652.5493055556</v>
      </c>
      <c r="C137" s="10">
        <v>3272.1777000000002</v>
      </c>
      <c r="D137" s="10">
        <v>100591800</v>
      </c>
      <c r="E137" s="6"/>
      <c r="N137" s="9">
        <v>44652.5493055556</v>
      </c>
      <c r="O137" s="10">
        <v>12229.929</v>
      </c>
      <c r="P137" s="10">
        <v>121491900</v>
      </c>
      <c r="Q137" s="6"/>
      <c r="R137" s="9">
        <v>44652.5493055556</v>
      </c>
      <c r="S137" s="10">
        <v>2676.1399000000001</v>
      </c>
      <c r="T137" s="10">
        <v>29671100</v>
      </c>
      <c r="V137" s="9">
        <v>44652.5493055556</v>
      </c>
      <c r="W137" s="10">
        <v>1087.8588999999999</v>
      </c>
      <c r="X137" s="10">
        <v>1802000</v>
      </c>
      <c r="AC137" s="9"/>
      <c r="AD137" s="10"/>
    </row>
    <row r="138" spans="1:30" x14ac:dyDescent="0.3">
      <c r="A138" s="8" t="str">
        <f t="shared" si="2"/>
        <v>13:12</v>
      </c>
      <c r="B138" s="9">
        <v>44652.55</v>
      </c>
      <c r="C138" s="10">
        <v>3272.8290000000002</v>
      </c>
      <c r="D138" s="10">
        <v>138467400</v>
      </c>
      <c r="E138" s="6"/>
      <c r="N138" s="9">
        <v>44652.55</v>
      </c>
      <c r="O138" s="10">
        <v>12228.4874</v>
      </c>
      <c r="P138" s="10">
        <v>135302400</v>
      </c>
      <c r="Q138" s="6"/>
      <c r="R138" s="9">
        <v>44652.55</v>
      </c>
      <c r="S138" s="10">
        <v>2674.6386000000002</v>
      </c>
      <c r="T138" s="10">
        <v>27581500</v>
      </c>
      <c r="V138" s="9">
        <v>44652.55</v>
      </c>
      <c r="W138" s="10">
        <v>1087.1329000000001</v>
      </c>
      <c r="X138" s="10">
        <v>1449900</v>
      </c>
      <c r="AC138" s="9"/>
      <c r="AD138" s="10"/>
    </row>
    <row r="139" spans="1:30" x14ac:dyDescent="0.3">
      <c r="A139" s="8" t="str">
        <f t="shared" si="2"/>
        <v>13:13</v>
      </c>
      <c r="B139" s="9">
        <v>44652.550694444399</v>
      </c>
      <c r="C139" s="10">
        <v>3273.9933999999998</v>
      </c>
      <c r="D139" s="10">
        <v>106026300</v>
      </c>
      <c r="E139" s="6"/>
      <c r="N139" s="9">
        <v>44652.550694444399</v>
      </c>
      <c r="O139" s="10">
        <v>12233.996800000001</v>
      </c>
      <c r="P139" s="10">
        <v>120136500</v>
      </c>
      <c r="Q139" s="6"/>
      <c r="R139" s="9">
        <v>44652.550694444399</v>
      </c>
      <c r="S139" s="10">
        <v>2676.1136999999999</v>
      </c>
      <c r="T139" s="10">
        <v>27638900</v>
      </c>
      <c r="V139" s="9">
        <v>44652.550694444399</v>
      </c>
      <c r="W139" s="10">
        <v>1088.4662000000001</v>
      </c>
      <c r="X139" s="10">
        <v>1882900</v>
      </c>
      <c r="AC139" s="9"/>
      <c r="AD139" s="10"/>
    </row>
    <row r="140" spans="1:30" x14ac:dyDescent="0.3">
      <c r="A140" s="8" t="str">
        <f t="shared" si="2"/>
        <v>13:14</v>
      </c>
      <c r="B140" s="9">
        <v>44652.551388888904</v>
      </c>
      <c r="C140" s="10">
        <v>3273.8222999999998</v>
      </c>
      <c r="D140" s="10">
        <v>119815100</v>
      </c>
      <c r="E140" s="6"/>
      <c r="N140" s="9">
        <v>44652.551388888904</v>
      </c>
      <c r="O140" s="10">
        <v>12233.4612</v>
      </c>
      <c r="P140" s="10">
        <v>134976200</v>
      </c>
      <c r="Q140" s="6"/>
      <c r="R140" s="9">
        <v>44652.551388888904</v>
      </c>
      <c r="S140" s="10">
        <v>2675.5742</v>
      </c>
      <c r="T140" s="10">
        <v>28384300</v>
      </c>
      <c r="V140" s="9">
        <v>44652.551388888904</v>
      </c>
      <c r="W140" s="10">
        <v>1088.0287000000001</v>
      </c>
      <c r="X140" s="10">
        <v>1426500</v>
      </c>
      <c r="AC140" s="9"/>
      <c r="AD140" s="10"/>
    </row>
    <row r="141" spans="1:30" x14ac:dyDescent="0.3">
      <c r="A141" s="8" t="str">
        <f t="shared" si="2"/>
        <v>13:15</v>
      </c>
      <c r="B141" s="9">
        <v>44652.552083333299</v>
      </c>
      <c r="C141" s="10">
        <v>3272.6590000000001</v>
      </c>
      <c r="D141" s="10">
        <v>104567200</v>
      </c>
      <c r="E141" s="6"/>
      <c r="N141" s="9">
        <v>44652.552083333299</v>
      </c>
      <c r="O141" s="10">
        <v>12227.3835</v>
      </c>
      <c r="P141" s="10">
        <v>144046900</v>
      </c>
      <c r="Q141" s="6"/>
      <c r="R141" s="9">
        <v>44652.552083333299</v>
      </c>
      <c r="S141" s="10">
        <v>2674.3292000000001</v>
      </c>
      <c r="T141" s="10">
        <v>34874200</v>
      </c>
      <c r="V141" s="9">
        <v>44652.552083333299</v>
      </c>
      <c r="W141" s="10">
        <v>1087.8078</v>
      </c>
      <c r="X141" s="10">
        <v>2071400</v>
      </c>
      <c r="AC141" s="9"/>
      <c r="AD141" s="10"/>
    </row>
    <row r="142" spans="1:30" x14ac:dyDescent="0.3">
      <c r="A142" s="8" t="str">
        <f t="shared" si="2"/>
        <v>13:16</v>
      </c>
      <c r="B142" s="9">
        <v>44652.552777777797</v>
      </c>
      <c r="C142" s="10">
        <v>3273.5706</v>
      </c>
      <c r="D142" s="10">
        <v>94433400</v>
      </c>
      <c r="E142" s="6"/>
      <c r="N142" s="9">
        <v>44652.552777777797</v>
      </c>
      <c r="O142" s="10">
        <v>12230.359899999999</v>
      </c>
      <c r="P142" s="10">
        <v>106325800</v>
      </c>
      <c r="Q142" s="6"/>
      <c r="R142" s="9">
        <v>44652.552777777797</v>
      </c>
      <c r="S142" s="10">
        <v>2675.5983000000001</v>
      </c>
      <c r="T142" s="10">
        <v>24668300</v>
      </c>
      <c r="V142" s="9">
        <v>44652.552777777797</v>
      </c>
      <c r="W142" s="10">
        <v>1088.1288</v>
      </c>
      <c r="X142" s="10">
        <v>1397800</v>
      </c>
      <c r="AC142" s="9"/>
      <c r="AD142" s="10"/>
    </row>
    <row r="143" spans="1:30" x14ac:dyDescent="0.3">
      <c r="A143" s="8" t="str">
        <f t="shared" si="2"/>
        <v>13:17</v>
      </c>
      <c r="B143" s="9">
        <v>44652.5534722222</v>
      </c>
      <c r="C143" s="10">
        <v>3274.4562999999998</v>
      </c>
      <c r="D143" s="10">
        <v>93478700</v>
      </c>
      <c r="E143" s="6"/>
      <c r="N143" s="9">
        <v>44652.5534722222</v>
      </c>
      <c r="O143" s="10">
        <v>12230.16</v>
      </c>
      <c r="P143" s="10">
        <v>122813800</v>
      </c>
      <c r="Q143" s="6"/>
      <c r="R143" s="9">
        <v>44652.5534722222</v>
      </c>
      <c r="S143" s="10">
        <v>2674.8859000000002</v>
      </c>
      <c r="T143" s="10">
        <v>26989100</v>
      </c>
      <c r="V143" s="9">
        <v>44652.5534722222</v>
      </c>
      <c r="W143" s="10">
        <v>1087.7936</v>
      </c>
      <c r="X143" s="10">
        <v>1508300</v>
      </c>
      <c r="AC143" s="9"/>
      <c r="AD143" s="10"/>
    </row>
    <row r="144" spans="1:30" x14ac:dyDescent="0.3">
      <c r="A144" s="8" t="str">
        <f t="shared" si="2"/>
        <v>13:18</v>
      </c>
      <c r="B144" s="9">
        <v>44652.554166666698</v>
      </c>
      <c r="C144" s="10">
        <v>3275.6444999999999</v>
      </c>
      <c r="D144" s="10">
        <v>104254200</v>
      </c>
      <c r="E144" s="6"/>
      <c r="N144" s="9">
        <v>44652.554166666698</v>
      </c>
      <c r="O144" s="10">
        <v>12235.745800000001</v>
      </c>
      <c r="P144" s="10">
        <v>112476300</v>
      </c>
      <c r="Q144" s="6"/>
      <c r="R144" s="9">
        <v>44652.554166666698</v>
      </c>
      <c r="S144" s="10">
        <v>2676.1875</v>
      </c>
      <c r="T144" s="10">
        <v>27765200</v>
      </c>
      <c r="V144" s="9">
        <v>44652.554166666698</v>
      </c>
      <c r="W144" s="10">
        <v>1087.5654</v>
      </c>
      <c r="X144" s="10">
        <v>1758600</v>
      </c>
      <c r="AC144" s="9"/>
      <c r="AD144" s="10"/>
    </row>
    <row r="145" spans="1:30" x14ac:dyDescent="0.3">
      <c r="A145" s="8" t="str">
        <f t="shared" si="2"/>
        <v>13:19</v>
      </c>
      <c r="B145" s="9">
        <v>44652.554861111101</v>
      </c>
      <c r="C145" s="10">
        <v>3277.9110999999998</v>
      </c>
      <c r="D145" s="10">
        <v>116132200</v>
      </c>
      <c r="E145" s="6"/>
      <c r="N145" s="9">
        <v>44652.554861111101</v>
      </c>
      <c r="O145" s="10">
        <v>12243.971799999999</v>
      </c>
      <c r="P145" s="10">
        <v>129762700</v>
      </c>
      <c r="Q145" s="6"/>
      <c r="R145" s="9">
        <v>44652.554861111101</v>
      </c>
      <c r="S145" s="10">
        <v>2678.3544999999999</v>
      </c>
      <c r="T145" s="10">
        <v>33492700</v>
      </c>
      <c r="V145" s="9">
        <v>44652.554861111101</v>
      </c>
      <c r="W145" s="10">
        <v>1087.8704</v>
      </c>
      <c r="X145" s="10">
        <v>1909300</v>
      </c>
      <c r="AC145" s="9"/>
      <c r="AD145" s="10"/>
    </row>
    <row r="146" spans="1:30" x14ac:dyDescent="0.3">
      <c r="A146" s="8" t="str">
        <f t="shared" si="2"/>
        <v>13:20</v>
      </c>
      <c r="B146" s="9">
        <v>44652.555555555598</v>
      </c>
      <c r="C146" s="10">
        <v>3276.8042999999998</v>
      </c>
      <c r="D146" s="10">
        <v>129938700</v>
      </c>
      <c r="E146" s="6"/>
      <c r="N146" s="9">
        <v>44652.555555555598</v>
      </c>
      <c r="O146" s="10">
        <v>12238.577300000001</v>
      </c>
      <c r="P146" s="10">
        <v>155292100</v>
      </c>
      <c r="Q146" s="6"/>
      <c r="R146" s="9">
        <v>44652.555555555598</v>
      </c>
      <c r="S146" s="10">
        <v>2676.6007</v>
      </c>
      <c r="T146" s="10">
        <v>31605200</v>
      </c>
      <c r="V146" s="9">
        <v>44652.555555555598</v>
      </c>
      <c r="W146" s="10">
        <v>1087.4956999999999</v>
      </c>
      <c r="X146" s="10">
        <v>2036500</v>
      </c>
      <c r="AC146" s="9"/>
      <c r="AD146" s="10"/>
    </row>
    <row r="147" spans="1:30" x14ac:dyDescent="0.3">
      <c r="A147" s="8" t="str">
        <f t="shared" si="2"/>
        <v>13:21</v>
      </c>
      <c r="B147" s="9">
        <v>44652.556250000001</v>
      </c>
      <c r="C147" s="10">
        <v>3276.9949000000001</v>
      </c>
      <c r="D147" s="10">
        <v>110049000</v>
      </c>
      <c r="E147" s="6"/>
      <c r="N147" s="9">
        <v>44652.556250000001</v>
      </c>
      <c r="O147" s="10">
        <v>12239.7376</v>
      </c>
      <c r="P147" s="10">
        <v>123256600</v>
      </c>
      <c r="Q147" s="6"/>
      <c r="R147" s="9">
        <v>44652.556250000001</v>
      </c>
      <c r="S147" s="10">
        <v>2676.7372</v>
      </c>
      <c r="T147" s="10">
        <v>28348700</v>
      </c>
      <c r="V147" s="9">
        <v>44652.556250000001</v>
      </c>
      <c r="W147" s="10">
        <v>1087.5981999999999</v>
      </c>
      <c r="X147" s="10">
        <v>1698900</v>
      </c>
      <c r="AC147" s="9"/>
      <c r="AD147" s="10"/>
    </row>
    <row r="148" spans="1:30" x14ac:dyDescent="0.3">
      <c r="A148" s="8" t="str">
        <f t="shared" si="2"/>
        <v>13:22</v>
      </c>
      <c r="B148" s="9">
        <v>44652.556944444397</v>
      </c>
      <c r="C148" s="10">
        <v>3277.9794999999999</v>
      </c>
      <c r="D148" s="10">
        <v>99653100</v>
      </c>
      <c r="E148" s="6"/>
      <c r="N148" s="9">
        <v>44652.556944444397</v>
      </c>
      <c r="O148" s="10">
        <v>12245.257</v>
      </c>
      <c r="P148" s="10">
        <v>120014800</v>
      </c>
      <c r="Q148" s="6"/>
      <c r="R148" s="9">
        <v>44652.556944444397</v>
      </c>
      <c r="S148" s="10">
        <v>2678.3404999999998</v>
      </c>
      <c r="T148" s="10">
        <v>27928900</v>
      </c>
      <c r="V148" s="9">
        <v>44652.556944444397</v>
      </c>
      <c r="W148" s="10">
        <v>1088.3267000000001</v>
      </c>
      <c r="X148" s="10">
        <v>1394500</v>
      </c>
      <c r="AC148" s="9"/>
      <c r="AD148" s="10"/>
    </row>
    <row r="149" spans="1:30" x14ac:dyDescent="0.3">
      <c r="A149" s="8" t="str">
        <f t="shared" si="2"/>
        <v>13:23</v>
      </c>
      <c r="B149" s="9">
        <v>44652.557638888902</v>
      </c>
      <c r="C149" s="10">
        <v>3277.5832999999998</v>
      </c>
      <c r="D149" s="10">
        <v>100963000</v>
      </c>
      <c r="E149" s="6"/>
      <c r="N149" s="9">
        <v>44652.557638888902</v>
      </c>
      <c r="O149" s="10">
        <v>12242.6144</v>
      </c>
      <c r="P149" s="10">
        <v>124427400</v>
      </c>
      <c r="Q149" s="6"/>
      <c r="R149" s="9">
        <v>44652.557638888902</v>
      </c>
      <c r="S149" s="10">
        <v>2677.0956999999999</v>
      </c>
      <c r="T149" s="10">
        <v>24827400</v>
      </c>
      <c r="V149" s="9">
        <v>44652.557638888902</v>
      </c>
      <c r="W149" s="10">
        <v>1088.5574999999999</v>
      </c>
      <c r="X149" s="10">
        <v>1634800</v>
      </c>
      <c r="AC149" s="9"/>
      <c r="AD149" s="10"/>
    </row>
    <row r="150" spans="1:30" x14ac:dyDescent="0.3">
      <c r="A150" s="8" t="str">
        <f t="shared" si="2"/>
        <v>13:24</v>
      </c>
      <c r="B150" s="9">
        <v>44652.558333333298</v>
      </c>
      <c r="C150" s="10">
        <v>3276.8575000000001</v>
      </c>
      <c r="D150" s="10">
        <v>106312900</v>
      </c>
      <c r="E150" s="6"/>
      <c r="N150" s="9">
        <v>44652.558333333298</v>
      </c>
      <c r="O150" s="10">
        <v>12241.087299999999</v>
      </c>
      <c r="P150" s="10">
        <v>114155900</v>
      </c>
      <c r="Q150" s="6"/>
      <c r="R150" s="9">
        <v>44652.558333333298</v>
      </c>
      <c r="S150" s="10">
        <v>2677.3445999999999</v>
      </c>
      <c r="T150" s="10">
        <v>26815200</v>
      </c>
      <c r="V150" s="9">
        <v>44652.558333333298</v>
      </c>
      <c r="W150" s="10">
        <v>1088.3848</v>
      </c>
      <c r="X150" s="10">
        <v>1927900</v>
      </c>
      <c r="AC150" s="9"/>
      <c r="AD150" s="10"/>
    </row>
    <row r="151" spans="1:30" x14ac:dyDescent="0.3">
      <c r="A151" s="8" t="str">
        <f t="shared" si="2"/>
        <v>13:25</v>
      </c>
      <c r="B151" s="9">
        <v>44652.559027777803</v>
      </c>
      <c r="C151" s="10">
        <v>3276.7945</v>
      </c>
      <c r="D151" s="10">
        <v>91795700</v>
      </c>
      <c r="E151" s="6"/>
      <c r="N151" s="9">
        <v>44652.559027777803</v>
      </c>
      <c r="O151" s="10">
        <v>12242.073399999999</v>
      </c>
      <c r="P151" s="10">
        <v>122396100</v>
      </c>
      <c r="Q151" s="6"/>
      <c r="R151" s="9">
        <v>44652.559027777803</v>
      </c>
      <c r="S151" s="10">
        <v>2678.4432000000002</v>
      </c>
      <c r="T151" s="10">
        <v>30649700</v>
      </c>
      <c r="V151" s="9">
        <v>44652.559027777803</v>
      </c>
      <c r="W151" s="10">
        <v>1088.7715000000001</v>
      </c>
      <c r="X151" s="10">
        <v>2456300</v>
      </c>
      <c r="AC151" s="9"/>
      <c r="AD151" s="10"/>
    </row>
    <row r="152" spans="1:30" x14ac:dyDescent="0.3">
      <c r="A152" s="8" t="str">
        <f t="shared" si="2"/>
        <v>13:26</v>
      </c>
      <c r="B152" s="9">
        <v>44652.559722222199</v>
      </c>
      <c r="C152" s="10">
        <v>3274.8416999999999</v>
      </c>
      <c r="D152" s="10">
        <v>101161800</v>
      </c>
      <c r="E152" s="6"/>
      <c r="N152" s="9">
        <v>44652.559722222199</v>
      </c>
      <c r="O152" s="10">
        <v>12234.6402</v>
      </c>
      <c r="P152" s="10">
        <v>120173800</v>
      </c>
      <c r="Q152" s="6"/>
      <c r="R152" s="9">
        <v>44652.559722222199</v>
      </c>
      <c r="S152" s="10">
        <v>2676.9414000000002</v>
      </c>
      <c r="T152" s="10">
        <v>32249300</v>
      </c>
      <c r="V152" s="9">
        <v>44652.559722222199</v>
      </c>
      <c r="W152" s="10">
        <v>1088.4811999999999</v>
      </c>
      <c r="X152" s="10">
        <v>1821100</v>
      </c>
      <c r="AC152" s="9"/>
      <c r="AD152" s="10"/>
    </row>
    <row r="153" spans="1:30" x14ac:dyDescent="0.3">
      <c r="A153" s="8" t="str">
        <f t="shared" si="2"/>
        <v>13:27</v>
      </c>
      <c r="B153" s="9">
        <v>44652.560416666704</v>
      </c>
      <c r="C153" s="10">
        <v>3274.2274000000002</v>
      </c>
      <c r="D153" s="10">
        <v>79257400</v>
      </c>
      <c r="E153" s="6"/>
      <c r="N153" s="9">
        <v>44652.560416666704</v>
      </c>
      <c r="O153" s="10">
        <v>12231.899100000001</v>
      </c>
      <c r="P153" s="10">
        <v>113512400</v>
      </c>
      <c r="Q153" s="6"/>
      <c r="R153" s="9">
        <v>44652.560416666704</v>
      </c>
      <c r="S153" s="10">
        <v>2675.8364000000001</v>
      </c>
      <c r="T153" s="10">
        <v>28152600</v>
      </c>
      <c r="V153" s="9">
        <v>44652.560416666704</v>
      </c>
      <c r="W153" s="10">
        <v>1088.3461</v>
      </c>
      <c r="X153" s="10">
        <v>1482700</v>
      </c>
      <c r="AC153" s="9"/>
      <c r="AD153" s="10"/>
    </row>
    <row r="154" spans="1:30" x14ac:dyDescent="0.3">
      <c r="A154" s="8" t="str">
        <f t="shared" si="2"/>
        <v>13:28</v>
      </c>
      <c r="B154" s="9">
        <v>44652.561111111099</v>
      </c>
      <c r="C154" s="10">
        <v>3273.2302</v>
      </c>
      <c r="D154" s="10">
        <v>91410900</v>
      </c>
      <c r="E154" s="6"/>
      <c r="N154" s="9">
        <v>44652.561111111099</v>
      </c>
      <c r="O154" s="10">
        <v>12228.401900000001</v>
      </c>
      <c r="P154" s="10">
        <v>129460100</v>
      </c>
      <c r="Q154" s="6"/>
      <c r="R154" s="9">
        <v>44652.561111111099</v>
      </c>
      <c r="S154" s="10">
        <v>2674.3926999999999</v>
      </c>
      <c r="T154" s="10">
        <v>29653300</v>
      </c>
      <c r="V154" s="9">
        <v>44652.561111111099</v>
      </c>
      <c r="W154" s="10">
        <v>1088.1873000000001</v>
      </c>
      <c r="X154" s="10">
        <v>1720100</v>
      </c>
      <c r="AC154" s="9"/>
      <c r="AD154" s="10"/>
    </row>
    <row r="155" spans="1:30" x14ac:dyDescent="0.3">
      <c r="A155" s="8" t="str">
        <f t="shared" si="2"/>
        <v>13:29</v>
      </c>
      <c r="B155" s="9">
        <v>44652.561805555597</v>
      </c>
      <c r="C155" s="10">
        <v>3272.3231999999998</v>
      </c>
      <c r="D155" s="10">
        <v>103596000</v>
      </c>
      <c r="E155" s="6"/>
      <c r="N155" s="9">
        <v>44652.561805555597</v>
      </c>
      <c r="O155" s="10">
        <v>12220.341399999999</v>
      </c>
      <c r="P155" s="10">
        <v>130022900</v>
      </c>
      <c r="Q155" s="6"/>
      <c r="R155" s="9">
        <v>44652.561805555597</v>
      </c>
      <c r="S155" s="10">
        <v>2672.5077000000001</v>
      </c>
      <c r="T155" s="10">
        <v>33427700</v>
      </c>
      <c r="V155" s="9">
        <v>44652.561805555597</v>
      </c>
      <c r="W155" s="10">
        <v>1087.3126999999999</v>
      </c>
      <c r="X155" s="10">
        <v>1922500</v>
      </c>
      <c r="AC155" s="9"/>
      <c r="AD155" s="10"/>
    </row>
    <row r="156" spans="1:30" x14ac:dyDescent="0.3">
      <c r="A156" s="8" t="str">
        <f t="shared" si="2"/>
        <v>13:30</v>
      </c>
      <c r="B156" s="9">
        <v>44652.5625</v>
      </c>
      <c r="C156" s="10">
        <v>3273.7411999999999</v>
      </c>
      <c r="D156" s="10">
        <v>114257800</v>
      </c>
      <c r="E156" s="6"/>
      <c r="N156" s="9">
        <v>44652.5625</v>
      </c>
      <c r="O156" s="10">
        <v>12226.1978</v>
      </c>
      <c r="P156" s="10">
        <v>136074100</v>
      </c>
      <c r="Q156" s="6"/>
      <c r="R156" s="9">
        <v>44652.5625</v>
      </c>
      <c r="S156" s="10">
        <v>2673.6365999999998</v>
      </c>
      <c r="T156" s="10">
        <v>34447700</v>
      </c>
      <c r="V156" s="9">
        <v>44652.5625</v>
      </c>
      <c r="W156" s="10">
        <v>1087.4509</v>
      </c>
      <c r="X156" s="10">
        <v>2002100</v>
      </c>
      <c r="AC156" s="9"/>
      <c r="AD156" s="10"/>
    </row>
    <row r="157" spans="1:30" x14ac:dyDescent="0.3">
      <c r="A157" s="8" t="str">
        <f t="shared" si="2"/>
        <v>13:31</v>
      </c>
      <c r="B157" s="9">
        <v>44652.563194444403</v>
      </c>
      <c r="C157" s="10">
        <v>3273.8895000000002</v>
      </c>
      <c r="D157" s="10">
        <v>87884200</v>
      </c>
      <c r="E157" s="6"/>
      <c r="N157" s="9">
        <v>44652.563194444403</v>
      </c>
      <c r="O157" s="10">
        <v>12224.1504</v>
      </c>
      <c r="P157" s="10">
        <v>115757900</v>
      </c>
      <c r="Q157" s="6"/>
      <c r="R157" s="9">
        <v>44652.563194444403</v>
      </c>
      <c r="S157" s="10">
        <v>2672.3290000000002</v>
      </c>
      <c r="T157" s="10">
        <v>31154600</v>
      </c>
      <c r="V157" s="9">
        <v>44652.563194444403</v>
      </c>
      <c r="W157" s="10">
        <v>1087.5351000000001</v>
      </c>
      <c r="X157" s="10">
        <v>2007000</v>
      </c>
      <c r="AC157" s="9"/>
      <c r="AD157" s="10"/>
    </row>
    <row r="158" spans="1:30" x14ac:dyDescent="0.3">
      <c r="A158" s="8" t="str">
        <f t="shared" si="2"/>
        <v>13:32</v>
      </c>
      <c r="B158" s="9">
        <v>44652.563888888901</v>
      </c>
      <c r="C158" s="10">
        <v>3274.5070999999998</v>
      </c>
      <c r="D158" s="10">
        <v>106395400</v>
      </c>
      <c r="E158" s="6"/>
      <c r="N158" s="9">
        <v>44652.563888888901</v>
      </c>
      <c r="O158" s="10">
        <v>12228.861699999999</v>
      </c>
      <c r="P158" s="10">
        <v>121010200</v>
      </c>
      <c r="Q158" s="6"/>
      <c r="R158" s="9">
        <v>44652.563888888901</v>
      </c>
      <c r="S158" s="10">
        <v>2674.2413000000001</v>
      </c>
      <c r="T158" s="10">
        <v>34123500</v>
      </c>
      <c r="V158" s="9">
        <v>44652.563888888901</v>
      </c>
      <c r="W158" s="10">
        <v>1087.4513999999999</v>
      </c>
      <c r="X158" s="10">
        <v>1617600</v>
      </c>
      <c r="AC158" s="9"/>
      <c r="AD158" s="10"/>
    </row>
    <row r="159" spans="1:30" x14ac:dyDescent="0.3">
      <c r="A159" s="8" t="str">
        <f t="shared" si="2"/>
        <v>13:33</v>
      </c>
      <c r="B159" s="9">
        <v>44652.564583333296</v>
      </c>
      <c r="C159" s="10">
        <v>3273.2357999999999</v>
      </c>
      <c r="D159" s="10">
        <v>103502900</v>
      </c>
      <c r="E159" s="6"/>
      <c r="N159" s="9">
        <v>44652.564583333296</v>
      </c>
      <c r="O159" s="10">
        <v>12221.084199999999</v>
      </c>
      <c r="P159" s="10">
        <v>150317600</v>
      </c>
      <c r="Q159" s="6"/>
      <c r="R159" s="9">
        <v>44652.564583333296</v>
      </c>
      <c r="S159" s="10">
        <v>2672.9306999999999</v>
      </c>
      <c r="T159" s="10">
        <v>41520300</v>
      </c>
      <c r="V159" s="9">
        <v>44652.564583333296</v>
      </c>
      <c r="W159" s="10">
        <v>1087.1845000000001</v>
      </c>
      <c r="X159" s="10">
        <v>2114200</v>
      </c>
      <c r="AC159" s="9"/>
      <c r="AD159" s="10"/>
    </row>
    <row r="160" spans="1:30" x14ac:dyDescent="0.3">
      <c r="A160" s="8" t="str">
        <f t="shared" si="2"/>
        <v>13:34</v>
      </c>
      <c r="B160" s="9">
        <v>44652.565277777801</v>
      </c>
      <c r="C160" s="10">
        <v>3272.9205000000002</v>
      </c>
      <c r="D160" s="10">
        <v>95996800</v>
      </c>
      <c r="E160" s="6"/>
      <c r="N160" s="9">
        <v>44652.565277777801</v>
      </c>
      <c r="O160" s="10">
        <v>12220.9048</v>
      </c>
      <c r="P160" s="10">
        <v>127894800</v>
      </c>
      <c r="Q160" s="6"/>
      <c r="R160" s="9">
        <v>44652.565277777801</v>
      </c>
      <c r="S160" s="10">
        <v>2672.4539</v>
      </c>
      <c r="T160" s="10">
        <v>39255500</v>
      </c>
      <c r="V160" s="9">
        <v>44652.565277777801</v>
      </c>
      <c r="W160" s="10">
        <v>1086.7243000000001</v>
      </c>
      <c r="X160" s="10">
        <v>2030000</v>
      </c>
      <c r="AC160" s="9"/>
      <c r="AD160" s="10"/>
    </row>
    <row r="161" spans="1:30" x14ac:dyDescent="0.3">
      <c r="A161" s="8" t="str">
        <f t="shared" si="2"/>
        <v>13:35</v>
      </c>
      <c r="B161" s="9">
        <v>44652.565972222197</v>
      </c>
      <c r="C161" s="10">
        <v>3273.7496999999998</v>
      </c>
      <c r="D161" s="10">
        <v>99956300</v>
      </c>
      <c r="E161" s="6"/>
      <c r="N161" s="9">
        <v>44652.565972222197</v>
      </c>
      <c r="O161" s="10">
        <v>12221.0828</v>
      </c>
      <c r="P161" s="10">
        <v>137384000</v>
      </c>
      <c r="Q161" s="6"/>
      <c r="R161" s="9">
        <v>44652.565972222197</v>
      </c>
      <c r="S161" s="10">
        <v>2672.1680999999999</v>
      </c>
      <c r="T161" s="10">
        <v>36123200</v>
      </c>
      <c r="V161" s="9">
        <v>44652.565972222197</v>
      </c>
      <c r="W161" s="10">
        <v>1086.5323000000001</v>
      </c>
      <c r="X161" s="10">
        <v>2048600</v>
      </c>
      <c r="AC161" s="9"/>
      <c r="AD161" s="10"/>
    </row>
    <row r="162" spans="1:30" x14ac:dyDescent="0.3">
      <c r="A162" s="8" t="str">
        <f t="shared" si="2"/>
        <v>13:36</v>
      </c>
      <c r="B162" s="9">
        <v>44652.566666666702</v>
      </c>
      <c r="C162" s="10">
        <v>3272.0992999999999</v>
      </c>
      <c r="D162" s="10">
        <v>104754200</v>
      </c>
      <c r="E162" s="6"/>
      <c r="N162" s="9">
        <v>44652.566666666702</v>
      </c>
      <c r="O162" s="10">
        <v>12210.6559</v>
      </c>
      <c r="P162" s="10">
        <v>136582800</v>
      </c>
      <c r="Q162" s="6"/>
      <c r="R162" s="9">
        <v>44652.566666666702</v>
      </c>
      <c r="S162" s="10">
        <v>2668.7004999999999</v>
      </c>
      <c r="T162" s="10">
        <v>35853200</v>
      </c>
      <c r="V162" s="9">
        <v>44652.566666666702</v>
      </c>
      <c r="W162" s="10">
        <v>1085.8776</v>
      </c>
      <c r="X162" s="10">
        <v>1909400</v>
      </c>
      <c r="AC162" s="9"/>
      <c r="AD162" s="10"/>
    </row>
    <row r="163" spans="1:30" x14ac:dyDescent="0.3">
      <c r="A163" s="8" t="str">
        <f t="shared" si="2"/>
        <v>13:37</v>
      </c>
      <c r="B163" s="9">
        <v>44652.567361111098</v>
      </c>
      <c r="C163" s="10">
        <v>3272.1242000000002</v>
      </c>
      <c r="D163" s="10">
        <v>86251800</v>
      </c>
      <c r="E163" s="6"/>
      <c r="N163" s="9">
        <v>44652.567361111098</v>
      </c>
      <c r="O163" s="10">
        <v>12210.0056</v>
      </c>
      <c r="P163" s="10">
        <v>151919500</v>
      </c>
      <c r="Q163" s="6"/>
      <c r="R163" s="9">
        <v>44652.567361111098</v>
      </c>
      <c r="S163" s="10">
        <v>2668.7293</v>
      </c>
      <c r="T163" s="10">
        <v>47839600</v>
      </c>
      <c r="V163" s="9">
        <v>44652.567361111098</v>
      </c>
      <c r="W163" s="10">
        <v>1085.6742999999999</v>
      </c>
      <c r="X163" s="10">
        <v>2019600</v>
      </c>
      <c r="AC163" s="9"/>
      <c r="AD163" s="10"/>
    </row>
    <row r="164" spans="1:30" x14ac:dyDescent="0.3">
      <c r="A164" s="8" t="str">
        <f t="shared" si="2"/>
        <v>13:38</v>
      </c>
      <c r="B164" s="9">
        <v>44652.568055555603</v>
      </c>
      <c r="C164" s="10">
        <v>3271.2374</v>
      </c>
      <c r="D164" s="10">
        <v>93075700</v>
      </c>
      <c r="E164" s="6"/>
      <c r="N164" s="9">
        <v>44652.568055555603</v>
      </c>
      <c r="O164" s="10">
        <v>12207.510200000001</v>
      </c>
      <c r="P164" s="10">
        <v>129778000</v>
      </c>
      <c r="Q164" s="6"/>
      <c r="R164" s="9">
        <v>44652.568055555603</v>
      </c>
      <c r="S164" s="10">
        <v>2668.3341</v>
      </c>
      <c r="T164" s="10">
        <v>34414500</v>
      </c>
      <c r="V164" s="9">
        <v>44652.568055555603</v>
      </c>
      <c r="W164" s="10">
        <v>1085.6343999999999</v>
      </c>
      <c r="X164" s="10">
        <v>2086400</v>
      </c>
      <c r="AC164" s="9"/>
      <c r="AD164" s="10"/>
    </row>
    <row r="165" spans="1:30" x14ac:dyDescent="0.3">
      <c r="A165" s="8" t="str">
        <f t="shared" si="2"/>
        <v>13:39</v>
      </c>
      <c r="B165" s="9">
        <v>44652.568749999999</v>
      </c>
      <c r="C165" s="10">
        <v>3269.77</v>
      </c>
      <c r="D165" s="10">
        <v>107048700</v>
      </c>
      <c r="E165" s="6"/>
      <c r="N165" s="9">
        <v>44652.568749999999</v>
      </c>
      <c r="O165" s="10">
        <v>12198.105100000001</v>
      </c>
      <c r="P165" s="10">
        <v>139568100</v>
      </c>
      <c r="Q165" s="6"/>
      <c r="R165" s="9">
        <v>44652.568749999999</v>
      </c>
      <c r="S165" s="10">
        <v>2665.6635999999999</v>
      </c>
      <c r="T165" s="10">
        <v>35957600</v>
      </c>
      <c r="V165" s="9">
        <v>44652.568749999999</v>
      </c>
      <c r="W165" s="10">
        <v>1085.2174</v>
      </c>
      <c r="X165" s="10">
        <v>2186700</v>
      </c>
      <c r="AC165" s="9"/>
      <c r="AD165" s="10"/>
    </row>
    <row r="166" spans="1:30" x14ac:dyDescent="0.3">
      <c r="A166" s="8" t="str">
        <f t="shared" si="2"/>
        <v>13:40</v>
      </c>
      <c r="B166" s="9">
        <v>44652.569444444402</v>
      </c>
      <c r="C166" s="10">
        <v>3270.5248999999999</v>
      </c>
      <c r="D166" s="10">
        <v>93721000</v>
      </c>
      <c r="E166" s="6"/>
      <c r="N166" s="9">
        <v>44652.569444444402</v>
      </c>
      <c r="O166" s="10">
        <v>12202.430399999999</v>
      </c>
      <c r="P166" s="10">
        <v>125713100</v>
      </c>
      <c r="Q166" s="6"/>
      <c r="R166" s="9">
        <v>44652.569444444402</v>
      </c>
      <c r="S166" s="10">
        <v>2666.6995000000002</v>
      </c>
      <c r="T166" s="10">
        <v>37539100</v>
      </c>
      <c r="V166" s="9">
        <v>44652.569444444402</v>
      </c>
      <c r="W166" s="10">
        <v>1085.4764</v>
      </c>
      <c r="X166" s="10">
        <v>2036900</v>
      </c>
      <c r="AC166" s="9"/>
      <c r="AD166" s="10"/>
    </row>
    <row r="167" spans="1:30" x14ac:dyDescent="0.3">
      <c r="A167" s="8" t="str">
        <f t="shared" si="2"/>
        <v>13:41</v>
      </c>
      <c r="B167" s="9">
        <v>44652.570138888899</v>
      </c>
      <c r="C167" s="10">
        <v>3272.7926000000002</v>
      </c>
      <c r="D167" s="10">
        <v>101070100</v>
      </c>
      <c r="E167" s="6"/>
      <c r="N167" s="9">
        <v>44652.570138888899</v>
      </c>
      <c r="O167" s="10">
        <v>12212.1312</v>
      </c>
      <c r="P167" s="10">
        <v>133019800</v>
      </c>
      <c r="Q167" s="6"/>
      <c r="R167" s="9">
        <v>44652.570138888899</v>
      </c>
      <c r="S167" s="10">
        <v>2669.0313999999998</v>
      </c>
      <c r="T167" s="10">
        <v>41449400</v>
      </c>
      <c r="V167" s="9">
        <v>44652.570138888899</v>
      </c>
      <c r="W167" s="10">
        <v>1086.0265999999999</v>
      </c>
      <c r="X167" s="10">
        <v>1773500</v>
      </c>
      <c r="AC167" s="9"/>
      <c r="AD167" s="10"/>
    </row>
    <row r="168" spans="1:30" x14ac:dyDescent="0.3">
      <c r="A168" s="8" t="str">
        <f t="shared" si="2"/>
        <v>13:42</v>
      </c>
      <c r="B168" s="9">
        <v>44652.570833333302</v>
      </c>
      <c r="C168" s="10">
        <v>3273.5944</v>
      </c>
      <c r="D168" s="10">
        <v>95514200</v>
      </c>
      <c r="E168" s="6"/>
      <c r="N168" s="9">
        <v>44652.570833333302</v>
      </c>
      <c r="O168" s="10">
        <v>12218.688</v>
      </c>
      <c r="P168" s="10">
        <v>126175600</v>
      </c>
      <c r="Q168" s="6"/>
      <c r="R168" s="9">
        <v>44652.570833333302</v>
      </c>
      <c r="S168" s="10">
        <v>2671.6840000000002</v>
      </c>
      <c r="T168" s="10">
        <v>36537600</v>
      </c>
      <c r="V168" s="9">
        <v>44652.570833333302</v>
      </c>
      <c r="W168" s="10">
        <v>1085.8402000000001</v>
      </c>
      <c r="X168" s="10">
        <v>2047400</v>
      </c>
      <c r="AC168" s="9"/>
      <c r="AD168" s="10"/>
    </row>
    <row r="169" spans="1:30" x14ac:dyDescent="0.3">
      <c r="A169" s="8" t="str">
        <f t="shared" si="2"/>
        <v>13:43</v>
      </c>
      <c r="B169" s="9">
        <v>44652.5715277778</v>
      </c>
      <c r="C169" s="10">
        <v>3274.8906999999999</v>
      </c>
      <c r="D169" s="10">
        <v>88270900</v>
      </c>
      <c r="E169" s="6"/>
      <c r="N169" s="9">
        <v>44652.5715277778</v>
      </c>
      <c r="O169" s="10">
        <v>12223.6062</v>
      </c>
      <c r="P169" s="10">
        <v>120883100</v>
      </c>
      <c r="Q169" s="6"/>
      <c r="R169" s="9">
        <v>44652.5715277778</v>
      </c>
      <c r="S169" s="10">
        <v>2673.9823999999999</v>
      </c>
      <c r="T169" s="10">
        <v>32128700</v>
      </c>
      <c r="V169" s="9">
        <v>44652.5715277778</v>
      </c>
      <c r="W169" s="10">
        <v>1086.7861</v>
      </c>
      <c r="X169" s="10">
        <v>1688300</v>
      </c>
      <c r="AC169" s="9"/>
      <c r="AD169" s="10"/>
    </row>
    <row r="170" spans="1:30" x14ac:dyDescent="0.3">
      <c r="A170" s="8" t="str">
        <f t="shared" si="2"/>
        <v>13:44</v>
      </c>
      <c r="B170" s="9">
        <v>44652.572222222203</v>
      </c>
      <c r="C170" s="10">
        <v>3275.3841000000002</v>
      </c>
      <c r="D170" s="10">
        <v>84831800</v>
      </c>
      <c r="E170" s="6"/>
      <c r="N170" s="9">
        <v>44652.572222222203</v>
      </c>
      <c r="O170" s="10">
        <v>12224.671399999999</v>
      </c>
      <c r="P170" s="10">
        <v>115783900</v>
      </c>
      <c r="Q170" s="6"/>
      <c r="R170" s="9">
        <v>44652.572222222203</v>
      </c>
      <c r="S170" s="10">
        <v>2674.1750999999999</v>
      </c>
      <c r="T170" s="10">
        <v>30007800</v>
      </c>
      <c r="V170" s="9">
        <v>44652.572222222203</v>
      </c>
      <c r="W170" s="10">
        <v>1086.6994999999999</v>
      </c>
      <c r="X170" s="10">
        <v>1503500</v>
      </c>
      <c r="AC170" s="9"/>
      <c r="AD170" s="10"/>
    </row>
    <row r="171" spans="1:30" x14ac:dyDescent="0.3">
      <c r="A171" s="8" t="str">
        <f t="shared" si="2"/>
        <v>13:45</v>
      </c>
      <c r="B171" s="9">
        <v>44652.572916666701</v>
      </c>
      <c r="C171" s="10">
        <v>3276.5135</v>
      </c>
      <c r="D171" s="10">
        <v>97915000</v>
      </c>
      <c r="E171" s="6"/>
      <c r="N171" s="9">
        <v>44652.572916666701</v>
      </c>
      <c r="O171" s="10">
        <v>12227.238499999999</v>
      </c>
      <c r="P171" s="10">
        <v>120988500</v>
      </c>
      <c r="Q171" s="6"/>
      <c r="R171" s="9">
        <v>44652.572916666701</v>
      </c>
      <c r="S171" s="10">
        <v>2673.7116999999998</v>
      </c>
      <c r="T171" s="10">
        <v>27260900</v>
      </c>
      <c r="V171" s="9">
        <v>44652.572916666701</v>
      </c>
      <c r="W171" s="10">
        <v>1086.4971</v>
      </c>
      <c r="X171" s="10">
        <v>1617200</v>
      </c>
      <c r="AC171" s="9"/>
      <c r="AD171" s="10"/>
    </row>
    <row r="172" spans="1:30" x14ac:dyDescent="0.3">
      <c r="A172" s="8" t="str">
        <f t="shared" si="2"/>
        <v>13:46</v>
      </c>
      <c r="B172" s="9">
        <v>44652.573611111096</v>
      </c>
      <c r="C172" s="10">
        <v>3279.1156999999998</v>
      </c>
      <c r="D172" s="10">
        <v>149660700</v>
      </c>
      <c r="E172" s="6"/>
      <c r="N172" s="9">
        <v>44652.573611111096</v>
      </c>
      <c r="O172" s="10">
        <v>12235.5723</v>
      </c>
      <c r="P172" s="10">
        <v>136763900</v>
      </c>
      <c r="Q172" s="6"/>
      <c r="R172" s="9">
        <v>44652.573611111096</v>
      </c>
      <c r="S172" s="10">
        <v>2675.5248000000001</v>
      </c>
      <c r="T172" s="10">
        <v>29586500</v>
      </c>
      <c r="V172" s="9">
        <v>44652.573611111096</v>
      </c>
      <c r="W172" s="10">
        <v>1087.0246999999999</v>
      </c>
      <c r="X172" s="10">
        <v>1732500</v>
      </c>
      <c r="AC172" s="9"/>
      <c r="AD172" s="10"/>
    </row>
    <row r="173" spans="1:30" x14ac:dyDescent="0.3">
      <c r="A173" s="8" t="str">
        <f t="shared" si="2"/>
        <v>13:47</v>
      </c>
      <c r="B173" s="9">
        <v>44652.574305555601</v>
      </c>
      <c r="C173" s="10">
        <v>3276.8008</v>
      </c>
      <c r="D173" s="10">
        <v>105000000</v>
      </c>
      <c r="E173" s="6"/>
      <c r="N173" s="9">
        <v>44652.574305555601</v>
      </c>
      <c r="O173" s="10">
        <v>12228.117099999999</v>
      </c>
      <c r="P173" s="10">
        <v>125220500</v>
      </c>
      <c r="Q173" s="6"/>
      <c r="R173" s="9">
        <v>44652.574305555601</v>
      </c>
      <c r="S173" s="10">
        <v>2673.1666</v>
      </c>
      <c r="T173" s="10">
        <v>30784200</v>
      </c>
      <c r="V173" s="9">
        <v>44652.574305555601</v>
      </c>
      <c r="W173" s="10">
        <v>1086.2282</v>
      </c>
      <c r="X173" s="10">
        <v>1926800</v>
      </c>
      <c r="AC173" s="9"/>
      <c r="AD173" s="10"/>
    </row>
    <row r="174" spans="1:30" x14ac:dyDescent="0.3">
      <c r="A174" s="8" t="str">
        <f t="shared" si="2"/>
        <v>13:48</v>
      </c>
      <c r="B174" s="9">
        <v>44652.574999999997</v>
      </c>
      <c r="C174" s="10">
        <v>3277.4090999999999</v>
      </c>
      <c r="D174" s="10">
        <v>89030100</v>
      </c>
      <c r="E174" s="6"/>
      <c r="N174" s="9">
        <v>44652.574999999997</v>
      </c>
      <c r="O174" s="10">
        <v>12230.4627</v>
      </c>
      <c r="P174" s="10">
        <v>98052400</v>
      </c>
      <c r="Q174" s="6"/>
      <c r="R174" s="9">
        <v>44652.574999999997</v>
      </c>
      <c r="S174" s="10">
        <v>2673.1860999999999</v>
      </c>
      <c r="T174" s="10">
        <v>26449400</v>
      </c>
      <c r="V174" s="9">
        <v>44652.574999999997</v>
      </c>
      <c r="W174" s="10">
        <v>1086.5838000000001</v>
      </c>
      <c r="X174" s="10">
        <v>1710100</v>
      </c>
      <c r="AC174" s="9"/>
      <c r="AD174" s="10"/>
    </row>
    <row r="175" spans="1:30" x14ac:dyDescent="0.3">
      <c r="A175" s="8" t="str">
        <f t="shared" si="2"/>
        <v>13:49</v>
      </c>
      <c r="B175" s="9">
        <v>44652.5756944444</v>
      </c>
      <c r="C175" s="10">
        <v>3276.3824</v>
      </c>
      <c r="D175" s="10">
        <v>94772600</v>
      </c>
      <c r="E175" s="6"/>
      <c r="N175" s="9">
        <v>44652.5756944444</v>
      </c>
      <c r="O175" s="10">
        <v>12226.724099999999</v>
      </c>
      <c r="P175" s="10">
        <v>95140000</v>
      </c>
      <c r="Q175" s="6"/>
      <c r="R175" s="9">
        <v>44652.5756944444</v>
      </c>
      <c r="S175" s="10">
        <v>2671.7013999999999</v>
      </c>
      <c r="T175" s="10">
        <v>24144500</v>
      </c>
      <c r="V175" s="9">
        <v>44652.5756944444</v>
      </c>
      <c r="W175" s="10">
        <v>1086.5313000000001</v>
      </c>
      <c r="X175" s="10">
        <v>1590000</v>
      </c>
      <c r="AC175" s="11"/>
      <c r="AD175" s="12"/>
    </row>
    <row r="176" spans="1:30" x14ac:dyDescent="0.3">
      <c r="A176" s="8" t="str">
        <f t="shared" si="2"/>
        <v>13:50</v>
      </c>
      <c r="B176" s="9">
        <v>44652.576388888898</v>
      </c>
      <c r="C176" s="10">
        <v>3276.2370999999998</v>
      </c>
      <c r="D176" s="10">
        <v>92173200</v>
      </c>
      <c r="E176" s="6"/>
      <c r="N176" s="9">
        <v>44652.576388888898</v>
      </c>
      <c r="O176" s="10">
        <v>12223.676799999999</v>
      </c>
      <c r="P176" s="10">
        <v>103107500</v>
      </c>
      <c r="Q176" s="6"/>
      <c r="R176" s="9">
        <v>44652.576388888898</v>
      </c>
      <c r="S176" s="10">
        <v>2669.7772</v>
      </c>
      <c r="T176" s="10">
        <v>25967800</v>
      </c>
      <c r="V176" s="9">
        <v>44652.576388888898</v>
      </c>
      <c r="W176" s="10">
        <v>1086.1921</v>
      </c>
      <c r="X176" s="10">
        <v>1592000</v>
      </c>
    </row>
    <row r="177" spans="1:24" x14ac:dyDescent="0.3">
      <c r="A177" s="8" t="str">
        <f t="shared" si="2"/>
        <v>13:51</v>
      </c>
      <c r="B177" s="9">
        <v>44652.577083333301</v>
      </c>
      <c r="C177" s="10">
        <v>3276.6142</v>
      </c>
      <c r="D177" s="10">
        <v>84961500</v>
      </c>
      <c r="E177" s="6"/>
      <c r="N177" s="9">
        <v>44652.577083333301</v>
      </c>
      <c r="O177" s="10">
        <v>12227.1774</v>
      </c>
      <c r="P177" s="10">
        <v>96229700</v>
      </c>
      <c r="Q177" s="6"/>
      <c r="R177" s="9">
        <v>44652.577083333301</v>
      </c>
      <c r="S177" s="10">
        <v>2670.7901000000002</v>
      </c>
      <c r="T177" s="10">
        <v>23314400</v>
      </c>
      <c r="V177" s="9">
        <v>44652.577083333301</v>
      </c>
      <c r="W177" s="10">
        <v>1086.5875000000001</v>
      </c>
      <c r="X177" s="10">
        <v>2049300</v>
      </c>
    </row>
    <row r="178" spans="1:24" x14ac:dyDescent="0.3">
      <c r="A178" s="8" t="str">
        <f t="shared" si="2"/>
        <v>13:52</v>
      </c>
      <c r="B178" s="9">
        <v>44652.577777777798</v>
      </c>
      <c r="C178" s="10">
        <v>3278.1030999999998</v>
      </c>
      <c r="D178" s="10">
        <v>92529600</v>
      </c>
      <c r="E178" s="6"/>
      <c r="N178" s="9">
        <v>44652.577777777798</v>
      </c>
      <c r="O178" s="10">
        <v>12230.617399999999</v>
      </c>
      <c r="P178" s="10">
        <v>107013500</v>
      </c>
      <c r="Q178" s="6"/>
      <c r="R178" s="9">
        <v>44652.577777777798</v>
      </c>
      <c r="S178" s="10">
        <v>2671.7882</v>
      </c>
      <c r="T178" s="10">
        <v>21874400</v>
      </c>
      <c r="V178" s="9">
        <v>44652.577777777798</v>
      </c>
      <c r="W178" s="10">
        <v>1086.4926</v>
      </c>
      <c r="X178" s="10">
        <v>1732100</v>
      </c>
    </row>
    <row r="179" spans="1:24" x14ac:dyDescent="0.3">
      <c r="A179" s="8" t="str">
        <f t="shared" si="2"/>
        <v>13:53</v>
      </c>
      <c r="B179" s="9">
        <v>44652.578472222202</v>
      </c>
      <c r="C179" s="10">
        <v>3277.453</v>
      </c>
      <c r="D179" s="10">
        <v>80034200</v>
      </c>
      <c r="E179" s="6"/>
      <c r="N179" s="9">
        <v>44652.578472222202</v>
      </c>
      <c r="O179" s="10">
        <v>12227.6157</v>
      </c>
      <c r="P179" s="10">
        <v>104916400</v>
      </c>
      <c r="Q179" s="6"/>
      <c r="R179" s="9">
        <v>44652.578472222202</v>
      </c>
      <c r="S179" s="10">
        <v>2670.8879999999999</v>
      </c>
      <c r="T179" s="10">
        <v>23241800</v>
      </c>
      <c r="V179" s="9">
        <v>44652.578472222202</v>
      </c>
      <c r="W179" s="10">
        <v>1086.2565</v>
      </c>
      <c r="X179" s="10">
        <v>2513800</v>
      </c>
    </row>
    <row r="180" spans="1:24" x14ac:dyDescent="0.3">
      <c r="A180" s="8" t="str">
        <f t="shared" si="2"/>
        <v>13:54</v>
      </c>
      <c r="B180" s="9">
        <v>44652.579166666699</v>
      </c>
      <c r="C180" s="10">
        <v>3277.3245999999999</v>
      </c>
      <c r="D180" s="10">
        <v>95189100</v>
      </c>
      <c r="E180" s="6"/>
      <c r="N180" s="9">
        <v>44652.579166666699</v>
      </c>
      <c r="O180" s="10">
        <v>12225.398999999999</v>
      </c>
      <c r="P180" s="10">
        <v>94081500</v>
      </c>
      <c r="Q180" s="6"/>
      <c r="R180" s="9">
        <v>44652.579166666699</v>
      </c>
      <c r="S180" s="10">
        <v>2669.2964999999999</v>
      </c>
      <c r="T180" s="10">
        <v>24806200</v>
      </c>
      <c r="V180" s="9">
        <v>44652.579166666699</v>
      </c>
      <c r="W180" s="10">
        <v>1085.9054000000001</v>
      </c>
      <c r="X180" s="10">
        <v>2101700</v>
      </c>
    </row>
    <row r="181" spans="1:24" x14ac:dyDescent="0.3">
      <c r="A181" s="8" t="str">
        <f t="shared" si="2"/>
        <v>13:55</v>
      </c>
      <c r="B181" s="9">
        <v>44652.579861111102</v>
      </c>
      <c r="C181" s="10">
        <v>3276.3969999999999</v>
      </c>
      <c r="D181" s="10">
        <v>87932000</v>
      </c>
      <c r="E181" s="6"/>
      <c r="N181" s="9">
        <v>44652.579861111102</v>
      </c>
      <c r="O181" s="10">
        <v>12224.3271</v>
      </c>
      <c r="P181" s="10">
        <v>98698600</v>
      </c>
      <c r="Q181" s="6"/>
      <c r="R181" s="9">
        <v>44652.579861111102</v>
      </c>
      <c r="S181" s="10">
        <v>2669.9175</v>
      </c>
      <c r="T181" s="10">
        <v>24236600</v>
      </c>
      <c r="V181" s="9">
        <v>44652.579861111102</v>
      </c>
      <c r="W181" s="10">
        <v>1085.7012999999999</v>
      </c>
      <c r="X181" s="10">
        <v>1732000</v>
      </c>
    </row>
    <row r="182" spans="1:24" x14ac:dyDescent="0.3">
      <c r="A182" s="8" t="str">
        <f t="shared" si="2"/>
        <v>13:56</v>
      </c>
      <c r="B182" s="9">
        <v>44652.5805555556</v>
      </c>
      <c r="C182" s="10">
        <v>3276.8535000000002</v>
      </c>
      <c r="D182" s="10">
        <v>89666500</v>
      </c>
      <c r="E182" s="6"/>
      <c r="N182" s="9">
        <v>44652.5805555556</v>
      </c>
      <c r="O182" s="10">
        <v>12223.249299999999</v>
      </c>
      <c r="P182" s="10">
        <v>97350700</v>
      </c>
      <c r="Q182" s="6"/>
      <c r="R182" s="9">
        <v>44652.5805555556</v>
      </c>
      <c r="S182" s="10">
        <v>2669.1641</v>
      </c>
      <c r="T182" s="10">
        <v>23828100</v>
      </c>
      <c r="V182" s="9">
        <v>44652.5805555556</v>
      </c>
      <c r="W182" s="10">
        <v>1085.5550000000001</v>
      </c>
      <c r="X182" s="10">
        <v>1964000</v>
      </c>
    </row>
    <row r="183" spans="1:24" x14ac:dyDescent="0.3">
      <c r="A183" s="8" t="str">
        <f t="shared" si="2"/>
        <v>13:57</v>
      </c>
      <c r="B183" s="9">
        <v>44652.581250000003</v>
      </c>
      <c r="C183" s="10">
        <v>3278.1215000000002</v>
      </c>
      <c r="D183" s="10">
        <v>89854900</v>
      </c>
      <c r="E183" s="6"/>
      <c r="N183" s="9">
        <v>44652.581250000003</v>
      </c>
      <c r="O183" s="10">
        <v>12229.424999999999</v>
      </c>
      <c r="P183" s="10">
        <v>102001800</v>
      </c>
      <c r="Q183" s="6"/>
      <c r="R183" s="9">
        <v>44652.581250000003</v>
      </c>
      <c r="S183" s="10">
        <v>2671.2318</v>
      </c>
      <c r="T183" s="10">
        <v>24035600</v>
      </c>
      <c r="V183" s="9">
        <v>44652.581250000003</v>
      </c>
      <c r="W183" s="10">
        <v>1085.9512</v>
      </c>
      <c r="X183" s="10">
        <v>2202500</v>
      </c>
    </row>
    <row r="184" spans="1:24" x14ac:dyDescent="0.3">
      <c r="A184" s="8" t="str">
        <f t="shared" si="2"/>
        <v>13:58</v>
      </c>
      <c r="B184" s="9">
        <v>44652.581944444399</v>
      </c>
      <c r="C184" s="10">
        <v>3277.8611000000001</v>
      </c>
      <c r="D184" s="10">
        <v>89241000</v>
      </c>
      <c r="E184" s="6"/>
      <c r="N184" s="9">
        <v>44652.581944444399</v>
      </c>
      <c r="O184" s="10">
        <v>12229.9786</v>
      </c>
      <c r="P184" s="10">
        <v>103453900</v>
      </c>
      <c r="Q184" s="6"/>
      <c r="R184" s="9">
        <v>44652.581944444399</v>
      </c>
      <c r="S184" s="10">
        <v>2672.2296000000001</v>
      </c>
      <c r="T184" s="10">
        <v>27900100</v>
      </c>
      <c r="V184" s="9">
        <v>44652.581944444399</v>
      </c>
      <c r="W184" s="10">
        <v>1085.8380999999999</v>
      </c>
      <c r="X184" s="10">
        <v>1587500</v>
      </c>
    </row>
    <row r="185" spans="1:24" x14ac:dyDescent="0.3">
      <c r="A185" s="8" t="str">
        <f t="shared" si="2"/>
        <v>13:59</v>
      </c>
      <c r="B185" s="9">
        <v>44652.582638888904</v>
      </c>
      <c r="C185" s="10">
        <v>3277.1037000000001</v>
      </c>
      <c r="D185" s="10">
        <v>84954700</v>
      </c>
      <c r="E185" s="6"/>
      <c r="N185" s="9">
        <v>44652.582638888904</v>
      </c>
      <c r="O185" s="10">
        <v>12227.3565</v>
      </c>
      <c r="P185" s="10">
        <v>109422700</v>
      </c>
      <c r="Q185" s="6"/>
      <c r="R185" s="9">
        <v>44652.582638888904</v>
      </c>
      <c r="S185" s="10">
        <v>2671.5326</v>
      </c>
      <c r="T185" s="10">
        <v>25134900</v>
      </c>
      <c r="V185" s="9">
        <v>44652.582638888904</v>
      </c>
      <c r="W185" s="10">
        <v>1085.6670999999999</v>
      </c>
      <c r="X185" s="10">
        <v>1692100</v>
      </c>
    </row>
    <row r="186" spans="1:24" x14ac:dyDescent="0.3">
      <c r="A186" s="8" t="str">
        <f t="shared" si="2"/>
        <v>14:00</v>
      </c>
      <c r="B186" s="9">
        <v>44652.583333333299</v>
      </c>
      <c r="C186" s="10">
        <v>3275.7058000000002</v>
      </c>
      <c r="D186" s="10">
        <v>108112800</v>
      </c>
      <c r="E186" s="6"/>
      <c r="N186" s="9">
        <v>44652.583333333299</v>
      </c>
      <c r="O186" s="10">
        <v>12218.2294</v>
      </c>
      <c r="P186" s="10">
        <v>134392800</v>
      </c>
      <c r="Q186" s="6"/>
      <c r="R186" s="9">
        <v>44652.583333333299</v>
      </c>
      <c r="S186" s="10">
        <v>2669.3141999999998</v>
      </c>
      <c r="T186" s="10">
        <v>35763300</v>
      </c>
      <c r="V186" s="9">
        <v>44652.583333333299</v>
      </c>
      <c r="W186" s="10">
        <v>1084.6578999999999</v>
      </c>
      <c r="X186" s="10">
        <v>2756400</v>
      </c>
    </row>
    <row r="187" spans="1:24" x14ac:dyDescent="0.3">
      <c r="A187" s="8" t="str">
        <f t="shared" si="2"/>
        <v>14:01</v>
      </c>
      <c r="B187" s="9">
        <v>44652.584027777797</v>
      </c>
      <c r="C187" s="10">
        <v>3273.5563999999999</v>
      </c>
      <c r="D187" s="10">
        <v>112614000</v>
      </c>
      <c r="E187" s="6"/>
      <c r="N187" s="9">
        <v>44652.584027777797</v>
      </c>
      <c r="O187" s="10">
        <v>12210.2418</v>
      </c>
      <c r="P187" s="10">
        <v>126484800</v>
      </c>
      <c r="Q187" s="6"/>
      <c r="R187" s="9">
        <v>44652.584027777797</v>
      </c>
      <c r="S187" s="10">
        <v>2667.5104999999999</v>
      </c>
      <c r="T187" s="10">
        <v>32762200</v>
      </c>
      <c r="V187" s="9">
        <v>44652.584027777797</v>
      </c>
      <c r="W187" s="10">
        <v>1084.7448999999999</v>
      </c>
      <c r="X187" s="10">
        <v>1979800</v>
      </c>
    </row>
    <row r="188" spans="1:24" x14ac:dyDescent="0.3">
      <c r="A188" s="8" t="str">
        <f t="shared" si="2"/>
        <v>14:02</v>
      </c>
      <c r="B188" s="9">
        <v>44652.5847222222</v>
      </c>
      <c r="C188" s="10">
        <v>3274.8973999999998</v>
      </c>
      <c r="D188" s="10">
        <v>80092500</v>
      </c>
      <c r="E188" s="6"/>
      <c r="N188" s="9">
        <v>44652.5847222222</v>
      </c>
      <c r="O188" s="10">
        <v>12214.6206</v>
      </c>
      <c r="P188" s="10">
        <v>116911400</v>
      </c>
      <c r="Q188" s="6"/>
      <c r="R188" s="9">
        <v>44652.5847222222</v>
      </c>
      <c r="S188" s="10">
        <v>2668.7995999999998</v>
      </c>
      <c r="T188" s="10">
        <v>33661900</v>
      </c>
      <c r="V188" s="9">
        <v>44652.5847222222</v>
      </c>
      <c r="W188" s="10">
        <v>1085.6641</v>
      </c>
      <c r="X188" s="10">
        <v>1972000</v>
      </c>
    </row>
    <row r="189" spans="1:24" x14ac:dyDescent="0.3">
      <c r="A189" s="8" t="str">
        <f t="shared" si="2"/>
        <v>14:03</v>
      </c>
      <c r="B189" s="9">
        <v>44652.585416666698</v>
      </c>
      <c r="C189" s="10">
        <v>3275.0877</v>
      </c>
      <c r="D189" s="10">
        <v>79975500</v>
      </c>
      <c r="E189" s="6"/>
      <c r="N189" s="9">
        <v>44652.585416666698</v>
      </c>
      <c r="O189" s="10">
        <v>12215.727999999999</v>
      </c>
      <c r="P189" s="10">
        <v>100759700</v>
      </c>
      <c r="Q189" s="6"/>
      <c r="R189" s="9">
        <v>44652.585416666698</v>
      </c>
      <c r="S189" s="10">
        <v>2669.0531999999998</v>
      </c>
      <c r="T189" s="10">
        <v>31761700</v>
      </c>
      <c r="V189" s="9">
        <v>44652.585416666698</v>
      </c>
      <c r="W189" s="10">
        <v>1085.7420999999999</v>
      </c>
      <c r="X189" s="10">
        <v>1599500</v>
      </c>
    </row>
    <row r="190" spans="1:24" x14ac:dyDescent="0.3">
      <c r="A190" s="8" t="str">
        <f t="shared" si="2"/>
        <v>14:04</v>
      </c>
      <c r="B190" s="9">
        <v>44652.586111111101</v>
      </c>
      <c r="C190" s="10">
        <v>3276.6518000000001</v>
      </c>
      <c r="D190" s="10">
        <v>83515100</v>
      </c>
      <c r="E190" s="6"/>
      <c r="N190" s="9">
        <v>44652.586111111101</v>
      </c>
      <c r="O190" s="10">
        <v>12221.1854</v>
      </c>
      <c r="P190" s="10">
        <v>101509700</v>
      </c>
      <c r="Q190" s="6"/>
      <c r="R190" s="9">
        <v>44652.586111111101</v>
      </c>
      <c r="S190" s="10">
        <v>2670.9007000000001</v>
      </c>
      <c r="T190" s="10">
        <v>30481900</v>
      </c>
      <c r="V190" s="9">
        <v>44652.586111111101</v>
      </c>
      <c r="W190" s="10">
        <v>1086.5019</v>
      </c>
      <c r="X190" s="10">
        <v>1606200</v>
      </c>
    </row>
    <row r="191" spans="1:24" x14ac:dyDescent="0.3">
      <c r="A191" s="8"/>
      <c r="B191" s="9">
        <v>44652.586805555598</v>
      </c>
      <c r="C191" s="10">
        <v>3278.3737999999998</v>
      </c>
      <c r="D191" s="10">
        <v>104487600</v>
      </c>
      <c r="E191" s="6"/>
      <c r="N191" s="9">
        <v>44652.586805555598</v>
      </c>
      <c r="O191" s="10">
        <v>12226.180700000001</v>
      </c>
      <c r="P191" s="10">
        <v>110455700</v>
      </c>
      <c r="Q191" s="6"/>
      <c r="R191" s="9">
        <v>44652.586805555598</v>
      </c>
      <c r="S191" s="10">
        <v>2672.1842000000001</v>
      </c>
      <c r="T191" s="10">
        <v>34677000</v>
      </c>
      <c r="V191" s="9">
        <v>44652.586805555598</v>
      </c>
      <c r="W191" s="10">
        <v>1086.3479</v>
      </c>
      <c r="X191" s="10">
        <v>2074900</v>
      </c>
    </row>
    <row r="192" spans="1:24" x14ac:dyDescent="0.3">
      <c r="A192" s="8"/>
      <c r="B192" s="9">
        <v>44652.587500000001</v>
      </c>
      <c r="C192" s="10">
        <v>3280.6089000000002</v>
      </c>
      <c r="D192" s="10">
        <v>170101100</v>
      </c>
      <c r="E192" s="6"/>
      <c r="N192" s="9">
        <v>44652.587500000001</v>
      </c>
      <c r="O192" s="10">
        <v>12238.702499999999</v>
      </c>
      <c r="P192" s="10">
        <v>172513800</v>
      </c>
      <c r="Q192" s="6"/>
      <c r="R192" s="9">
        <v>44652.587500000001</v>
      </c>
      <c r="S192" s="10">
        <v>2674.3897000000002</v>
      </c>
      <c r="T192" s="10">
        <v>38994400</v>
      </c>
      <c r="V192" s="9">
        <v>44652.587500000001</v>
      </c>
      <c r="W192" s="10">
        <v>1087.5482999999999</v>
      </c>
      <c r="X192" s="10">
        <v>2721500</v>
      </c>
    </row>
    <row r="193" spans="1:24" x14ac:dyDescent="0.3">
      <c r="A193" s="8"/>
      <c r="B193" s="9">
        <v>44652.588194444397</v>
      </c>
      <c r="C193" s="10">
        <v>3280.8724999999999</v>
      </c>
      <c r="D193" s="10">
        <v>95107200</v>
      </c>
      <c r="E193" s="6"/>
      <c r="N193" s="9">
        <v>44652.588194444397</v>
      </c>
      <c r="O193" s="10">
        <v>12237.962100000001</v>
      </c>
      <c r="P193" s="10">
        <v>105275300</v>
      </c>
      <c r="Q193" s="6"/>
      <c r="R193" s="9">
        <v>44652.588194444397</v>
      </c>
      <c r="S193" s="10">
        <v>2674.8667</v>
      </c>
      <c r="T193" s="10">
        <v>29846200</v>
      </c>
      <c r="V193" s="9">
        <v>44652.588194444397</v>
      </c>
      <c r="W193" s="10">
        <v>1087.9237000000001</v>
      </c>
      <c r="X193" s="10">
        <v>1557900</v>
      </c>
    </row>
    <row r="194" spans="1:24" x14ac:dyDescent="0.3">
      <c r="A194" s="8"/>
      <c r="B194" s="9">
        <v>44652.588888888902</v>
      </c>
      <c r="C194" s="10">
        <v>3280.6208999999999</v>
      </c>
      <c r="D194" s="10">
        <v>85855200</v>
      </c>
      <c r="E194" s="6"/>
      <c r="N194" s="9">
        <v>44652.588888888902</v>
      </c>
      <c r="O194" s="10">
        <v>12234.5293</v>
      </c>
      <c r="P194" s="10">
        <v>100269800</v>
      </c>
      <c r="Q194" s="6"/>
      <c r="R194" s="9">
        <v>44652.588888888902</v>
      </c>
      <c r="S194" s="10">
        <v>2673.8254999999999</v>
      </c>
      <c r="T194" s="10">
        <v>29359600</v>
      </c>
      <c r="V194" s="9">
        <v>44652.588888888902</v>
      </c>
      <c r="W194" s="10">
        <v>1087.3023000000001</v>
      </c>
      <c r="X194" s="10">
        <v>1702900</v>
      </c>
    </row>
    <row r="195" spans="1:24" x14ac:dyDescent="0.3">
      <c r="A195" s="8"/>
      <c r="B195" s="9">
        <v>44652.589583333298</v>
      </c>
      <c r="C195" s="10">
        <v>3280.3561</v>
      </c>
      <c r="D195" s="10">
        <v>81544300</v>
      </c>
      <c r="E195" s="6"/>
      <c r="N195" s="9">
        <v>44652.589583333298</v>
      </c>
      <c r="O195" s="10">
        <v>12237.3688</v>
      </c>
      <c r="P195" s="10">
        <v>93285000</v>
      </c>
      <c r="Q195" s="6"/>
      <c r="R195" s="9">
        <v>44652.589583333298</v>
      </c>
      <c r="S195" s="10">
        <v>2674.5057999999999</v>
      </c>
      <c r="T195" s="10">
        <v>25467800</v>
      </c>
      <c r="V195" s="9">
        <v>44652.589583333298</v>
      </c>
      <c r="W195" s="10">
        <v>1087.106</v>
      </c>
      <c r="X195" s="10">
        <v>1435700</v>
      </c>
    </row>
    <row r="196" spans="1:24" x14ac:dyDescent="0.3">
      <c r="A196" s="8"/>
      <c r="B196" s="9">
        <v>44652.590277777803</v>
      </c>
      <c r="C196" s="10">
        <v>3279.0515999999998</v>
      </c>
      <c r="D196" s="10">
        <v>86221700</v>
      </c>
      <c r="E196" s="6"/>
      <c r="N196" s="9">
        <v>44652.590277777803</v>
      </c>
      <c r="O196" s="10">
        <v>12232.3714</v>
      </c>
      <c r="P196" s="10">
        <v>99489500</v>
      </c>
      <c r="Q196" s="6"/>
      <c r="R196" s="9">
        <v>44652.590277777803</v>
      </c>
      <c r="S196" s="10">
        <v>2672.9884000000002</v>
      </c>
      <c r="T196" s="10">
        <v>26157900</v>
      </c>
      <c r="V196" s="9">
        <v>44652.590277777803</v>
      </c>
      <c r="W196" s="10">
        <v>1086.8849</v>
      </c>
      <c r="X196" s="10">
        <v>2238100</v>
      </c>
    </row>
    <row r="197" spans="1:24" x14ac:dyDescent="0.3">
      <c r="A197" s="8"/>
      <c r="B197" s="9">
        <v>44652.590972222199</v>
      </c>
      <c r="C197" s="10">
        <v>3278.6871000000001</v>
      </c>
      <c r="D197" s="10">
        <v>84960700</v>
      </c>
      <c r="E197" s="6"/>
      <c r="N197" s="9">
        <v>44652.590972222199</v>
      </c>
      <c r="O197" s="10">
        <v>12230.747499999999</v>
      </c>
      <c r="P197" s="10">
        <v>95227200</v>
      </c>
      <c r="Q197" s="6"/>
      <c r="R197" s="9">
        <v>44652.590972222199</v>
      </c>
      <c r="S197" s="10">
        <v>2673.0720999999999</v>
      </c>
      <c r="T197" s="10">
        <v>27660400</v>
      </c>
      <c r="V197" s="9">
        <v>44652.590972222199</v>
      </c>
      <c r="W197" s="10">
        <v>1086.6795</v>
      </c>
      <c r="X197" s="10">
        <v>2056700</v>
      </c>
    </row>
    <row r="198" spans="1:24" x14ac:dyDescent="0.3">
      <c r="A198" s="8"/>
      <c r="B198" s="9">
        <v>44652.591666666704</v>
      </c>
      <c r="C198" s="10">
        <v>3279.0115000000001</v>
      </c>
      <c r="D198" s="10">
        <v>96555100</v>
      </c>
      <c r="E198" s="6"/>
      <c r="N198" s="9">
        <v>44652.591666666704</v>
      </c>
      <c r="O198" s="10">
        <v>12230.9684</v>
      </c>
      <c r="P198" s="10">
        <v>96532900</v>
      </c>
      <c r="Q198" s="6"/>
      <c r="R198" s="9">
        <v>44652.591666666704</v>
      </c>
      <c r="S198" s="10">
        <v>2672.5635000000002</v>
      </c>
      <c r="T198" s="10">
        <v>24566800</v>
      </c>
      <c r="V198" s="9">
        <v>44652.591666666704</v>
      </c>
      <c r="W198" s="10">
        <v>1086.7737999999999</v>
      </c>
      <c r="X198" s="10">
        <v>1931400</v>
      </c>
    </row>
    <row r="199" spans="1:24" x14ac:dyDescent="0.3">
      <c r="A199" s="8"/>
      <c r="B199" s="9">
        <v>44652.592361111099</v>
      </c>
      <c r="C199" s="10">
        <v>3279.8895000000002</v>
      </c>
      <c r="D199" s="10">
        <v>94814900</v>
      </c>
      <c r="E199" s="6"/>
      <c r="N199" s="9">
        <v>44652.592361111099</v>
      </c>
      <c r="O199" s="10">
        <v>12228.4548</v>
      </c>
      <c r="P199" s="10">
        <v>100960300</v>
      </c>
      <c r="Q199" s="6"/>
      <c r="R199" s="9">
        <v>44652.592361111099</v>
      </c>
      <c r="S199" s="10">
        <v>2670.8748999999998</v>
      </c>
      <c r="T199" s="10">
        <v>24767600</v>
      </c>
      <c r="V199" s="9">
        <v>44652.592361111099</v>
      </c>
      <c r="W199" s="10">
        <v>1086.8829000000001</v>
      </c>
      <c r="X199" s="10">
        <v>2023500</v>
      </c>
    </row>
    <row r="200" spans="1:24" x14ac:dyDescent="0.3">
      <c r="A200" s="8"/>
      <c r="B200" s="9">
        <v>44652.593055555597</v>
      </c>
      <c r="C200" s="10">
        <v>3280.1714000000002</v>
      </c>
      <c r="D200" s="10">
        <v>101156900</v>
      </c>
      <c r="E200" s="6"/>
      <c r="N200" s="9">
        <v>44652.593055555597</v>
      </c>
      <c r="O200" s="10">
        <v>12232.3069</v>
      </c>
      <c r="P200" s="10">
        <v>103395200</v>
      </c>
      <c r="Q200" s="6"/>
      <c r="R200" s="9">
        <v>44652.593055555597</v>
      </c>
      <c r="S200" s="10">
        <v>2671.9385000000002</v>
      </c>
      <c r="T200" s="10">
        <v>26378800</v>
      </c>
      <c r="V200" s="9">
        <v>44652.593055555597</v>
      </c>
      <c r="W200" s="10">
        <v>1086.7840000000001</v>
      </c>
      <c r="X200" s="10">
        <v>1836300</v>
      </c>
    </row>
    <row r="201" spans="1:24" x14ac:dyDescent="0.3">
      <c r="A201" s="8"/>
      <c r="B201" s="9">
        <v>44652.59375</v>
      </c>
      <c r="C201" s="10">
        <v>3279.627</v>
      </c>
      <c r="D201" s="10">
        <v>96565800</v>
      </c>
      <c r="E201" s="6"/>
      <c r="N201" s="9">
        <v>44652.59375</v>
      </c>
      <c r="O201" s="10">
        <v>12228.153</v>
      </c>
      <c r="P201" s="10">
        <v>110516200</v>
      </c>
      <c r="Q201" s="6"/>
      <c r="R201" s="9">
        <v>44652.59375</v>
      </c>
      <c r="S201" s="10">
        <v>2670.739</v>
      </c>
      <c r="T201" s="10">
        <v>27885100</v>
      </c>
      <c r="V201" s="9">
        <v>44652.59375</v>
      </c>
      <c r="W201" s="10">
        <v>1086.3476000000001</v>
      </c>
      <c r="X201" s="10">
        <v>2004100</v>
      </c>
    </row>
    <row r="202" spans="1:24" x14ac:dyDescent="0.3">
      <c r="A202" s="8"/>
      <c r="B202" s="9">
        <v>44652.594444444403</v>
      </c>
      <c r="C202" s="10">
        <v>3279.1188999999999</v>
      </c>
      <c r="D202" s="10">
        <v>100122700</v>
      </c>
      <c r="E202" s="6"/>
      <c r="N202" s="9">
        <v>44652.594444444403</v>
      </c>
      <c r="O202" s="10">
        <v>12226.2384</v>
      </c>
      <c r="P202" s="10">
        <v>119429900</v>
      </c>
      <c r="Q202" s="6"/>
      <c r="R202" s="9">
        <v>44652.594444444403</v>
      </c>
      <c r="S202" s="10">
        <v>2670.0299</v>
      </c>
      <c r="T202" s="10">
        <v>30037300</v>
      </c>
      <c r="V202" s="9">
        <v>44652.594444444403</v>
      </c>
      <c r="W202" s="10">
        <v>1086.0159000000001</v>
      </c>
      <c r="X202" s="10">
        <v>1898300</v>
      </c>
    </row>
    <row r="203" spans="1:24" x14ac:dyDescent="0.3">
      <c r="A203" s="8"/>
      <c r="B203" s="9">
        <v>44652.595138888901</v>
      </c>
      <c r="C203" s="10">
        <v>3278.0574000000001</v>
      </c>
      <c r="D203" s="10">
        <v>93695900</v>
      </c>
      <c r="E203" s="6"/>
      <c r="N203" s="9">
        <v>44652.595138888901</v>
      </c>
      <c r="O203" s="10">
        <v>12222.773499999999</v>
      </c>
      <c r="P203" s="10">
        <v>120534000</v>
      </c>
      <c r="Q203" s="6"/>
      <c r="R203" s="9">
        <v>44652.595138888901</v>
      </c>
      <c r="S203" s="10">
        <v>2669.0279999999998</v>
      </c>
      <c r="T203" s="10">
        <v>36399000</v>
      </c>
      <c r="V203" s="9">
        <v>44652.595138888901</v>
      </c>
      <c r="W203" s="10">
        <v>1085.4938999999999</v>
      </c>
      <c r="X203" s="10">
        <v>1941900</v>
      </c>
    </row>
    <row r="204" spans="1:24" x14ac:dyDescent="0.3">
      <c r="A204" s="8"/>
      <c r="B204" s="9">
        <v>44652.595833333296</v>
      </c>
      <c r="C204" s="10">
        <v>3278.9119999999998</v>
      </c>
      <c r="D204" s="10">
        <v>100454500</v>
      </c>
      <c r="E204" s="6"/>
      <c r="N204" s="9">
        <v>44652.595833333296</v>
      </c>
      <c r="O204" s="10">
        <v>12223.3356</v>
      </c>
      <c r="P204" s="10">
        <v>114216100</v>
      </c>
      <c r="Q204" s="6"/>
      <c r="R204" s="9">
        <v>44652.595833333296</v>
      </c>
      <c r="S204" s="10">
        <v>2669.2752999999998</v>
      </c>
      <c r="T204" s="10">
        <v>33120800</v>
      </c>
      <c r="V204" s="9">
        <v>44652.595833333296</v>
      </c>
      <c r="W204" s="10">
        <v>1085.797</v>
      </c>
      <c r="X204" s="10">
        <v>1987700</v>
      </c>
    </row>
    <row r="205" spans="1:24" x14ac:dyDescent="0.3">
      <c r="A205" s="8"/>
      <c r="B205" s="9">
        <v>44652.596527777801</v>
      </c>
      <c r="C205" s="10">
        <v>3278.7547</v>
      </c>
      <c r="D205" s="10">
        <v>98090300</v>
      </c>
      <c r="E205" s="6"/>
      <c r="N205" s="9">
        <v>44652.596527777801</v>
      </c>
      <c r="O205" s="10">
        <v>12223.251</v>
      </c>
      <c r="P205" s="10">
        <v>111179100</v>
      </c>
      <c r="Q205" s="6"/>
      <c r="R205" s="9">
        <v>44652.596527777801</v>
      </c>
      <c r="S205" s="10">
        <v>2668.6803</v>
      </c>
      <c r="T205" s="10">
        <v>33904800</v>
      </c>
      <c r="V205" s="9">
        <v>44652.596527777801</v>
      </c>
      <c r="W205" s="10">
        <v>1085.5011</v>
      </c>
      <c r="X205" s="10">
        <v>1820300</v>
      </c>
    </row>
    <row r="206" spans="1:24" x14ac:dyDescent="0.3">
      <c r="A206" s="8"/>
      <c r="B206" s="9">
        <v>44652.597222222197</v>
      </c>
      <c r="C206" s="10">
        <v>3279.0628000000002</v>
      </c>
      <c r="D206" s="10">
        <v>96527400</v>
      </c>
      <c r="E206" s="6"/>
      <c r="N206" s="9">
        <v>44652.597222222197</v>
      </c>
      <c r="O206" s="10">
        <v>12224.688200000001</v>
      </c>
      <c r="P206" s="10">
        <v>121312800</v>
      </c>
      <c r="Q206" s="6"/>
      <c r="R206" s="9">
        <v>44652.597222222197</v>
      </c>
      <c r="S206" s="10">
        <v>2669.0052999999998</v>
      </c>
      <c r="T206" s="10">
        <v>31593800</v>
      </c>
      <c r="V206" s="9">
        <v>44652.597222222197</v>
      </c>
      <c r="W206" s="10">
        <v>1085.9282000000001</v>
      </c>
      <c r="X206" s="10">
        <v>2007000</v>
      </c>
    </row>
    <row r="207" spans="1:24" x14ac:dyDescent="0.3">
      <c r="A207" s="8"/>
      <c r="B207" s="9">
        <v>44652.597916666702</v>
      </c>
      <c r="C207" s="10">
        <v>3279.4857999999999</v>
      </c>
      <c r="D207" s="10">
        <v>100886900</v>
      </c>
      <c r="E207" s="6"/>
      <c r="N207" s="9">
        <v>44652.597916666702</v>
      </c>
      <c r="O207" s="10">
        <v>12228.578600000001</v>
      </c>
      <c r="P207" s="10">
        <v>117750200</v>
      </c>
      <c r="Q207" s="6"/>
      <c r="R207" s="9">
        <v>44652.597916666702</v>
      </c>
      <c r="S207" s="10">
        <v>2670.0927000000001</v>
      </c>
      <c r="T207" s="10">
        <v>27384700</v>
      </c>
      <c r="V207" s="9">
        <v>44652.597916666702</v>
      </c>
      <c r="W207" s="10">
        <v>1086.2986000000001</v>
      </c>
      <c r="X207" s="10">
        <v>2066800</v>
      </c>
    </row>
    <row r="208" spans="1:24" x14ac:dyDescent="0.3">
      <c r="A208" s="8"/>
      <c r="B208" s="9">
        <v>44652.598611111098</v>
      </c>
      <c r="C208" s="10">
        <v>3278.9551999999999</v>
      </c>
      <c r="D208" s="10">
        <v>106778000</v>
      </c>
      <c r="E208" s="6"/>
      <c r="N208" s="9">
        <v>44652.598611111098</v>
      </c>
      <c r="O208" s="10">
        <v>12228.7934</v>
      </c>
      <c r="P208" s="10">
        <v>112757000</v>
      </c>
      <c r="Q208" s="6"/>
      <c r="R208" s="9">
        <v>44652.598611111098</v>
      </c>
      <c r="S208" s="10">
        <v>2670.3069</v>
      </c>
      <c r="T208" s="10">
        <v>26736600</v>
      </c>
      <c r="V208" s="9">
        <v>44652.598611111098</v>
      </c>
      <c r="W208" s="10">
        <v>1086.1531</v>
      </c>
      <c r="X208" s="10">
        <v>1686900</v>
      </c>
    </row>
    <row r="209" spans="1:24" x14ac:dyDescent="0.3">
      <c r="A209" s="8"/>
      <c r="B209" s="9">
        <v>44652.599305555603</v>
      </c>
      <c r="C209" s="10">
        <v>3279.3733000000002</v>
      </c>
      <c r="D209" s="10">
        <v>116559700</v>
      </c>
      <c r="E209" s="6"/>
      <c r="N209" s="9">
        <v>44652.599305555603</v>
      </c>
      <c r="O209" s="10">
        <v>12230.2153</v>
      </c>
      <c r="P209" s="10">
        <v>124921200</v>
      </c>
      <c r="Q209" s="6"/>
      <c r="R209" s="9">
        <v>44652.599305555603</v>
      </c>
      <c r="S209" s="10">
        <v>2670.3996999999999</v>
      </c>
      <c r="T209" s="10">
        <v>27048800</v>
      </c>
      <c r="V209" s="9">
        <v>44652.599305555603</v>
      </c>
      <c r="W209" s="10">
        <v>1086.2808</v>
      </c>
      <c r="X209" s="10">
        <v>1751000</v>
      </c>
    </row>
    <row r="210" spans="1:24" x14ac:dyDescent="0.3">
      <c r="A210" s="8"/>
      <c r="B210" s="9">
        <v>44652.6</v>
      </c>
      <c r="C210" s="10">
        <v>3280.4068000000002</v>
      </c>
      <c r="D210" s="10">
        <v>129506100</v>
      </c>
      <c r="E210" s="6"/>
      <c r="N210" s="9">
        <v>44652.6</v>
      </c>
      <c r="O210" s="10">
        <v>12232.8249</v>
      </c>
      <c r="P210" s="10">
        <v>132476100</v>
      </c>
      <c r="Q210" s="6"/>
      <c r="R210" s="9">
        <v>44652.6</v>
      </c>
      <c r="S210" s="10">
        <v>2670.6783</v>
      </c>
      <c r="T210" s="10">
        <v>29213700</v>
      </c>
      <c r="V210" s="9">
        <v>44652.6</v>
      </c>
      <c r="W210" s="10">
        <v>1086.8369</v>
      </c>
      <c r="X210" s="10">
        <v>1961500</v>
      </c>
    </row>
    <row r="211" spans="1:24" x14ac:dyDescent="0.3">
      <c r="A211" s="8"/>
      <c r="B211" s="9">
        <v>44652.600694444402</v>
      </c>
      <c r="C211" s="10">
        <v>3280.3969000000002</v>
      </c>
      <c r="D211" s="10">
        <v>124805300</v>
      </c>
      <c r="E211" s="6"/>
      <c r="N211" s="9">
        <v>44652.600694444402</v>
      </c>
      <c r="O211" s="10">
        <v>12234.813200000001</v>
      </c>
      <c r="P211" s="10">
        <v>142522100</v>
      </c>
      <c r="Q211" s="6"/>
      <c r="R211" s="9">
        <v>44652.600694444402</v>
      </c>
      <c r="S211" s="10">
        <v>2670.7909</v>
      </c>
      <c r="T211" s="10">
        <v>32237700</v>
      </c>
      <c r="V211" s="9">
        <v>44652.600694444402</v>
      </c>
      <c r="W211" s="10">
        <v>1086.7049</v>
      </c>
      <c r="X211" s="10">
        <v>1842000</v>
      </c>
    </row>
    <row r="212" spans="1:24" x14ac:dyDescent="0.3">
      <c r="A212" s="8"/>
      <c r="B212" s="9">
        <v>44652.601388888899</v>
      </c>
      <c r="C212" s="10">
        <v>3281.6466999999998</v>
      </c>
      <c r="D212" s="10">
        <v>121324000</v>
      </c>
      <c r="E212" s="6"/>
      <c r="N212" s="9">
        <v>44652.601388888899</v>
      </c>
      <c r="O212" s="10">
        <v>12238.367200000001</v>
      </c>
      <c r="P212" s="10">
        <v>125563000</v>
      </c>
      <c r="Q212" s="6"/>
      <c r="R212" s="9">
        <v>44652.601388888899</v>
      </c>
      <c r="S212" s="10">
        <v>2671.4481999999998</v>
      </c>
      <c r="T212" s="10">
        <v>28665700</v>
      </c>
      <c r="V212" s="9">
        <v>44652.601388888899</v>
      </c>
      <c r="W212" s="10">
        <v>1087.3207</v>
      </c>
      <c r="X212" s="10">
        <v>2619900</v>
      </c>
    </row>
    <row r="213" spans="1:24" x14ac:dyDescent="0.3">
      <c r="A213" s="8"/>
      <c r="B213" s="9">
        <v>44652.602083333302</v>
      </c>
      <c r="C213" s="10">
        <v>3281.9285</v>
      </c>
      <c r="D213" s="10">
        <v>116059100</v>
      </c>
      <c r="E213" s="6"/>
      <c r="N213" s="9">
        <v>44652.602083333302</v>
      </c>
      <c r="O213" s="10">
        <v>12236.951800000001</v>
      </c>
      <c r="P213" s="10">
        <v>132250200</v>
      </c>
      <c r="Q213" s="6"/>
      <c r="R213" s="9">
        <v>44652.602083333302</v>
      </c>
      <c r="S213" s="10">
        <v>2670.4811</v>
      </c>
      <c r="T213" s="10">
        <v>30810500</v>
      </c>
      <c r="V213" s="9">
        <v>44652.602083333302</v>
      </c>
      <c r="W213" s="10">
        <v>1086.9576999999999</v>
      </c>
      <c r="X213" s="10">
        <v>1882000</v>
      </c>
    </row>
    <row r="214" spans="1:24" x14ac:dyDescent="0.3">
      <c r="A214" s="8"/>
      <c r="B214" s="9">
        <v>44652.6027777778</v>
      </c>
      <c r="C214" s="10">
        <v>3281.0735</v>
      </c>
      <c r="D214" s="10">
        <v>134793000</v>
      </c>
      <c r="E214" s="6"/>
      <c r="N214" s="9">
        <v>44652.6027777778</v>
      </c>
      <c r="O214" s="10">
        <v>12233.5005</v>
      </c>
      <c r="P214" s="10">
        <v>135587100</v>
      </c>
      <c r="Q214" s="6"/>
      <c r="R214" s="9">
        <v>44652.6027777778</v>
      </c>
      <c r="S214" s="10">
        <v>2669.5311999999999</v>
      </c>
      <c r="T214" s="10">
        <v>31150000</v>
      </c>
      <c r="V214" s="9">
        <v>44652.6027777778</v>
      </c>
      <c r="W214" s="10">
        <v>1086.5401999999999</v>
      </c>
      <c r="X214" s="10">
        <v>2061400</v>
      </c>
    </row>
    <row r="215" spans="1:24" x14ac:dyDescent="0.3">
      <c r="A215" s="8"/>
      <c r="B215" s="9">
        <v>44652.603472222203</v>
      </c>
      <c r="C215" s="10">
        <v>3280.0205999999998</v>
      </c>
      <c r="D215" s="10">
        <v>109073000</v>
      </c>
      <c r="E215" s="6"/>
      <c r="N215" s="9">
        <v>44652.603472222203</v>
      </c>
      <c r="O215" s="10">
        <v>12231.3627</v>
      </c>
      <c r="P215" s="10">
        <v>132804700</v>
      </c>
      <c r="Q215" s="6"/>
      <c r="R215" s="9">
        <v>44652.603472222203</v>
      </c>
      <c r="S215" s="10">
        <v>2668.4639000000002</v>
      </c>
      <c r="T215" s="10">
        <v>30525900</v>
      </c>
      <c r="V215" s="9">
        <v>44652.603472222203</v>
      </c>
      <c r="W215" s="10">
        <v>1086.3576</v>
      </c>
      <c r="X215" s="10">
        <v>1862100</v>
      </c>
    </row>
    <row r="216" spans="1:24" x14ac:dyDescent="0.3">
      <c r="A216" s="8"/>
      <c r="B216" s="9">
        <v>44652.604166666701</v>
      </c>
      <c r="C216" s="10">
        <v>3279.6441</v>
      </c>
      <c r="D216" s="10">
        <v>140047100</v>
      </c>
      <c r="E216" s="6"/>
      <c r="N216" s="9">
        <v>44652.604166666701</v>
      </c>
      <c r="O216" s="10">
        <v>12225.5574</v>
      </c>
      <c r="P216" s="10">
        <v>139651200</v>
      </c>
      <c r="Q216" s="6"/>
      <c r="R216" s="9">
        <v>44652.604166666701</v>
      </c>
      <c r="S216" s="10">
        <v>2667.3856999999998</v>
      </c>
      <c r="T216" s="10">
        <v>36239700</v>
      </c>
      <c r="V216" s="9">
        <v>44652.604166666701</v>
      </c>
      <c r="W216" s="10">
        <v>1086.1509000000001</v>
      </c>
      <c r="X216" s="10">
        <v>3624300</v>
      </c>
    </row>
    <row r="217" spans="1:24" x14ac:dyDescent="0.3">
      <c r="A217" s="8"/>
      <c r="B217" s="9">
        <v>44652.604861111096</v>
      </c>
      <c r="C217" s="10">
        <v>3278.2656999999999</v>
      </c>
      <c r="D217" s="10">
        <v>99150200</v>
      </c>
      <c r="E217" s="6"/>
      <c r="N217" s="9">
        <v>44652.604861111096</v>
      </c>
      <c r="O217" s="10">
        <v>12221.0519</v>
      </c>
      <c r="P217" s="10">
        <v>136133100</v>
      </c>
      <c r="Q217" s="6"/>
      <c r="R217" s="9">
        <v>44652.604861111096</v>
      </c>
      <c r="S217" s="10">
        <v>2666.2640999999999</v>
      </c>
      <c r="T217" s="10">
        <v>35481600</v>
      </c>
      <c r="V217" s="9">
        <v>44652.604861111096</v>
      </c>
      <c r="W217" s="10">
        <v>1085.7331999999999</v>
      </c>
      <c r="X217" s="10">
        <v>2472400</v>
      </c>
    </row>
    <row r="218" spans="1:24" x14ac:dyDescent="0.3">
      <c r="A218" s="8"/>
      <c r="B218" s="9">
        <v>44652.605555555601</v>
      </c>
      <c r="C218" s="10">
        <v>3278.3009000000002</v>
      </c>
      <c r="D218" s="10">
        <v>123525800</v>
      </c>
      <c r="E218" s="6"/>
      <c r="N218" s="9">
        <v>44652.605555555601</v>
      </c>
      <c r="O218" s="10">
        <v>12218.6486</v>
      </c>
      <c r="P218" s="10">
        <v>131798500</v>
      </c>
      <c r="Q218" s="6"/>
      <c r="R218" s="9">
        <v>44652.605555555601</v>
      </c>
      <c r="S218" s="10">
        <v>2665.5531000000001</v>
      </c>
      <c r="T218" s="10">
        <v>37170000</v>
      </c>
      <c r="V218" s="9">
        <v>44652.605555555601</v>
      </c>
      <c r="W218" s="10">
        <v>1086.1146000000001</v>
      </c>
      <c r="X218" s="10">
        <v>2549200</v>
      </c>
    </row>
    <row r="219" spans="1:24" x14ac:dyDescent="0.3">
      <c r="A219" s="8"/>
      <c r="B219" s="9">
        <v>44652.606249999997</v>
      </c>
      <c r="C219" s="10">
        <v>3277.7782999999999</v>
      </c>
      <c r="D219" s="10">
        <v>108995700</v>
      </c>
      <c r="E219" s="6"/>
      <c r="N219" s="9">
        <v>44652.606249999997</v>
      </c>
      <c r="O219" s="10">
        <v>12220.0085</v>
      </c>
      <c r="P219" s="10">
        <v>132652200</v>
      </c>
      <c r="Q219" s="6"/>
      <c r="R219" s="9">
        <v>44652.606249999997</v>
      </c>
      <c r="S219" s="10">
        <v>2665.9490999999998</v>
      </c>
      <c r="T219" s="10">
        <v>36969300</v>
      </c>
      <c r="V219" s="9">
        <v>44652.606249999997</v>
      </c>
      <c r="W219" s="10">
        <v>1086.0654999999999</v>
      </c>
      <c r="X219" s="10">
        <v>2733700</v>
      </c>
    </row>
    <row r="220" spans="1:24" x14ac:dyDescent="0.3">
      <c r="A220" s="8"/>
      <c r="B220" s="9">
        <v>44652.6069444444</v>
      </c>
      <c r="C220" s="10">
        <v>3277.2864</v>
      </c>
      <c r="D220" s="10">
        <v>98468400</v>
      </c>
      <c r="E220" s="6"/>
      <c r="N220" s="9">
        <v>44652.6069444444</v>
      </c>
      <c r="O220" s="10">
        <v>12217.927600000001</v>
      </c>
      <c r="P220" s="10">
        <v>129849000</v>
      </c>
      <c r="Q220" s="6"/>
      <c r="R220" s="9">
        <v>44652.6069444444</v>
      </c>
      <c r="S220" s="10">
        <v>2665.4517999999998</v>
      </c>
      <c r="T220" s="10">
        <v>32808300</v>
      </c>
      <c r="V220" s="9">
        <v>44652.6069444444</v>
      </c>
      <c r="W220" s="10">
        <v>1085.9566</v>
      </c>
      <c r="X220" s="10">
        <v>1979700</v>
      </c>
    </row>
    <row r="221" spans="1:24" x14ac:dyDescent="0.3">
      <c r="A221" s="8"/>
      <c r="B221" s="9">
        <v>44652.607638888898</v>
      </c>
      <c r="C221" s="10">
        <v>3276.1929</v>
      </c>
      <c r="D221" s="10">
        <v>108547100</v>
      </c>
      <c r="E221" s="6"/>
      <c r="N221" s="9">
        <v>44652.607638888898</v>
      </c>
      <c r="O221" s="10">
        <v>12211.959800000001</v>
      </c>
      <c r="P221" s="10">
        <v>144805300</v>
      </c>
      <c r="Q221" s="6"/>
      <c r="R221" s="9">
        <v>44652.607638888898</v>
      </c>
      <c r="S221" s="10">
        <v>2664.3085000000001</v>
      </c>
      <c r="T221" s="10">
        <v>38768500</v>
      </c>
      <c r="V221" s="9">
        <v>44652.607638888898</v>
      </c>
      <c r="W221" s="10">
        <v>1085.9102</v>
      </c>
      <c r="X221" s="10">
        <v>2640500</v>
      </c>
    </row>
    <row r="222" spans="1:24" x14ac:dyDescent="0.3">
      <c r="A222" s="8"/>
      <c r="B222" s="9">
        <v>44652.608333333301</v>
      </c>
      <c r="C222" s="10">
        <v>3278.4618</v>
      </c>
      <c r="D222" s="10">
        <v>148627500</v>
      </c>
      <c r="E222" s="6"/>
      <c r="N222" s="9">
        <v>44652.608333333301</v>
      </c>
      <c r="O222" s="10">
        <v>12220.394899999999</v>
      </c>
      <c r="P222" s="10">
        <v>156391000</v>
      </c>
      <c r="Q222" s="6"/>
      <c r="R222" s="9">
        <v>44652.608333333301</v>
      </c>
      <c r="S222" s="10">
        <v>2665.7874000000002</v>
      </c>
      <c r="T222" s="10">
        <v>41922900</v>
      </c>
      <c r="V222" s="9">
        <v>44652.608333333301</v>
      </c>
      <c r="W222" s="10">
        <v>1086.6428000000001</v>
      </c>
      <c r="X222" s="10">
        <v>2768300</v>
      </c>
    </row>
    <row r="223" spans="1:24" x14ac:dyDescent="0.3">
      <c r="A223" s="8"/>
      <c r="B223" s="9">
        <v>44652.609027777798</v>
      </c>
      <c r="C223" s="10">
        <v>3278.6122999999998</v>
      </c>
      <c r="D223" s="10">
        <v>108196200</v>
      </c>
      <c r="E223" s="6"/>
      <c r="N223" s="9">
        <v>44652.609027777798</v>
      </c>
      <c r="O223" s="10">
        <v>12220.2286</v>
      </c>
      <c r="P223" s="10">
        <v>126467200</v>
      </c>
      <c r="Q223" s="6"/>
      <c r="R223" s="9">
        <v>44652.609027777798</v>
      </c>
      <c r="S223" s="10">
        <v>2665.6212999999998</v>
      </c>
      <c r="T223" s="10">
        <v>36395300</v>
      </c>
      <c r="V223" s="9">
        <v>44652.609027777798</v>
      </c>
      <c r="W223" s="10">
        <v>1087.1833999999999</v>
      </c>
      <c r="X223" s="10">
        <v>2323400</v>
      </c>
    </row>
    <row r="224" spans="1:24" x14ac:dyDescent="0.3">
      <c r="A224" s="8"/>
      <c r="B224" s="9">
        <v>44652.609722222202</v>
      </c>
      <c r="C224" s="10">
        <v>3279.4123</v>
      </c>
      <c r="D224" s="10">
        <v>121845600</v>
      </c>
      <c r="E224" s="6"/>
      <c r="N224" s="9">
        <v>44652.609722222202</v>
      </c>
      <c r="O224" s="10">
        <v>12223.286599999999</v>
      </c>
      <c r="P224" s="10">
        <v>128620500</v>
      </c>
      <c r="Q224" s="6"/>
      <c r="R224" s="9">
        <v>44652.609722222202</v>
      </c>
      <c r="S224" s="10">
        <v>2666.1035000000002</v>
      </c>
      <c r="T224" s="10">
        <v>34929800</v>
      </c>
      <c r="V224" s="9">
        <v>44652.609722222202</v>
      </c>
      <c r="W224" s="10">
        <v>1087.2118</v>
      </c>
      <c r="X224" s="10">
        <v>2187000</v>
      </c>
    </row>
    <row r="225" spans="1:24" x14ac:dyDescent="0.3">
      <c r="A225" s="8"/>
      <c r="B225" s="9">
        <v>44652.610416666699</v>
      </c>
      <c r="C225" s="10">
        <v>3278.7530999999999</v>
      </c>
      <c r="D225" s="10">
        <v>111679100</v>
      </c>
      <c r="E225" s="6"/>
      <c r="N225" s="9">
        <v>44652.610416666699</v>
      </c>
      <c r="O225" s="10">
        <v>12223.410099999999</v>
      </c>
      <c r="P225" s="10">
        <v>135070100</v>
      </c>
      <c r="Q225" s="6"/>
      <c r="R225" s="9">
        <v>44652.610416666699</v>
      </c>
      <c r="S225" s="10">
        <v>2666.2266</v>
      </c>
      <c r="T225" s="10">
        <v>36235900</v>
      </c>
      <c r="V225" s="9">
        <v>44652.610416666699</v>
      </c>
      <c r="W225" s="10">
        <v>1087.1367</v>
      </c>
      <c r="X225" s="10">
        <v>2129400</v>
      </c>
    </row>
    <row r="226" spans="1:24" x14ac:dyDescent="0.3">
      <c r="A226" s="8"/>
      <c r="B226" s="9">
        <v>44652.611111111102</v>
      </c>
      <c r="C226" s="10">
        <v>3278.3249999999998</v>
      </c>
      <c r="D226" s="10">
        <v>113691500</v>
      </c>
      <c r="E226" s="6"/>
      <c r="N226" s="9">
        <v>44652.611111111102</v>
      </c>
      <c r="O226" s="10">
        <v>12220.705400000001</v>
      </c>
      <c r="P226" s="10">
        <v>139071400</v>
      </c>
      <c r="Q226" s="6"/>
      <c r="R226" s="9">
        <v>44652.611111111102</v>
      </c>
      <c r="S226" s="10">
        <v>2665.3449000000001</v>
      </c>
      <c r="T226" s="10">
        <v>37613500</v>
      </c>
      <c r="V226" s="9">
        <v>44652.611111111102</v>
      </c>
      <c r="W226" s="10">
        <v>1086.6441</v>
      </c>
      <c r="X226" s="10">
        <v>2395000</v>
      </c>
    </row>
    <row r="227" spans="1:24" x14ac:dyDescent="0.3">
      <c r="A227" s="8"/>
      <c r="B227" s="9">
        <v>44652.6118055556</v>
      </c>
      <c r="C227" s="10">
        <v>3279.3352</v>
      </c>
      <c r="D227" s="10">
        <v>140421600</v>
      </c>
      <c r="E227" s="6"/>
      <c r="N227" s="9">
        <v>44652.6118055556</v>
      </c>
      <c r="O227" s="10">
        <v>12224.9409</v>
      </c>
      <c r="P227" s="10">
        <v>155985300</v>
      </c>
      <c r="Q227" s="6"/>
      <c r="R227" s="9">
        <v>44652.6118055556</v>
      </c>
      <c r="S227" s="10">
        <v>2665.7411000000002</v>
      </c>
      <c r="T227" s="10">
        <v>38063400</v>
      </c>
      <c r="V227" s="9">
        <v>44652.6118055556</v>
      </c>
      <c r="W227" s="10">
        <v>1086.9226000000001</v>
      </c>
      <c r="X227" s="10">
        <v>2362000</v>
      </c>
    </row>
    <row r="228" spans="1:24" x14ac:dyDescent="0.3">
      <c r="A228" s="8"/>
      <c r="B228" s="9">
        <v>44652.612500000003</v>
      </c>
      <c r="C228" s="10">
        <v>3280.8490000000002</v>
      </c>
      <c r="D228" s="10">
        <v>164857700</v>
      </c>
      <c r="E228" s="6"/>
      <c r="N228" s="9">
        <v>44652.612500000003</v>
      </c>
      <c r="O228" s="10">
        <v>12227.5751</v>
      </c>
      <c r="P228" s="10">
        <v>173968800</v>
      </c>
      <c r="Q228" s="6"/>
      <c r="R228" s="9">
        <v>44652.612500000003</v>
      </c>
      <c r="S228" s="10">
        <v>2666.3746999999998</v>
      </c>
      <c r="T228" s="10">
        <v>41595100</v>
      </c>
      <c r="V228" s="9">
        <v>44652.612500000003</v>
      </c>
      <c r="W228" s="10">
        <v>1086.9357</v>
      </c>
      <c r="X228" s="10">
        <v>2433400</v>
      </c>
    </row>
    <row r="229" spans="1:24" x14ac:dyDescent="0.3">
      <c r="A229" s="8"/>
      <c r="B229" s="9">
        <v>44652.613194444399</v>
      </c>
      <c r="C229" s="10">
        <v>3280.9870000000001</v>
      </c>
      <c r="D229" s="10">
        <v>147958900</v>
      </c>
      <c r="E229" s="6"/>
      <c r="N229" s="9">
        <v>44652.613194444399</v>
      </c>
      <c r="O229" s="10">
        <v>12229.0982</v>
      </c>
      <c r="P229" s="10">
        <v>159925600</v>
      </c>
      <c r="Q229" s="6"/>
      <c r="R229" s="9">
        <v>44652.613194444399</v>
      </c>
      <c r="S229" s="10">
        <v>2667.3065000000001</v>
      </c>
      <c r="T229" s="10">
        <v>41178700</v>
      </c>
      <c r="V229" s="9">
        <v>44652.613194444399</v>
      </c>
      <c r="W229" s="10">
        <v>1086.9685999999999</v>
      </c>
      <c r="X229" s="10">
        <v>2541600</v>
      </c>
    </row>
    <row r="230" spans="1:24" x14ac:dyDescent="0.3">
      <c r="A230" s="8"/>
      <c r="B230" s="9">
        <v>44652.613888888904</v>
      </c>
      <c r="C230" s="10">
        <v>3280.8631999999998</v>
      </c>
      <c r="D230" s="10">
        <v>149001500</v>
      </c>
      <c r="E230" s="6"/>
      <c r="N230" s="9">
        <v>44652.613888888904</v>
      </c>
      <c r="O230" s="10">
        <v>12228.7377</v>
      </c>
      <c r="P230" s="10">
        <v>155275200</v>
      </c>
      <c r="Q230" s="6"/>
      <c r="R230" s="9">
        <v>44652.613888888904</v>
      </c>
      <c r="S230" s="10">
        <v>2667.2923000000001</v>
      </c>
      <c r="T230" s="10">
        <v>39487300</v>
      </c>
      <c r="V230" s="9">
        <v>44652.613888888904</v>
      </c>
      <c r="W230" s="10">
        <v>1087.2399</v>
      </c>
      <c r="X230" s="10">
        <v>2480600</v>
      </c>
    </row>
    <row r="231" spans="1:24" x14ac:dyDescent="0.3">
      <c r="A231" s="8"/>
      <c r="B231" s="9">
        <v>44652.614583333299</v>
      </c>
      <c r="C231" s="10">
        <v>3281.2831999999999</v>
      </c>
      <c r="D231" s="10">
        <v>163007600</v>
      </c>
      <c r="E231" s="6"/>
      <c r="N231" s="9">
        <v>44652.614583333299</v>
      </c>
      <c r="O231" s="10">
        <v>12229.6109</v>
      </c>
      <c r="P231" s="10">
        <v>189198800</v>
      </c>
      <c r="Q231" s="6"/>
      <c r="R231" s="9">
        <v>44652.614583333299</v>
      </c>
      <c r="S231" s="10">
        <v>2667.2011000000002</v>
      </c>
      <c r="T231" s="10">
        <v>49108500</v>
      </c>
      <c r="V231" s="9">
        <v>44652.614583333299</v>
      </c>
      <c r="W231" s="10">
        <v>1086.9702</v>
      </c>
      <c r="X231" s="10">
        <v>2999200</v>
      </c>
    </row>
    <row r="232" spans="1:24" x14ac:dyDescent="0.3">
      <c r="A232" s="8"/>
      <c r="B232" s="9">
        <v>44652.615277777797</v>
      </c>
      <c r="C232" s="10">
        <v>3281.5735</v>
      </c>
      <c r="D232" s="10">
        <v>173749000</v>
      </c>
      <c r="E232" s="6"/>
      <c r="N232" s="9">
        <v>44652.615277777797</v>
      </c>
      <c r="O232" s="10">
        <v>12230.712299999999</v>
      </c>
      <c r="P232" s="10">
        <v>168136300</v>
      </c>
      <c r="Q232" s="6"/>
      <c r="R232" s="9">
        <v>44652.615277777797</v>
      </c>
      <c r="S232" s="10">
        <v>2667.1053999999999</v>
      </c>
      <c r="T232" s="10">
        <v>45517200</v>
      </c>
      <c r="V232" s="9">
        <v>44652.615277777797</v>
      </c>
      <c r="W232" s="10">
        <v>1087.3089</v>
      </c>
      <c r="X232" s="10">
        <v>3168300</v>
      </c>
    </row>
    <row r="233" spans="1:24" x14ac:dyDescent="0.3">
      <c r="A233" s="8"/>
      <c r="B233" s="9">
        <v>44652.6159722222</v>
      </c>
      <c r="C233" s="10">
        <v>3281.8490000000002</v>
      </c>
      <c r="D233" s="10">
        <v>156171600</v>
      </c>
      <c r="E233" s="6"/>
      <c r="N233" s="9">
        <v>44652.6159722222</v>
      </c>
      <c r="O233" s="10">
        <v>12229.887000000001</v>
      </c>
      <c r="P233" s="10">
        <v>194171300</v>
      </c>
      <c r="Q233" s="6"/>
      <c r="R233" s="9">
        <v>44652.6159722222</v>
      </c>
      <c r="S233" s="10">
        <v>2666.2177999999999</v>
      </c>
      <c r="T233" s="10">
        <v>47494700</v>
      </c>
      <c r="V233" s="9">
        <v>44652.6159722222</v>
      </c>
      <c r="W233" s="10">
        <v>1087.3242</v>
      </c>
      <c r="X233" s="10">
        <v>3064800</v>
      </c>
    </row>
    <row r="234" spans="1:24" x14ac:dyDescent="0.3">
      <c r="A234" s="8"/>
      <c r="B234" s="9">
        <v>44652.616666666698</v>
      </c>
      <c r="C234" s="10">
        <v>3281.5812000000001</v>
      </c>
      <c r="D234" s="10">
        <v>170884700</v>
      </c>
      <c r="E234" s="6"/>
      <c r="N234" s="9">
        <v>44652.616666666698</v>
      </c>
      <c r="O234" s="10">
        <v>12228.0875</v>
      </c>
      <c r="P234" s="10">
        <v>190942100</v>
      </c>
      <c r="Q234" s="6"/>
      <c r="R234" s="9">
        <v>44652.616666666698</v>
      </c>
      <c r="S234" s="10">
        <v>2666.2865000000002</v>
      </c>
      <c r="T234" s="10">
        <v>51520400</v>
      </c>
      <c r="V234" s="9">
        <v>44652.616666666698</v>
      </c>
      <c r="W234" s="10">
        <v>1087.5868</v>
      </c>
      <c r="X234" s="10">
        <v>2829300</v>
      </c>
    </row>
    <row r="235" spans="1:24" x14ac:dyDescent="0.3">
      <c r="A235" s="8"/>
      <c r="B235" s="9">
        <v>44652.617361111101</v>
      </c>
      <c r="C235" s="10">
        <v>3280.7903000000001</v>
      </c>
      <c r="D235" s="10">
        <v>151626400</v>
      </c>
      <c r="E235" s="6"/>
      <c r="N235" s="9">
        <v>44652.617361111101</v>
      </c>
      <c r="O235" s="10">
        <v>12226.365299999999</v>
      </c>
      <c r="P235" s="10">
        <v>198671000</v>
      </c>
      <c r="Q235" s="6"/>
      <c r="R235" s="9">
        <v>44652.617361111101</v>
      </c>
      <c r="S235" s="10">
        <v>2666.2793000000001</v>
      </c>
      <c r="T235" s="10">
        <v>55100000</v>
      </c>
      <c r="V235" s="9">
        <v>44652.617361111101</v>
      </c>
      <c r="W235" s="10">
        <v>1087.1305</v>
      </c>
      <c r="X235" s="10">
        <v>3123000</v>
      </c>
    </row>
    <row r="236" spans="1:24" x14ac:dyDescent="0.3">
      <c r="A236" s="8"/>
      <c r="B236" s="9">
        <v>44652.618055555598</v>
      </c>
      <c r="C236" s="10">
        <v>3280.5189999999998</v>
      </c>
      <c r="D236" s="10">
        <v>199625800</v>
      </c>
      <c r="E236" s="6"/>
      <c r="N236" s="9">
        <v>44652.618055555598</v>
      </c>
      <c r="O236" s="10">
        <v>12222.2003</v>
      </c>
      <c r="P236" s="10">
        <v>242741000</v>
      </c>
      <c r="Q236" s="6"/>
      <c r="R236" s="9">
        <v>44652.618055555598</v>
      </c>
      <c r="S236" s="10">
        <v>2664.7352000000001</v>
      </c>
      <c r="T236" s="10">
        <v>67853400</v>
      </c>
      <c r="V236" s="9">
        <v>44652.618055555598</v>
      </c>
      <c r="W236" s="10">
        <v>1087.6772000000001</v>
      </c>
      <c r="X236" s="10">
        <v>3589800</v>
      </c>
    </row>
    <row r="237" spans="1:24" x14ac:dyDescent="0.3">
      <c r="A237" s="8"/>
      <c r="B237" s="9">
        <v>44652.618750000001</v>
      </c>
      <c r="C237" s="10">
        <v>3280.4751999999999</v>
      </c>
      <c r="D237" s="10">
        <v>206898600</v>
      </c>
      <c r="E237" s="6"/>
      <c r="N237" s="9">
        <v>44652.618750000001</v>
      </c>
      <c r="O237" s="10">
        <v>12223.656800000001</v>
      </c>
      <c r="P237" s="10">
        <v>236987800</v>
      </c>
      <c r="Q237" s="6"/>
      <c r="R237" s="9">
        <v>44652.618750000001</v>
      </c>
      <c r="S237" s="10">
        <v>2664.5156000000002</v>
      </c>
      <c r="T237" s="10">
        <v>68840400</v>
      </c>
      <c r="V237" s="9">
        <v>44652.618750000001</v>
      </c>
      <c r="W237" s="10">
        <v>1087.9250999999999</v>
      </c>
      <c r="X237" s="10">
        <v>2920900</v>
      </c>
    </row>
    <row r="238" spans="1:24" x14ac:dyDescent="0.3">
      <c r="A238" s="8"/>
      <c r="B238" s="9">
        <v>44652.619444444397</v>
      </c>
      <c r="C238" s="10">
        <v>3279.4247</v>
      </c>
      <c r="D238" s="10">
        <v>200241500</v>
      </c>
      <c r="E238" s="6"/>
      <c r="N238" s="9">
        <v>44652.619444444397</v>
      </c>
      <c r="O238" s="10">
        <v>12220.5569</v>
      </c>
      <c r="P238" s="10">
        <v>250317100</v>
      </c>
      <c r="Q238" s="6"/>
      <c r="R238" s="9">
        <v>44652.619444444397</v>
      </c>
      <c r="S238" s="10">
        <v>2664.2618000000002</v>
      </c>
      <c r="T238" s="10">
        <v>71311200</v>
      </c>
      <c r="V238" s="9">
        <v>44652.619444444397</v>
      </c>
      <c r="W238" s="10">
        <v>1087.7388000000001</v>
      </c>
      <c r="X238" s="10">
        <v>3495500</v>
      </c>
    </row>
    <row r="239" spans="1:24" x14ac:dyDescent="0.3">
      <c r="A239" s="8"/>
      <c r="B239" s="9">
        <v>44652.620138888902</v>
      </c>
      <c r="C239" s="10">
        <v>3279.7662</v>
      </c>
      <c r="D239" s="10">
        <v>203146200</v>
      </c>
      <c r="E239" s="6"/>
      <c r="N239" s="9">
        <v>44652.620138888902</v>
      </c>
      <c r="O239" s="10">
        <v>12221.089099999999</v>
      </c>
      <c r="P239" s="10">
        <v>263931800</v>
      </c>
      <c r="Q239" s="6"/>
      <c r="R239" s="9">
        <v>44652.620138888902</v>
      </c>
      <c r="S239" s="10">
        <v>2664.6718000000001</v>
      </c>
      <c r="T239" s="10">
        <v>71839900</v>
      </c>
      <c r="V239" s="9">
        <v>44652.620138888902</v>
      </c>
      <c r="W239" s="10">
        <v>1088.1266000000001</v>
      </c>
      <c r="X239" s="10">
        <v>3841900</v>
      </c>
    </row>
    <row r="240" spans="1:24" x14ac:dyDescent="0.3">
      <c r="A240" s="8"/>
      <c r="B240" s="9">
        <v>44652.620833333298</v>
      </c>
      <c r="C240" s="10">
        <v>3280.1455999999998</v>
      </c>
      <c r="D240" s="10">
        <v>235276100</v>
      </c>
      <c r="E240" s="6"/>
      <c r="N240" s="9">
        <v>44652.620833333298</v>
      </c>
      <c r="O240" s="10">
        <v>12220.544</v>
      </c>
      <c r="P240" s="10">
        <v>291961400</v>
      </c>
      <c r="Q240" s="6"/>
      <c r="R240" s="9">
        <v>44652.620833333298</v>
      </c>
      <c r="S240" s="10">
        <v>2664.6347999999998</v>
      </c>
      <c r="T240" s="10">
        <v>82615300</v>
      </c>
      <c r="V240" s="9">
        <v>44652.620833333298</v>
      </c>
      <c r="W240" s="10">
        <v>1088.5509</v>
      </c>
      <c r="X240" s="10">
        <v>4099400</v>
      </c>
    </row>
    <row r="241" spans="1:24" x14ac:dyDescent="0.3">
      <c r="A241" s="8"/>
      <c r="B241" s="9">
        <v>44652.621527777803</v>
      </c>
      <c r="C241" s="10">
        <v>3280.5680000000002</v>
      </c>
      <c r="D241" s="10">
        <v>255155800</v>
      </c>
      <c r="E241" s="6"/>
      <c r="N241" s="9">
        <v>44652.621527777803</v>
      </c>
      <c r="O241" s="10">
        <v>12221.874299999999</v>
      </c>
      <c r="P241" s="10">
        <v>317653600</v>
      </c>
      <c r="Q241" s="6"/>
      <c r="R241" s="9">
        <v>44652.621527777803</v>
      </c>
      <c r="S241" s="10">
        <v>2665.0565999999999</v>
      </c>
      <c r="T241" s="10">
        <v>92763600</v>
      </c>
      <c r="V241" s="9">
        <v>44652.621527777803</v>
      </c>
      <c r="W241" s="10">
        <v>1088.6467</v>
      </c>
      <c r="X241" s="10">
        <v>4453200</v>
      </c>
    </row>
    <row r="242" spans="1:24" x14ac:dyDescent="0.3">
      <c r="A242" s="8"/>
      <c r="B242" s="9">
        <v>44652.622222222199</v>
      </c>
      <c r="C242" s="10">
        <v>3280.9202</v>
      </c>
      <c r="D242" s="10">
        <v>274493900</v>
      </c>
      <c r="E242" s="6"/>
      <c r="N242" s="9">
        <v>44652.622222222199</v>
      </c>
      <c r="O242" s="10">
        <v>12224.148499999999</v>
      </c>
      <c r="P242" s="10">
        <v>358658300</v>
      </c>
      <c r="Q242" s="6"/>
      <c r="R242" s="9">
        <v>44652.622222222199</v>
      </c>
      <c r="S242" s="10">
        <v>2665.4058</v>
      </c>
      <c r="T242" s="10">
        <v>103570600</v>
      </c>
      <c r="V242" s="9">
        <v>44652.622222222199</v>
      </c>
      <c r="W242" s="10">
        <v>1089.1020000000001</v>
      </c>
      <c r="X242" s="10">
        <v>5939200</v>
      </c>
    </row>
    <row r="243" spans="1:24" x14ac:dyDescent="0.3">
      <c r="A243" s="8"/>
      <c r="B243" s="9">
        <v>44652.622916666704</v>
      </c>
      <c r="C243" s="10">
        <v>3280.9025000000001</v>
      </c>
      <c r="D243" s="10">
        <v>5029600</v>
      </c>
      <c r="E243" s="6"/>
      <c r="N243" s="9">
        <v>44652.622916666704</v>
      </c>
      <c r="O243" s="10">
        <v>12225.028200000001</v>
      </c>
      <c r="P243" s="10">
        <v>19354200</v>
      </c>
      <c r="Q243" s="6"/>
      <c r="R243" s="9">
        <v>44652.622916666704</v>
      </c>
      <c r="S243" s="10">
        <v>2666.0383000000002</v>
      </c>
      <c r="T243" s="10">
        <v>8284900</v>
      </c>
      <c r="V243" s="9">
        <v>44652.622916666704</v>
      </c>
      <c r="W243" s="10">
        <v>1088.9903999999999</v>
      </c>
      <c r="X243" s="10">
        <v>112900</v>
      </c>
    </row>
    <row r="244" spans="1:24" x14ac:dyDescent="0.3">
      <c r="A244" s="8"/>
      <c r="B244" s="9">
        <v>44652.623611111099</v>
      </c>
      <c r="C244" s="10">
        <v>3280.9025000000001</v>
      </c>
      <c r="D244" s="10">
        <v>0</v>
      </c>
      <c r="E244" s="6"/>
      <c r="N244" s="9">
        <v>44652.623611111099</v>
      </c>
      <c r="O244" s="10">
        <v>12225.028200000001</v>
      </c>
      <c r="P244" s="10">
        <v>0</v>
      </c>
      <c r="Q244" s="6"/>
      <c r="R244" s="9">
        <v>44652.623611111099</v>
      </c>
      <c r="S244" s="10">
        <v>2666.0383000000002</v>
      </c>
      <c r="T244" s="10">
        <v>0</v>
      </c>
      <c r="V244" s="9">
        <v>44652.623611111099</v>
      </c>
      <c r="W244" s="10">
        <v>1088.9903999999999</v>
      </c>
      <c r="X244" s="10">
        <v>0</v>
      </c>
    </row>
    <row r="245" spans="1:24" x14ac:dyDescent="0.3">
      <c r="A245" s="8"/>
      <c r="B245" s="9">
        <v>44652.624305555597</v>
      </c>
      <c r="C245" s="10">
        <v>3280.9025000000001</v>
      </c>
      <c r="D245" s="10">
        <v>0</v>
      </c>
      <c r="E245" s="6"/>
      <c r="N245" s="9">
        <v>44652.624305555597</v>
      </c>
      <c r="O245" s="10">
        <v>12225.028200000001</v>
      </c>
      <c r="P245" s="10">
        <v>0</v>
      </c>
      <c r="Q245" s="6"/>
      <c r="R245" s="9">
        <v>44652.624305555597</v>
      </c>
      <c r="S245" s="10">
        <v>2666.0383000000002</v>
      </c>
      <c r="T245" s="10">
        <v>0</v>
      </c>
      <c r="V245" s="9">
        <v>44652.624305555597</v>
      </c>
      <c r="W245" s="10">
        <v>1088.9903999999999</v>
      </c>
      <c r="X245" s="10">
        <v>0</v>
      </c>
    </row>
    <row r="246" spans="1:24" x14ac:dyDescent="0.3">
      <c r="A246" s="8"/>
      <c r="B246" s="9">
        <v>44652.625</v>
      </c>
      <c r="C246" s="10">
        <v>3282.7166000000002</v>
      </c>
      <c r="D246" s="10">
        <v>480548100</v>
      </c>
      <c r="E246" s="6"/>
      <c r="N246" s="9">
        <v>44652.625</v>
      </c>
      <c r="O246" s="10">
        <v>12227.9303</v>
      </c>
      <c r="P246" s="10">
        <v>630485200</v>
      </c>
      <c r="Q246" s="6"/>
      <c r="R246" s="9">
        <v>44652.625</v>
      </c>
      <c r="S246" s="10">
        <v>2666.9695999999999</v>
      </c>
      <c r="T246" s="10">
        <v>173521200</v>
      </c>
      <c r="V246" s="9">
        <v>44652.625</v>
      </c>
      <c r="W246" s="10">
        <v>1089.1947</v>
      </c>
      <c r="X246" s="10">
        <v>8403100</v>
      </c>
    </row>
    <row r="247" spans="1:24" x14ac:dyDescent="0.3">
      <c r="A247" s="8"/>
      <c r="B247" s="9"/>
      <c r="C247" s="10"/>
      <c r="D247" s="10"/>
      <c r="E247" s="6"/>
      <c r="N247" s="9"/>
      <c r="O247" s="10"/>
      <c r="P247" s="10"/>
      <c r="Q247" s="6"/>
      <c r="R247" s="9"/>
      <c r="S247" s="10"/>
      <c r="T247" s="10"/>
      <c r="V247" s="9"/>
      <c r="W247" s="10"/>
      <c r="X247" s="10"/>
    </row>
    <row r="248" spans="1:24" x14ac:dyDescent="0.3">
      <c r="A248" s="8"/>
      <c r="B248" s="9"/>
      <c r="C248" s="10"/>
      <c r="D248" s="10"/>
      <c r="E248" s="6"/>
      <c r="N248" s="9"/>
      <c r="O248" s="10"/>
      <c r="P248" s="10"/>
      <c r="Q248" s="6"/>
      <c r="R248" s="9"/>
      <c r="S248" s="10"/>
      <c r="T248" s="10"/>
      <c r="V248" s="9"/>
      <c r="W248" s="10"/>
      <c r="X248" s="10"/>
    </row>
    <row r="249" spans="1:24" x14ac:dyDescent="0.3">
      <c r="A249" s="8"/>
      <c r="B249" s="9"/>
      <c r="C249" s="10"/>
      <c r="D249" s="10"/>
      <c r="E249" s="6"/>
      <c r="N249" s="9"/>
      <c r="O249" s="10"/>
      <c r="P249" s="10"/>
      <c r="Q249" s="6"/>
      <c r="R249" s="9"/>
      <c r="S249" s="10"/>
      <c r="T249" s="10"/>
      <c r="V249" s="9"/>
      <c r="W249" s="10"/>
      <c r="X249" s="10"/>
    </row>
    <row r="250" spans="1:24" x14ac:dyDescent="0.3">
      <c r="A250" s="8"/>
      <c r="B250" s="9"/>
      <c r="C250" s="10"/>
      <c r="D250" s="10"/>
      <c r="E250" s="6"/>
      <c r="N250" s="9"/>
      <c r="O250" s="10"/>
      <c r="P250" s="10"/>
      <c r="Q250" s="6"/>
      <c r="R250" s="9"/>
      <c r="S250" s="10"/>
      <c r="T250" s="10"/>
      <c r="V250" s="9"/>
      <c r="W250" s="10"/>
      <c r="X250" s="10"/>
    </row>
    <row r="251" spans="1:24" x14ac:dyDescent="0.3">
      <c r="A251" s="8"/>
      <c r="B251" s="9"/>
      <c r="C251" s="10"/>
      <c r="D251" s="10"/>
      <c r="E251" s="6"/>
      <c r="N251" s="9"/>
      <c r="O251" s="10"/>
      <c r="P251" s="10"/>
      <c r="Q251" s="6"/>
      <c r="R251" s="9"/>
      <c r="S251" s="10"/>
      <c r="T251" s="10"/>
      <c r="V251" s="9"/>
      <c r="W251" s="10"/>
      <c r="X251" s="10"/>
    </row>
    <row r="252" spans="1:24" x14ac:dyDescent="0.3">
      <c r="A252" s="8"/>
      <c r="B252" s="9"/>
      <c r="C252" s="10"/>
      <c r="D252" s="10"/>
      <c r="E252" s="6"/>
      <c r="N252" s="9"/>
      <c r="O252" s="10"/>
      <c r="P252" s="10"/>
      <c r="Q252" s="6"/>
      <c r="R252" s="9"/>
      <c r="S252" s="10"/>
      <c r="T252" s="10"/>
      <c r="V252" s="9"/>
      <c r="W252" s="10"/>
      <c r="X252" s="10"/>
    </row>
    <row r="253" spans="1:24" x14ac:dyDescent="0.3">
      <c r="A253" s="8"/>
      <c r="B253" s="9"/>
      <c r="C253" s="10"/>
      <c r="D253" s="10"/>
      <c r="E253" s="6"/>
      <c r="N253" s="9"/>
      <c r="O253" s="10"/>
      <c r="P253" s="10"/>
      <c r="Q253" s="6"/>
      <c r="R253" s="9"/>
      <c r="S253" s="10"/>
      <c r="T253" s="10"/>
      <c r="V253" s="9"/>
      <c r="W253" s="10"/>
      <c r="X253" s="10"/>
    </row>
    <row r="254" spans="1:24" x14ac:dyDescent="0.3">
      <c r="A254" s="8"/>
      <c r="B254" s="9"/>
      <c r="C254" s="10"/>
      <c r="D254" s="10"/>
      <c r="E254" s="6"/>
      <c r="N254" s="9"/>
      <c r="O254" s="10"/>
      <c r="P254" s="10"/>
      <c r="Q254" s="6"/>
      <c r="R254" s="9"/>
      <c r="S254" s="10"/>
      <c r="T254" s="10"/>
      <c r="V254" s="9"/>
      <c r="W254" s="10"/>
      <c r="X254" s="10"/>
    </row>
    <row r="255" spans="1:24" x14ac:dyDescent="0.3">
      <c r="A255" s="8"/>
      <c r="B255" s="9"/>
      <c r="C255" s="10"/>
      <c r="D255" s="10"/>
      <c r="E255" s="6"/>
      <c r="N255" s="9"/>
      <c r="O255" s="10"/>
      <c r="P255" s="10"/>
      <c r="Q255" s="6"/>
      <c r="R255" s="9"/>
      <c r="S255" s="10"/>
      <c r="T255" s="10"/>
      <c r="V255" s="9"/>
      <c r="W255" s="10"/>
      <c r="X255" s="10"/>
    </row>
    <row r="256" spans="1:24" x14ac:dyDescent="0.3">
      <c r="A256" s="8"/>
      <c r="B256" s="9"/>
      <c r="C256" s="10"/>
      <c r="D256" s="10"/>
      <c r="E256" s="6"/>
      <c r="N256" s="9"/>
      <c r="O256" s="10"/>
      <c r="P256" s="10"/>
      <c r="Q256" s="6"/>
      <c r="R256" s="9"/>
      <c r="S256" s="10"/>
      <c r="T256" s="10"/>
      <c r="V256" s="9"/>
      <c r="W256" s="10"/>
      <c r="X256" s="10"/>
    </row>
    <row r="257" spans="1:24" x14ac:dyDescent="0.3">
      <c r="A257" s="8"/>
      <c r="B257" s="9"/>
      <c r="C257" s="10"/>
      <c r="D257" s="10"/>
      <c r="E257" s="6"/>
      <c r="N257" s="9"/>
      <c r="O257" s="10"/>
      <c r="P257" s="10"/>
      <c r="Q257" s="6"/>
      <c r="R257" s="9"/>
      <c r="S257" s="10"/>
      <c r="T257" s="10"/>
      <c r="V257" s="9"/>
      <c r="W257" s="10"/>
      <c r="X257" s="10"/>
    </row>
    <row r="258" spans="1:24" x14ac:dyDescent="0.3">
      <c r="A258" s="8"/>
      <c r="B258" s="9"/>
      <c r="C258" s="10"/>
      <c r="D258" s="10"/>
      <c r="E258" s="6"/>
      <c r="N258" s="9"/>
      <c r="O258" s="10"/>
      <c r="P258" s="10"/>
      <c r="Q258" s="6"/>
      <c r="R258" s="9"/>
      <c r="S258" s="10"/>
      <c r="T258" s="10"/>
      <c r="V258" s="9"/>
      <c r="W258" s="10"/>
      <c r="X258" s="10"/>
    </row>
    <row r="259" spans="1:24" x14ac:dyDescent="0.3">
      <c r="A259" s="8"/>
      <c r="B259" s="9"/>
      <c r="C259" s="10"/>
      <c r="D259" s="10"/>
      <c r="E259" s="6"/>
      <c r="N259" s="9"/>
      <c r="O259" s="10"/>
      <c r="P259" s="10"/>
      <c r="Q259" s="6"/>
      <c r="R259" s="9"/>
      <c r="S259" s="10"/>
      <c r="T259" s="10"/>
      <c r="V259" s="9"/>
      <c r="W259" s="10"/>
      <c r="X259" s="10"/>
    </row>
    <row r="260" spans="1:24" x14ac:dyDescent="0.3">
      <c r="A260" s="8"/>
      <c r="B260" s="9"/>
      <c r="C260" s="10"/>
      <c r="D260" s="10"/>
      <c r="E260" s="6"/>
      <c r="N260" s="9"/>
      <c r="O260" s="10"/>
      <c r="P260" s="10"/>
      <c r="Q260" s="6"/>
      <c r="R260" s="9"/>
      <c r="S260" s="10"/>
      <c r="T260" s="10"/>
      <c r="V260" s="9"/>
      <c r="W260" s="10"/>
      <c r="X260" s="10"/>
    </row>
    <row r="261" spans="1:24" x14ac:dyDescent="0.3">
      <c r="A261" s="8"/>
      <c r="B261" s="9"/>
      <c r="C261" s="10"/>
      <c r="D261" s="10"/>
      <c r="E261" s="6"/>
      <c r="N261" s="9"/>
      <c r="O261" s="10"/>
      <c r="P261" s="10"/>
      <c r="Q261" s="6"/>
      <c r="R261" s="9"/>
      <c r="S261" s="10"/>
      <c r="T261" s="10"/>
      <c r="V261" s="9"/>
      <c r="W261" s="10"/>
      <c r="X261" s="10"/>
    </row>
    <row r="262" spans="1:24" x14ac:dyDescent="0.3">
      <c r="A262" s="8"/>
      <c r="B262" s="9"/>
      <c r="C262" s="10"/>
      <c r="D262" s="10"/>
      <c r="E262" s="6"/>
      <c r="N262" s="9"/>
      <c r="O262" s="10"/>
      <c r="P262" s="10"/>
      <c r="Q262" s="6"/>
      <c r="R262" s="9"/>
      <c r="S262" s="10"/>
      <c r="T262" s="10"/>
      <c r="V262" s="9"/>
      <c r="W262" s="10"/>
      <c r="X262" s="10"/>
    </row>
    <row r="263" spans="1:24" x14ac:dyDescent="0.3">
      <c r="A263" s="8"/>
      <c r="B263" s="9"/>
      <c r="C263" s="10"/>
      <c r="D263" s="10"/>
      <c r="E263" s="6"/>
      <c r="N263" s="9"/>
      <c r="O263" s="10"/>
      <c r="P263" s="10"/>
      <c r="Q263" s="6"/>
      <c r="R263" s="9"/>
      <c r="S263" s="10"/>
      <c r="T263" s="10"/>
      <c r="V263" s="9"/>
      <c r="W263" s="10"/>
      <c r="X263" s="10"/>
    </row>
    <row r="264" spans="1:24" x14ac:dyDescent="0.3">
      <c r="A264" s="8"/>
      <c r="B264" s="9"/>
      <c r="C264" s="10"/>
      <c r="D264" s="10"/>
      <c r="E264" s="6"/>
      <c r="N264" s="9"/>
      <c r="O264" s="10"/>
      <c r="P264" s="10"/>
      <c r="Q264" s="6"/>
      <c r="R264" s="9"/>
      <c r="S264" s="10"/>
      <c r="T264" s="10"/>
      <c r="V264" s="9"/>
      <c r="W264" s="10"/>
      <c r="X264" s="10"/>
    </row>
    <row r="265" spans="1:24" x14ac:dyDescent="0.3">
      <c r="A265" s="8"/>
      <c r="B265" s="9"/>
      <c r="C265" s="10"/>
      <c r="D265" s="10"/>
      <c r="E265" s="6"/>
      <c r="N265" s="9"/>
      <c r="O265" s="10"/>
      <c r="P265" s="10"/>
      <c r="Q265" s="6"/>
      <c r="R265" s="9"/>
      <c r="S265" s="10"/>
      <c r="T265" s="10"/>
      <c r="V265" s="9"/>
      <c r="W265" s="10"/>
      <c r="X265" s="10"/>
    </row>
    <row r="266" spans="1:24" x14ac:dyDescent="0.3">
      <c r="A266" s="8"/>
      <c r="B266" s="9"/>
      <c r="C266" s="10"/>
      <c r="D266" s="10"/>
      <c r="E266" s="6"/>
      <c r="N266" s="9"/>
      <c r="O266" s="10"/>
      <c r="P266" s="10"/>
      <c r="Q266" s="6"/>
      <c r="R266" s="9"/>
      <c r="S266" s="10"/>
      <c r="T266" s="10"/>
      <c r="V266" s="9"/>
      <c r="W266" s="10"/>
      <c r="X266" s="10"/>
    </row>
    <row r="267" spans="1:24" x14ac:dyDescent="0.3">
      <c r="A267" s="8"/>
      <c r="B267" s="9"/>
      <c r="C267" s="10"/>
      <c r="D267" s="10"/>
      <c r="E267" s="6"/>
      <c r="N267" s="9"/>
      <c r="O267" s="10"/>
      <c r="P267" s="10"/>
      <c r="Q267" s="6"/>
      <c r="R267" s="9"/>
      <c r="S267" s="10"/>
      <c r="T267" s="10"/>
      <c r="V267" s="9"/>
      <c r="W267" s="10"/>
      <c r="X267" s="10"/>
    </row>
    <row r="268" spans="1:24" x14ac:dyDescent="0.3">
      <c r="A268" s="8"/>
      <c r="B268" s="9"/>
      <c r="C268" s="10"/>
      <c r="D268" s="10"/>
      <c r="E268" s="6"/>
      <c r="N268" s="9"/>
      <c r="O268" s="10"/>
      <c r="P268" s="10"/>
      <c r="Q268" s="6"/>
      <c r="R268" s="9"/>
      <c r="S268" s="10"/>
      <c r="T268" s="10"/>
      <c r="V268" s="9"/>
      <c r="W268" s="10"/>
      <c r="X268" s="10"/>
    </row>
    <row r="269" spans="1:24" x14ac:dyDescent="0.3">
      <c r="A269" s="8"/>
      <c r="B269" s="9"/>
      <c r="C269" s="10"/>
      <c r="D269" s="10"/>
      <c r="E269" s="6"/>
      <c r="N269" s="9"/>
      <c r="O269" s="10"/>
      <c r="P269" s="10"/>
      <c r="Q269" s="6"/>
      <c r="R269" s="9"/>
      <c r="S269" s="10"/>
      <c r="T269" s="10"/>
      <c r="V269" s="9"/>
      <c r="W269" s="10"/>
      <c r="X269" s="10"/>
    </row>
    <row r="270" spans="1:24" x14ac:dyDescent="0.3">
      <c r="A270" s="8"/>
      <c r="B270" s="9"/>
      <c r="C270" s="10"/>
      <c r="D270" s="10"/>
      <c r="E270" s="6"/>
      <c r="N270" s="9"/>
      <c r="O270" s="10"/>
      <c r="P270" s="10"/>
      <c r="Q270" s="6"/>
      <c r="R270" s="9"/>
      <c r="S270" s="10"/>
      <c r="T270" s="10"/>
      <c r="V270" s="9"/>
      <c r="W270" s="10"/>
      <c r="X270" s="10"/>
    </row>
    <row r="271" spans="1:24" x14ac:dyDescent="0.3">
      <c r="A271" s="8"/>
      <c r="B271" s="9"/>
      <c r="C271" s="10"/>
      <c r="D271" s="10"/>
      <c r="E271" s="6"/>
      <c r="N271" s="9"/>
      <c r="O271" s="10"/>
      <c r="P271" s="10"/>
      <c r="Q271" s="6"/>
      <c r="R271" s="9"/>
      <c r="S271" s="10"/>
      <c r="T271" s="10"/>
      <c r="V271" s="9"/>
      <c r="W271" s="10"/>
      <c r="X271" s="10"/>
    </row>
    <row r="272" spans="1:24" x14ac:dyDescent="0.3">
      <c r="A272" s="8"/>
      <c r="B272" s="9"/>
      <c r="C272" s="10"/>
      <c r="D272" s="10"/>
      <c r="E272" s="6"/>
      <c r="N272" s="9"/>
      <c r="O272" s="10"/>
      <c r="P272" s="10"/>
      <c r="Q272" s="6"/>
      <c r="R272" s="9"/>
      <c r="S272" s="10"/>
      <c r="T272" s="10"/>
      <c r="V272" s="9"/>
      <c r="W272" s="10"/>
      <c r="X272" s="10"/>
    </row>
    <row r="273" spans="1:24" x14ac:dyDescent="0.3">
      <c r="A273" s="8"/>
      <c r="B273" s="9"/>
      <c r="C273" s="10"/>
      <c r="D273" s="10"/>
      <c r="E273" s="6"/>
      <c r="N273" s="9"/>
      <c r="O273" s="10"/>
      <c r="P273" s="10"/>
      <c r="Q273" s="6"/>
      <c r="R273" s="9"/>
      <c r="S273" s="10"/>
      <c r="T273" s="10"/>
      <c r="V273" s="9"/>
      <c r="W273" s="10"/>
      <c r="X273" s="10"/>
    </row>
    <row r="274" spans="1:24" x14ac:dyDescent="0.3">
      <c r="A274" s="8"/>
      <c r="B274" s="9"/>
      <c r="C274" s="10"/>
      <c r="D274" s="10"/>
      <c r="E274" s="6"/>
      <c r="N274" s="9"/>
      <c r="O274" s="10"/>
      <c r="P274" s="10"/>
      <c r="Q274" s="6"/>
      <c r="R274" s="9"/>
      <c r="S274" s="10"/>
      <c r="T274" s="10"/>
      <c r="V274" s="9"/>
      <c r="W274" s="10"/>
      <c r="X274" s="10"/>
    </row>
    <row r="275" spans="1:24" x14ac:dyDescent="0.3">
      <c r="A275" s="8"/>
      <c r="B275" s="9"/>
      <c r="C275" s="10"/>
      <c r="D275" s="10"/>
      <c r="E275" s="6"/>
      <c r="N275" s="9"/>
      <c r="O275" s="10"/>
      <c r="P275" s="10"/>
      <c r="Q275" s="6"/>
      <c r="R275" s="9"/>
      <c r="S275" s="10"/>
      <c r="T275" s="10"/>
      <c r="V275" s="9"/>
      <c r="W275" s="10"/>
      <c r="X275" s="10"/>
    </row>
    <row r="276" spans="1:24" x14ac:dyDescent="0.3">
      <c r="A276" s="8"/>
      <c r="B276" s="9"/>
      <c r="C276" s="10"/>
      <c r="D276" s="10"/>
      <c r="E276" s="6"/>
      <c r="N276" s="9"/>
      <c r="O276" s="10"/>
      <c r="P276" s="10"/>
      <c r="Q276" s="6"/>
      <c r="R276" s="9"/>
      <c r="S276" s="10"/>
      <c r="T276" s="10"/>
      <c r="V276" s="9"/>
      <c r="W276" s="10"/>
      <c r="X276" s="10"/>
    </row>
    <row r="277" spans="1:24" x14ac:dyDescent="0.3">
      <c r="A277" s="8"/>
      <c r="B277" s="9"/>
      <c r="C277" s="10"/>
      <c r="D277" s="10"/>
      <c r="E277" s="6"/>
      <c r="N277" s="9"/>
      <c r="O277" s="10"/>
      <c r="P277" s="10"/>
      <c r="Q277" s="6"/>
      <c r="R277" s="9"/>
      <c r="S277" s="10"/>
      <c r="T277" s="10"/>
      <c r="V277" s="9"/>
      <c r="W277" s="10"/>
      <c r="X277" s="10"/>
    </row>
    <row r="278" spans="1:24" x14ac:dyDescent="0.3">
      <c r="A278" s="8"/>
      <c r="B278" s="9"/>
      <c r="C278" s="10"/>
      <c r="D278" s="10"/>
      <c r="E278" s="6"/>
      <c r="N278" s="9"/>
      <c r="O278" s="10"/>
      <c r="P278" s="10"/>
      <c r="Q278" s="6"/>
      <c r="R278" s="9"/>
      <c r="S278" s="10"/>
      <c r="T278" s="10"/>
      <c r="V278" s="9"/>
      <c r="W278" s="10"/>
      <c r="X278" s="10"/>
    </row>
    <row r="279" spans="1:24" x14ac:dyDescent="0.3">
      <c r="A279" s="8"/>
      <c r="B279" s="9"/>
      <c r="C279" s="10"/>
      <c r="D279" s="10"/>
      <c r="E279" s="6"/>
      <c r="N279" s="9"/>
      <c r="O279" s="10"/>
      <c r="P279" s="10"/>
      <c r="Q279" s="6"/>
      <c r="R279" s="9"/>
      <c r="S279" s="10"/>
      <c r="T279" s="10"/>
      <c r="V279" s="9"/>
      <c r="W279" s="10"/>
      <c r="X279" s="10"/>
    </row>
    <row r="280" spans="1:24" x14ac:dyDescent="0.3">
      <c r="A280" s="8"/>
      <c r="B280" s="9"/>
      <c r="C280" s="10"/>
      <c r="D280" s="10"/>
      <c r="E280" s="6"/>
      <c r="N280" s="9"/>
      <c r="O280" s="10"/>
      <c r="P280" s="10"/>
      <c r="Q280" s="6"/>
      <c r="R280" s="9"/>
      <c r="S280" s="10"/>
      <c r="T280" s="10"/>
      <c r="V280" s="9"/>
      <c r="W280" s="10"/>
      <c r="X280" s="10"/>
    </row>
    <row r="281" spans="1:24" x14ac:dyDescent="0.3">
      <c r="A281" s="8"/>
      <c r="B281" s="9"/>
      <c r="C281" s="10"/>
      <c r="D281" s="10"/>
      <c r="E281" s="6"/>
      <c r="N281" s="9"/>
      <c r="O281" s="10"/>
      <c r="P281" s="10"/>
      <c r="Q281" s="6"/>
      <c r="R281" s="9"/>
      <c r="S281" s="10"/>
      <c r="T281" s="10"/>
      <c r="V281" s="9"/>
      <c r="W281" s="10"/>
      <c r="X281" s="10"/>
    </row>
    <row r="282" spans="1:24" x14ac:dyDescent="0.3">
      <c r="A282" s="8"/>
      <c r="B282" s="9"/>
      <c r="C282" s="10"/>
      <c r="D282" s="10"/>
      <c r="E282" s="6"/>
      <c r="N282" s="9"/>
      <c r="O282" s="10"/>
      <c r="P282" s="10"/>
      <c r="Q282" s="6"/>
      <c r="R282" s="9"/>
      <c r="S282" s="10"/>
      <c r="T282" s="10"/>
      <c r="V282" s="9"/>
      <c r="W282" s="10"/>
      <c r="X282" s="10"/>
    </row>
    <row r="283" spans="1:24" x14ac:dyDescent="0.3">
      <c r="A283" s="8"/>
      <c r="B283" s="9"/>
      <c r="C283" s="10"/>
      <c r="D283" s="10"/>
      <c r="E283" s="6"/>
      <c r="N283" s="9"/>
      <c r="O283" s="10"/>
      <c r="P283" s="10"/>
      <c r="Q283" s="6"/>
      <c r="R283" s="9"/>
      <c r="S283" s="10"/>
      <c r="T283" s="10"/>
      <c r="V283" s="9"/>
      <c r="W283" s="10"/>
      <c r="X283" s="10"/>
    </row>
    <row r="284" spans="1:24" x14ac:dyDescent="0.3">
      <c r="A284" s="8"/>
      <c r="B284" s="9"/>
      <c r="C284" s="10"/>
      <c r="D284" s="10"/>
      <c r="E284" s="6"/>
      <c r="N284" s="9"/>
      <c r="O284" s="10"/>
      <c r="P284" s="10"/>
      <c r="Q284" s="6"/>
      <c r="R284" s="9"/>
      <c r="S284" s="10"/>
      <c r="T284" s="10"/>
      <c r="V284" s="9"/>
      <c r="W284" s="10"/>
      <c r="X284" s="10"/>
    </row>
    <row r="285" spans="1:24" x14ac:dyDescent="0.3">
      <c r="A285" s="8"/>
      <c r="B285" s="9"/>
      <c r="C285" s="10"/>
      <c r="D285" s="10"/>
      <c r="E285" s="6"/>
      <c r="N285" s="9"/>
      <c r="O285" s="10"/>
      <c r="P285" s="10"/>
      <c r="Q285" s="6"/>
      <c r="R285" s="9"/>
      <c r="S285" s="10"/>
      <c r="T285" s="10"/>
      <c r="V285" s="9"/>
      <c r="W285" s="10"/>
      <c r="X285" s="10"/>
    </row>
    <row r="286" spans="1:24" x14ac:dyDescent="0.3">
      <c r="A286" s="8"/>
      <c r="B286" s="9"/>
      <c r="C286" s="10"/>
      <c r="D286" s="10"/>
      <c r="E286" s="6"/>
      <c r="N286" s="9"/>
      <c r="O286" s="10"/>
      <c r="P286" s="10"/>
      <c r="Q286" s="6"/>
      <c r="R286" s="9"/>
      <c r="S286" s="10"/>
      <c r="T286" s="10"/>
      <c r="V286" s="9"/>
      <c r="W286" s="10"/>
      <c r="X286" s="10"/>
    </row>
    <row r="287" spans="1:24" x14ac:dyDescent="0.3">
      <c r="A287" s="8"/>
      <c r="B287" s="9"/>
      <c r="C287" s="10"/>
      <c r="D287" s="10"/>
      <c r="E287" s="6"/>
      <c r="N287" s="9"/>
      <c r="O287" s="10"/>
      <c r="P287" s="10"/>
      <c r="Q287" s="6"/>
      <c r="R287" s="9"/>
      <c r="S287" s="10"/>
      <c r="T287" s="10"/>
      <c r="V287" s="9"/>
      <c r="W287" s="10"/>
      <c r="X287" s="10"/>
    </row>
    <row r="288" spans="1:24" x14ac:dyDescent="0.3">
      <c r="A288" s="8"/>
      <c r="B288" s="9"/>
      <c r="C288" s="10"/>
      <c r="D288" s="10"/>
      <c r="E288" s="6"/>
      <c r="N288" s="9"/>
      <c r="O288" s="10"/>
      <c r="P288" s="10"/>
      <c r="Q288" s="6"/>
      <c r="R288" s="9"/>
      <c r="S288" s="10"/>
      <c r="T288" s="10"/>
      <c r="V288" s="9"/>
      <c r="W288" s="10"/>
      <c r="X288" s="10"/>
    </row>
    <row r="289" spans="1:24" x14ac:dyDescent="0.3">
      <c r="A289" s="8"/>
      <c r="B289" s="9"/>
      <c r="C289" s="10"/>
      <c r="D289" s="10"/>
      <c r="E289" s="6"/>
      <c r="N289" s="9"/>
      <c r="O289" s="10"/>
      <c r="P289" s="10"/>
      <c r="Q289" s="6"/>
      <c r="R289" s="9"/>
      <c r="S289" s="10"/>
      <c r="T289" s="10"/>
      <c r="V289" s="9"/>
      <c r="W289" s="10"/>
      <c r="X289" s="10"/>
    </row>
    <row r="290" spans="1:24" x14ac:dyDescent="0.3">
      <c r="A290" s="8"/>
      <c r="B290" s="9"/>
      <c r="C290" s="10"/>
      <c r="D290" s="10"/>
      <c r="E290" s="6"/>
      <c r="N290" s="9"/>
      <c r="O290" s="10"/>
      <c r="P290" s="10"/>
      <c r="Q290" s="6"/>
      <c r="R290" s="9"/>
      <c r="S290" s="10"/>
      <c r="T290" s="10"/>
      <c r="V290" s="9"/>
      <c r="W290" s="10"/>
      <c r="X290" s="10"/>
    </row>
    <row r="291" spans="1:24" x14ac:dyDescent="0.3">
      <c r="A291" s="8"/>
      <c r="B291" s="9"/>
      <c r="C291" s="10"/>
      <c r="D291" s="10"/>
      <c r="E291" s="6"/>
      <c r="N291" s="9"/>
      <c r="O291" s="10"/>
      <c r="P291" s="10"/>
      <c r="Q291" s="6"/>
      <c r="R291" s="9"/>
      <c r="S291" s="10"/>
      <c r="T291" s="10"/>
      <c r="V291" s="9"/>
      <c r="W291" s="10"/>
      <c r="X291" s="10"/>
    </row>
    <row r="292" spans="1:24" x14ac:dyDescent="0.3">
      <c r="A292" s="8"/>
      <c r="B292" s="9"/>
      <c r="C292" s="10"/>
      <c r="D292" s="10"/>
      <c r="E292" s="6"/>
      <c r="N292" s="9"/>
      <c r="O292" s="10"/>
      <c r="P292" s="10"/>
      <c r="Q292" s="6"/>
      <c r="R292" s="9"/>
      <c r="S292" s="10"/>
      <c r="T292" s="10"/>
      <c r="V292" s="9"/>
      <c r="W292" s="10"/>
      <c r="X292" s="10"/>
    </row>
    <row r="293" spans="1:24" x14ac:dyDescent="0.3">
      <c r="A293" s="8"/>
      <c r="B293" s="9"/>
      <c r="C293" s="10"/>
      <c r="D293" s="10"/>
      <c r="E293" s="6"/>
      <c r="N293" s="9"/>
      <c r="O293" s="10"/>
      <c r="P293" s="10"/>
      <c r="Q293" s="6"/>
      <c r="R293" s="9"/>
      <c r="S293" s="10"/>
      <c r="T293" s="10"/>
      <c r="V293" s="9"/>
      <c r="W293" s="10"/>
      <c r="X293" s="10"/>
    </row>
    <row r="294" spans="1:24" x14ac:dyDescent="0.3">
      <c r="A294" s="8"/>
      <c r="B294" s="9"/>
      <c r="C294" s="10"/>
      <c r="D294" s="10"/>
      <c r="E294" s="6"/>
      <c r="N294" s="9"/>
      <c r="O294" s="10"/>
      <c r="P294" s="10"/>
      <c r="Q294" s="6"/>
      <c r="R294" s="9"/>
      <c r="S294" s="10"/>
      <c r="T294" s="10"/>
      <c r="V294" s="9"/>
      <c r="W294" s="10"/>
      <c r="X294" s="10"/>
    </row>
    <row r="295" spans="1:24" x14ac:dyDescent="0.3">
      <c r="A295" s="8"/>
      <c r="B295" s="9"/>
      <c r="C295" s="10"/>
      <c r="D295" s="10"/>
      <c r="E295" s="6"/>
      <c r="N295" s="9"/>
      <c r="O295" s="10"/>
      <c r="P295" s="10"/>
      <c r="Q295" s="6"/>
      <c r="R295" s="9"/>
      <c r="S295" s="10"/>
      <c r="T295" s="10"/>
      <c r="V295" s="9"/>
      <c r="W295" s="10"/>
      <c r="X295" s="10"/>
    </row>
    <row r="296" spans="1:24" x14ac:dyDescent="0.3">
      <c r="A296" s="8"/>
      <c r="B296" s="9"/>
      <c r="C296" s="10"/>
      <c r="D296" s="10"/>
      <c r="E296" s="6"/>
      <c r="N296" s="9"/>
      <c r="O296" s="10"/>
      <c r="P296" s="10"/>
      <c r="Q296" s="6"/>
      <c r="R296" s="9"/>
      <c r="S296" s="10"/>
      <c r="T296" s="10"/>
      <c r="V296" s="9"/>
      <c r="W296" s="10"/>
      <c r="X296" s="10"/>
    </row>
    <row r="297" spans="1:24" x14ac:dyDescent="0.3">
      <c r="A297" s="8"/>
      <c r="B297" s="9"/>
      <c r="C297" s="10"/>
      <c r="D297" s="10"/>
      <c r="E297" s="6"/>
      <c r="N297" s="9"/>
      <c r="O297" s="10"/>
      <c r="P297" s="10"/>
      <c r="Q297" s="6"/>
      <c r="R297" s="9"/>
      <c r="S297" s="10"/>
      <c r="T297" s="10"/>
      <c r="V297" s="9"/>
      <c r="W297" s="10"/>
      <c r="X297" s="10"/>
    </row>
    <row r="298" spans="1:24" x14ac:dyDescent="0.3">
      <c r="A298" s="8"/>
      <c r="B298" s="9"/>
      <c r="C298" s="10"/>
      <c r="D298" s="10"/>
      <c r="E298" s="6"/>
      <c r="N298" s="9"/>
      <c r="O298" s="10"/>
      <c r="P298" s="10"/>
      <c r="Q298" s="6"/>
      <c r="R298" s="9"/>
      <c r="S298" s="10"/>
      <c r="T298" s="10"/>
      <c r="V298" s="9"/>
      <c r="W298" s="10"/>
      <c r="X298" s="10"/>
    </row>
    <row r="299" spans="1:24" x14ac:dyDescent="0.3">
      <c r="A299" s="8"/>
      <c r="B299" s="9"/>
      <c r="C299" s="10"/>
      <c r="D299" s="10"/>
      <c r="E299" s="6"/>
      <c r="N299" s="9"/>
      <c r="O299" s="10"/>
      <c r="P299" s="10"/>
      <c r="Q299" s="6"/>
      <c r="R299" s="9"/>
      <c r="S299" s="10"/>
      <c r="T299" s="10"/>
      <c r="V299" s="9"/>
      <c r="W299" s="10"/>
      <c r="X299" s="10"/>
    </row>
    <row r="300" spans="1:24" x14ac:dyDescent="0.3">
      <c r="A300" s="8"/>
      <c r="B300" s="9"/>
      <c r="C300" s="10"/>
      <c r="D300" s="10"/>
      <c r="E300" s="6"/>
      <c r="N300" s="9"/>
      <c r="O300" s="10"/>
      <c r="P300" s="10"/>
      <c r="Q300" s="6"/>
      <c r="R300" s="9"/>
      <c r="S300" s="10"/>
      <c r="T300" s="10"/>
      <c r="V300" s="9"/>
      <c r="W300" s="10"/>
      <c r="X300" s="10"/>
    </row>
    <row r="301" spans="1:24" x14ac:dyDescent="0.3">
      <c r="A301" s="8"/>
      <c r="B301" s="9"/>
      <c r="C301" s="10"/>
      <c r="D301" s="10"/>
      <c r="E301" s="6"/>
      <c r="N301" s="9"/>
      <c r="O301" s="10"/>
      <c r="P301" s="10"/>
      <c r="Q301" s="6"/>
      <c r="R301" s="9"/>
      <c r="S301" s="10"/>
      <c r="T301" s="10"/>
      <c r="V301" s="9"/>
      <c r="W301" s="10"/>
      <c r="X301" s="10"/>
    </row>
    <row r="302" spans="1:24" x14ac:dyDescent="0.3">
      <c r="A302" s="8"/>
      <c r="B302" s="9"/>
      <c r="C302" s="10"/>
      <c r="D302" s="10"/>
      <c r="N302" s="9"/>
      <c r="O302" s="10"/>
      <c r="P302" s="10"/>
      <c r="R302" s="9"/>
      <c r="S302" s="10"/>
      <c r="T302" s="10"/>
      <c r="V302" s="9"/>
      <c r="W302" s="10"/>
      <c r="X302" s="10"/>
    </row>
    <row r="303" spans="1:24" x14ac:dyDescent="0.3">
      <c r="A303" s="8"/>
      <c r="B303" s="9"/>
      <c r="C303" s="10"/>
      <c r="D303" s="10"/>
      <c r="N303" s="9"/>
      <c r="O303" s="10"/>
      <c r="P303" s="10"/>
      <c r="R303" s="9"/>
      <c r="S303" s="10"/>
      <c r="T303" s="10"/>
      <c r="V303" s="9"/>
      <c r="W303" s="10"/>
      <c r="X303" s="10"/>
    </row>
    <row r="304" spans="1:24" x14ac:dyDescent="0.3">
      <c r="A304" s="8"/>
      <c r="B304" s="9"/>
      <c r="C304" s="10"/>
      <c r="D304" s="10"/>
      <c r="N304" s="9"/>
      <c r="O304" s="10"/>
      <c r="P304" s="10"/>
      <c r="R304" s="9"/>
      <c r="S304" s="10"/>
      <c r="T304" s="10"/>
      <c r="V304" s="9"/>
      <c r="W304" s="10"/>
      <c r="X304" s="10"/>
    </row>
    <row r="305" spans="1:24" x14ac:dyDescent="0.3">
      <c r="A305" s="8"/>
      <c r="B305" s="9"/>
      <c r="C305" s="10"/>
      <c r="D305" s="10"/>
      <c r="N305" s="9"/>
      <c r="O305" s="10"/>
      <c r="P305" s="10"/>
      <c r="R305" s="9"/>
      <c r="S305" s="10"/>
      <c r="T305" s="10"/>
      <c r="V305" s="9"/>
      <c r="W305" s="10"/>
      <c r="X305" s="10"/>
    </row>
    <row r="306" spans="1:24" x14ac:dyDescent="0.3">
      <c r="A306" s="8"/>
      <c r="B306" s="9"/>
      <c r="C306" s="10"/>
      <c r="D306" s="10"/>
      <c r="N306" s="9"/>
      <c r="O306" s="10"/>
      <c r="P306" s="10"/>
      <c r="R306" s="9"/>
      <c r="S306" s="10"/>
      <c r="T306" s="10"/>
      <c r="V306" s="9"/>
      <c r="W306" s="10"/>
      <c r="X306" s="10"/>
    </row>
    <row r="307" spans="1:24" x14ac:dyDescent="0.3">
      <c r="A307" s="8"/>
      <c r="B307" s="9"/>
      <c r="C307" s="10"/>
      <c r="D307" s="10"/>
      <c r="N307" s="9"/>
      <c r="O307" s="10"/>
      <c r="P307" s="10"/>
      <c r="R307" s="9"/>
      <c r="S307" s="10"/>
      <c r="T307" s="10"/>
      <c r="V307" s="9"/>
      <c r="W307" s="10"/>
      <c r="X307" s="10"/>
    </row>
    <row r="308" spans="1:24" x14ac:dyDescent="0.3">
      <c r="A308" s="8"/>
      <c r="B308" s="9"/>
      <c r="C308" s="10"/>
      <c r="D308" s="10"/>
      <c r="N308" s="9"/>
      <c r="O308" s="10"/>
      <c r="P308" s="10"/>
      <c r="R308" s="9"/>
      <c r="S308" s="10"/>
      <c r="T308" s="10"/>
      <c r="V308" s="9"/>
      <c r="W308" s="10"/>
      <c r="X308" s="10"/>
    </row>
    <row r="309" spans="1:24" x14ac:dyDescent="0.3">
      <c r="A309" s="8"/>
      <c r="B309" s="9"/>
      <c r="C309" s="10"/>
      <c r="D309" s="10"/>
      <c r="N309" s="9"/>
      <c r="O309" s="10"/>
      <c r="P309" s="10"/>
      <c r="R309" s="9"/>
      <c r="S309" s="10"/>
      <c r="T309" s="10"/>
      <c r="V309" s="9"/>
      <c r="W309" s="10"/>
      <c r="X309" s="10"/>
    </row>
    <row r="310" spans="1:24" x14ac:dyDescent="0.3">
      <c r="A310" s="8"/>
      <c r="B310" s="9"/>
      <c r="C310" s="10"/>
      <c r="D310" s="10"/>
      <c r="N310" s="9"/>
      <c r="O310" s="10"/>
      <c r="P310" s="10"/>
      <c r="R310" s="9"/>
      <c r="S310" s="10"/>
      <c r="T310" s="10"/>
      <c r="V310" s="9"/>
      <c r="W310" s="10"/>
      <c r="X310" s="10"/>
    </row>
    <row r="311" spans="1:24" x14ac:dyDescent="0.3">
      <c r="A311" s="8"/>
      <c r="B311" s="9"/>
      <c r="C311" s="10"/>
      <c r="D311" s="10"/>
      <c r="N311" s="9"/>
      <c r="O311" s="10"/>
      <c r="P311" s="10"/>
      <c r="R311" s="9"/>
      <c r="S311" s="10"/>
      <c r="T311" s="10"/>
      <c r="V311" s="9"/>
      <c r="W311" s="10"/>
      <c r="X311" s="10"/>
    </row>
    <row r="312" spans="1:24" x14ac:dyDescent="0.3">
      <c r="A312" s="8"/>
      <c r="B312" s="9"/>
      <c r="C312" s="10"/>
      <c r="D312" s="10"/>
      <c r="N312" s="9"/>
      <c r="O312" s="10"/>
      <c r="P312" s="10"/>
      <c r="R312" s="9"/>
      <c r="S312" s="10"/>
      <c r="T312" s="10"/>
      <c r="V312" s="9"/>
      <c r="W312" s="10"/>
      <c r="X312" s="10"/>
    </row>
    <row r="313" spans="1:24" x14ac:dyDescent="0.3">
      <c r="A313" s="8"/>
      <c r="B313" s="9"/>
      <c r="C313" s="10"/>
      <c r="D313" s="10"/>
      <c r="N313" s="9"/>
      <c r="O313" s="10"/>
      <c r="P313" s="10"/>
      <c r="R313" s="9"/>
      <c r="S313" s="10"/>
      <c r="T313" s="10"/>
      <c r="V313" s="9"/>
      <c r="W313" s="10"/>
      <c r="X313" s="10"/>
    </row>
    <row r="314" spans="1:24" x14ac:dyDescent="0.3">
      <c r="A314" s="8"/>
      <c r="B314" s="9"/>
      <c r="C314" s="10"/>
      <c r="D314" s="10"/>
      <c r="N314" s="9"/>
      <c r="O314" s="10"/>
      <c r="P314" s="10"/>
      <c r="R314" s="9"/>
      <c r="S314" s="10"/>
      <c r="T314" s="10"/>
      <c r="V314" s="9"/>
      <c r="W314" s="10"/>
      <c r="X314" s="10"/>
    </row>
    <row r="315" spans="1:24" x14ac:dyDescent="0.3">
      <c r="A315" s="8"/>
      <c r="B315" s="9"/>
      <c r="C315" s="10"/>
      <c r="D315" s="10"/>
      <c r="N315" s="9"/>
      <c r="O315" s="10"/>
      <c r="P315" s="10"/>
      <c r="R315" s="9"/>
      <c r="S315" s="10"/>
      <c r="T315" s="10"/>
      <c r="V315" s="9"/>
      <c r="W315" s="10"/>
      <c r="X315" s="10"/>
    </row>
    <row r="316" spans="1:24" x14ac:dyDescent="0.3">
      <c r="A316" s="8"/>
      <c r="B316" s="9"/>
      <c r="C316" s="10"/>
      <c r="D316" s="10"/>
      <c r="N316" s="9"/>
      <c r="O316" s="10"/>
      <c r="P316" s="10"/>
      <c r="R316" s="9"/>
      <c r="S316" s="10"/>
      <c r="T316" s="10"/>
      <c r="V316" s="9"/>
      <c r="W316" s="10"/>
      <c r="X316" s="10"/>
    </row>
    <row r="317" spans="1:24" x14ac:dyDescent="0.3">
      <c r="A317" s="8"/>
      <c r="B317" s="9"/>
      <c r="C317" s="10"/>
      <c r="D317" s="10"/>
      <c r="N317" s="9"/>
      <c r="O317" s="10"/>
      <c r="P317" s="10"/>
      <c r="R317" s="9"/>
      <c r="S317" s="10"/>
      <c r="T317" s="10"/>
      <c r="V317" s="9"/>
      <c r="W317" s="10"/>
      <c r="X317" s="10"/>
    </row>
    <row r="318" spans="1:24" x14ac:dyDescent="0.3">
      <c r="A318" s="8"/>
      <c r="B318" s="9"/>
      <c r="C318" s="10"/>
      <c r="D318" s="10"/>
      <c r="N318" s="9"/>
      <c r="O318" s="10"/>
      <c r="P318" s="10"/>
      <c r="R318" s="9"/>
      <c r="S318" s="10"/>
      <c r="T318" s="10"/>
      <c r="V318" s="9"/>
      <c r="W318" s="10"/>
      <c r="X318" s="10"/>
    </row>
    <row r="319" spans="1:24" x14ac:dyDescent="0.3">
      <c r="A319" s="8"/>
      <c r="B319" s="9"/>
      <c r="C319" s="10"/>
      <c r="D319" s="10"/>
      <c r="N319" s="9"/>
      <c r="O319" s="10"/>
      <c r="P319" s="10"/>
      <c r="R319" s="9"/>
      <c r="S319" s="10"/>
      <c r="T319" s="10"/>
      <c r="V319" s="9"/>
      <c r="W319" s="10"/>
      <c r="X319" s="10"/>
    </row>
    <row r="320" spans="1:24" x14ac:dyDescent="0.3">
      <c r="A320" s="8"/>
      <c r="B320" s="9"/>
      <c r="C320" s="10"/>
      <c r="D320" s="10"/>
      <c r="N320" s="9"/>
      <c r="O320" s="10"/>
      <c r="P320" s="10"/>
      <c r="R320" s="9"/>
      <c r="S320" s="10"/>
      <c r="T320" s="10"/>
      <c r="V320" s="9"/>
      <c r="W320" s="10"/>
      <c r="X320" s="10"/>
    </row>
    <row r="321" spans="1:24" x14ac:dyDescent="0.3">
      <c r="A321" s="8"/>
      <c r="B321" s="9"/>
      <c r="C321" s="10"/>
      <c r="D321" s="10"/>
      <c r="N321" s="9"/>
      <c r="O321" s="10"/>
      <c r="P321" s="10"/>
      <c r="R321" s="9"/>
      <c r="S321" s="10"/>
      <c r="T321" s="10"/>
      <c r="V321" s="9"/>
      <c r="W321" s="10"/>
      <c r="X321" s="10"/>
    </row>
    <row r="322" spans="1:24" x14ac:dyDescent="0.3">
      <c r="A322" s="8"/>
      <c r="B322" s="9"/>
      <c r="C322" s="10"/>
      <c r="D322" s="10"/>
      <c r="N322" s="9"/>
      <c r="O322" s="10"/>
      <c r="P322" s="10"/>
      <c r="R322" s="9"/>
      <c r="S322" s="10"/>
      <c r="T322" s="10"/>
      <c r="V322" s="9"/>
      <c r="W322" s="10"/>
      <c r="X322" s="10"/>
    </row>
    <row r="323" spans="1:24" x14ac:dyDescent="0.3">
      <c r="A323" s="8"/>
      <c r="B323" s="9"/>
      <c r="C323" s="10"/>
      <c r="D323" s="10"/>
      <c r="N323" s="9"/>
      <c r="O323" s="10"/>
      <c r="P323" s="10"/>
      <c r="R323" s="9"/>
      <c r="S323" s="10"/>
      <c r="T323" s="10"/>
      <c r="V323" s="9"/>
      <c r="W323" s="10"/>
      <c r="X323" s="10"/>
    </row>
    <row r="324" spans="1:24" x14ac:dyDescent="0.3">
      <c r="A324" s="8"/>
      <c r="B324" s="9"/>
      <c r="C324" s="10"/>
      <c r="D324" s="10"/>
      <c r="N324" s="9"/>
      <c r="O324" s="10"/>
      <c r="P324" s="10"/>
      <c r="R324" s="9"/>
      <c r="S324" s="10"/>
      <c r="T324" s="10"/>
      <c r="V324" s="9"/>
      <c r="W324" s="10"/>
      <c r="X324" s="10"/>
    </row>
    <row r="325" spans="1:24" x14ac:dyDescent="0.3">
      <c r="A325" s="8"/>
      <c r="B325" s="9"/>
      <c r="C325" s="10"/>
      <c r="D325" s="10"/>
      <c r="N325" s="9"/>
      <c r="O325" s="10"/>
      <c r="P325" s="10"/>
      <c r="R325" s="9"/>
      <c r="S325" s="10"/>
      <c r="T325" s="10"/>
      <c r="V325" s="9"/>
      <c r="W325" s="10"/>
      <c r="X325" s="10"/>
    </row>
    <row r="326" spans="1:24" x14ac:dyDescent="0.3">
      <c r="A326" s="8"/>
      <c r="B326" s="9"/>
      <c r="C326" s="10"/>
      <c r="D326" s="10"/>
      <c r="N326" s="9"/>
      <c r="O326" s="10"/>
      <c r="P326" s="10"/>
      <c r="R326" s="9"/>
      <c r="S326" s="10"/>
      <c r="T326" s="10"/>
      <c r="V326" s="9"/>
      <c r="W326" s="10"/>
      <c r="X326" s="10"/>
    </row>
    <row r="327" spans="1:24" x14ac:dyDescent="0.3">
      <c r="A327" s="8"/>
      <c r="B327" s="9"/>
      <c r="C327" s="10"/>
      <c r="D327" s="10"/>
      <c r="N327" s="9"/>
      <c r="O327" s="10"/>
      <c r="P327" s="10"/>
      <c r="R327" s="9"/>
      <c r="S327" s="10"/>
      <c r="T327" s="10"/>
      <c r="V327" s="9"/>
      <c r="W327" s="10"/>
      <c r="X327" s="10"/>
    </row>
    <row r="328" spans="1:24" x14ac:dyDescent="0.3">
      <c r="A328" s="8"/>
      <c r="B328" s="9"/>
      <c r="C328" s="10"/>
      <c r="D328" s="10"/>
      <c r="N328" s="9"/>
      <c r="O328" s="10"/>
      <c r="P328" s="10"/>
      <c r="R328" s="9"/>
      <c r="S328" s="10"/>
      <c r="T328" s="10"/>
      <c r="V328" s="9"/>
      <c r="W328" s="10"/>
      <c r="X328" s="10"/>
    </row>
    <row r="329" spans="1:24" x14ac:dyDescent="0.3">
      <c r="A329" s="8"/>
      <c r="B329" s="9"/>
      <c r="C329" s="10"/>
      <c r="D329" s="10"/>
      <c r="N329" s="9"/>
      <c r="O329" s="10"/>
      <c r="P329" s="10"/>
      <c r="R329" s="9"/>
      <c r="S329" s="10"/>
      <c r="T329" s="10"/>
      <c r="V329" s="9"/>
      <c r="W329" s="10"/>
      <c r="X329" s="10"/>
    </row>
    <row r="330" spans="1:24" x14ac:dyDescent="0.3">
      <c r="A330" s="8"/>
      <c r="B330" s="9"/>
      <c r="C330" s="10"/>
      <c r="D330" s="10"/>
      <c r="N330" s="9"/>
      <c r="O330" s="10"/>
      <c r="P330" s="10"/>
      <c r="R330" s="9"/>
      <c r="S330" s="10"/>
      <c r="T330" s="10"/>
      <c r="V330" s="9"/>
      <c r="W330" s="10"/>
      <c r="X330" s="10"/>
    </row>
    <row r="331" spans="1:24" x14ac:dyDescent="0.3">
      <c r="A331" s="8"/>
      <c r="B331" s="9"/>
      <c r="C331" s="10"/>
      <c r="D331" s="10"/>
      <c r="N331" s="9"/>
      <c r="O331" s="10"/>
      <c r="P331" s="10"/>
      <c r="R331" s="9"/>
      <c r="S331" s="10"/>
      <c r="T331" s="10"/>
      <c r="V331" s="9"/>
      <c r="W331" s="10"/>
      <c r="X331" s="10"/>
    </row>
    <row r="332" spans="1:24" x14ac:dyDescent="0.3">
      <c r="A332" s="8"/>
      <c r="B332" s="9"/>
      <c r="C332" s="10"/>
      <c r="D332" s="10"/>
      <c r="N332" s="9"/>
      <c r="O332" s="10"/>
      <c r="P332" s="10"/>
      <c r="R332" s="9"/>
      <c r="S332" s="10"/>
      <c r="T332" s="10"/>
      <c r="V332" s="9"/>
      <c r="W332" s="10"/>
      <c r="X332" s="10"/>
    </row>
    <row r="333" spans="1:24" x14ac:dyDescent="0.3">
      <c r="A333" s="8"/>
      <c r="B333" s="9"/>
      <c r="C333" s="10"/>
      <c r="D333" s="10"/>
      <c r="N333" s="9"/>
      <c r="O333" s="10"/>
      <c r="P333" s="10"/>
      <c r="R333" s="9"/>
      <c r="S333" s="10"/>
      <c r="T333" s="10"/>
      <c r="V333" s="9"/>
      <c r="W333" s="10"/>
      <c r="X333" s="10"/>
    </row>
    <row r="334" spans="1:24" x14ac:dyDescent="0.3">
      <c r="A334" s="8"/>
      <c r="B334" s="9"/>
      <c r="C334" s="10"/>
      <c r="D334" s="10"/>
      <c r="N334" s="9"/>
      <c r="O334" s="10"/>
      <c r="P334" s="10"/>
      <c r="R334" s="9"/>
      <c r="S334" s="10"/>
      <c r="T334" s="10"/>
      <c r="V334" s="9"/>
      <c r="W334" s="10"/>
      <c r="X334" s="10"/>
    </row>
    <row r="335" spans="1:24" x14ac:dyDescent="0.3">
      <c r="A335" s="8"/>
      <c r="B335" s="9"/>
      <c r="C335" s="10"/>
      <c r="D335" s="10"/>
      <c r="N335" s="9"/>
      <c r="O335" s="10"/>
      <c r="P335" s="10"/>
      <c r="R335" s="9"/>
      <c r="S335" s="10"/>
      <c r="T335" s="10"/>
      <c r="V335" s="9"/>
      <c r="W335" s="10"/>
      <c r="X335" s="10"/>
    </row>
    <row r="336" spans="1:24" x14ac:dyDescent="0.3">
      <c r="A336" s="8"/>
      <c r="B336" s="9"/>
      <c r="C336" s="10"/>
      <c r="D336" s="10"/>
      <c r="N336" s="9"/>
      <c r="O336" s="10"/>
      <c r="P336" s="10"/>
      <c r="R336" s="9"/>
      <c r="S336" s="10"/>
      <c r="T336" s="10"/>
      <c r="V336" s="9"/>
      <c r="W336" s="10"/>
      <c r="X336" s="10"/>
    </row>
    <row r="337" spans="1:24" x14ac:dyDescent="0.3">
      <c r="A337" s="8"/>
      <c r="B337" s="9"/>
      <c r="C337" s="10"/>
      <c r="D337" s="10"/>
      <c r="N337" s="9"/>
      <c r="O337" s="10"/>
      <c r="P337" s="10"/>
      <c r="R337" s="9"/>
      <c r="S337" s="10"/>
      <c r="T337" s="10"/>
      <c r="V337" s="9"/>
      <c r="W337" s="10"/>
      <c r="X337" s="10"/>
    </row>
    <row r="338" spans="1:24" x14ac:dyDescent="0.3">
      <c r="A338" s="8"/>
      <c r="B338" s="9"/>
      <c r="C338" s="10"/>
      <c r="D338" s="10"/>
      <c r="N338" s="9"/>
      <c r="O338" s="10"/>
      <c r="P338" s="10"/>
      <c r="R338" s="9"/>
      <c r="S338" s="10"/>
      <c r="T338" s="10"/>
      <c r="V338" s="9"/>
      <c r="W338" s="10"/>
      <c r="X338" s="10"/>
    </row>
    <row r="339" spans="1:24" x14ac:dyDescent="0.3">
      <c r="A339" s="8"/>
      <c r="B339" s="9"/>
      <c r="C339" s="10"/>
      <c r="D339" s="10"/>
      <c r="N339" s="9"/>
      <c r="O339" s="10"/>
      <c r="P339" s="10"/>
      <c r="R339" s="9"/>
      <c r="S339" s="10"/>
      <c r="T339" s="10"/>
      <c r="V339" s="9"/>
      <c r="W339" s="10"/>
      <c r="X339" s="10"/>
    </row>
    <row r="340" spans="1:24" x14ac:dyDescent="0.3">
      <c r="A340" s="8"/>
      <c r="B340" s="9"/>
      <c r="C340" s="10"/>
      <c r="D340" s="10"/>
      <c r="N340" s="9"/>
      <c r="O340" s="10"/>
      <c r="P340" s="10"/>
      <c r="R340" s="9"/>
      <c r="S340" s="10"/>
      <c r="T340" s="10"/>
      <c r="V340" s="9"/>
      <c r="W340" s="10"/>
      <c r="X340" s="10"/>
    </row>
    <row r="341" spans="1:24" x14ac:dyDescent="0.3">
      <c r="A341" s="8"/>
      <c r="B341" s="9"/>
      <c r="C341" s="10"/>
      <c r="D341" s="10"/>
      <c r="N341" s="9"/>
      <c r="O341" s="10"/>
      <c r="P341" s="10"/>
      <c r="R341" s="9"/>
      <c r="S341" s="10"/>
      <c r="T341" s="10"/>
      <c r="V341" s="9"/>
      <c r="W341" s="10"/>
      <c r="X341" s="10"/>
    </row>
    <row r="342" spans="1:24" x14ac:dyDescent="0.3">
      <c r="A342" s="8"/>
      <c r="B342" s="9"/>
      <c r="C342" s="10"/>
      <c r="D342" s="10"/>
      <c r="N342" s="9"/>
      <c r="O342" s="10"/>
      <c r="P342" s="10"/>
      <c r="R342" s="9"/>
      <c r="S342" s="10"/>
      <c r="T342" s="10"/>
      <c r="V342" s="9"/>
      <c r="W342" s="10"/>
      <c r="X342" s="10"/>
    </row>
    <row r="343" spans="1:24" x14ac:dyDescent="0.3">
      <c r="A343" s="8"/>
      <c r="B343" s="9"/>
      <c r="C343" s="10"/>
      <c r="D343" s="10"/>
      <c r="N343" s="9"/>
      <c r="O343" s="10"/>
      <c r="P343" s="10"/>
      <c r="R343" s="9"/>
      <c r="S343" s="10"/>
      <c r="T343" s="10"/>
      <c r="V343" s="9"/>
      <c r="W343" s="10"/>
      <c r="X343" s="10"/>
    </row>
    <row r="344" spans="1:24" x14ac:dyDescent="0.3">
      <c r="A344" s="8"/>
      <c r="B344" s="9"/>
      <c r="C344" s="10"/>
      <c r="D344" s="10"/>
      <c r="N344" s="9"/>
      <c r="O344" s="10"/>
      <c r="P344" s="10"/>
      <c r="R344" s="9"/>
      <c r="S344" s="10"/>
      <c r="T344" s="10"/>
      <c r="V344" s="9"/>
      <c r="W344" s="10"/>
      <c r="X344" s="10"/>
    </row>
    <row r="345" spans="1:24" x14ac:dyDescent="0.3">
      <c r="A345" s="8"/>
      <c r="B345" s="9"/>
      <c r="C345" s="10"/>
      <c r="D345" s="10"/>
      <c r="N345" s="9"/>
      <c r="O345" s="10"/>
      <c r="P345" s="10"/>
      <c r="R345" s="9"/>
      <c r="S345" s="10"/>
      <c r="T345" s="10"/>
      <c r="V345" s="9"/>
      <c r="W345" s="10"/>
      <c r="X345" s="10"/>
    </row>
    <row r="346" spans="1:24" x14ac:dyDescent="0.3">
      <c r="A346" s="8"/>
      <c r="B346" s="9"/>
      <c r="C346" s="10"/>
      <c r="D346" s="10"/>
      <c r="N346" s="9"/>
      <c r="O346" s="10"/>
      <c r="P346" s="10"/>
      <c r="R346" s="9"/>
      <c r="S346" s="10"/>
      <c r="T346" s="10"/>
      <c r="V346" s="9"/>
      <c r="W346" s="10"/>
      <c r="X346" s="10"/>
    </row>
    <row r="347" spans="1:24" x14ac:dyDescent="0.3">
      <c r="A347" s="8"/>
      <c r="B347" s="9"/>
      <c r="C347" s="10"/>
      <c r="D347" s="10"/>
      <c r="N347" s="9"/>
      <c r="O347" s="10"/>
      <c r="P347" s="10"/>
      <c r="R347" s="9"/>
      <c r="S347" s="10"/>
      <c r="T347" s="10"/>
      <c r="V347" s="9"/>
      <c r="W347" s="10"/>
      <c r="X347" s="10"/>
    </row>
    <row r="348" spans="1:24" x14ac:dyDescent="0.3">
      <c r="A348" s="8"/>
      <c r="B348" s="9"/>
      <c r="C348" s="10"/>
      <c r="D348" s="10"/>
      <c r="N348" s="9"/>
      <c r="O348" s="10"/>
      <c r="P348" s="10"/>
      <c r="R348" s="9"/>
      <c r="S348" s="10"/>
      <c r="T348" s="10"/>
      <c r="V348" s="9"/>
      <c r="W348" s="10"/>
      <c r="X348" s="10"/>
    </row>
    <row r="349" spans="1:24" x14ac:dyDescent="0.3">
      <c r="A349" s="8"/>
      <c r="B349" s="9"/>
      <c r="C349" s="10"/>
      <c r="D349" s="10"/>
      <c r="N349" s="9"/>
      <c r="O349" s="10"/>
      <c r="P349" s="10"/>
      <c r="R349" s="9"/>
      <c r="S349" s="10"/>
      <c r="T349" s="10"/>
      <c r="V349" s="9"/>
      <c r="W349" s="10"/>
      <c r="X349" s="10"/>
    </row>
    <row r="350" spans="1:24" x14ac:dyDescent="0.3">
      <c r="A350" s="8"/>
      <c r="B350" s="9"/>
      <c r="C350" s="10"/>
      <c r="D350" s="10"/>
      <c r="N350" s="9"/>
      <c r="O350" s="10"/>
      <c r="P350" s="10"/>
      <c r="R350" s="9"/>
      <c r="S350" s="10"/>
      <c r="T350" s="10"/>
      <c r="V350" s="9"/>
      <c r="W350" s="10"/>
      <c r="X350" s="10"/>
    </row>
    <row r="351" spans="1:24" x14ac:dyDescent="0.3">
      <c r="A351" s="8"/>
      <c r="B351" s="9"/>
      <c r="C351" s="10"/>
      <c r="D351" s="10"/>
      <c r="N351" s="9"/>
      <c r="O351" s="10"/>
      <c r="P351" s="10"/>
      <c r="R351" s="9"/>
      <c r="S351" s="10"/>
      <c r="T351" s="10"/>
      <c r="V351" s="9"/>
      <c r="W351" s="10"/>
      <c r="X351" s="10"/>
    </row>
    <row r="352" spans="1:24" x14ac:dyDescent="0.3">
      <c r="A352" s="8"/>
      <c r="B352" s="9"/>
      <c r="C352" s="10"/>
      <c r="D352" s="10"/>
      <c r="N352" s="9"/>
      <c r="O352" s="10"/>
      <c r="P352" s="10"/>
      <c r="R352" s="9"/>
      <c r="S352" s="10"/>
      <c r="T352" s="10"/>
      <c r="V352" s="9"/>
      <c r="W352" s="10"/>
      <c r="X352" s="10"/>
    </row>
    <row r="353" spans="1:24" x14ac:dyDescent="0.3">
      <c r="A353" s="8"/>
      <c r="B353" s="9"/>
      <c r="C353" s="10"/>
      <c r="D353" s="10"/>
      <c r="N353" s="9"/>
      <c r="O353" s="10"/>
      <c r="P353" s="10"/>
      <c r="R353" s="9"/>
      <c r="S353" s="10"/>
      <c r="T353" s="10"/>
      <c r="V353" s="9"/>
      <c r="W353" s="10"/>
      <c r="X353" s="10"/>
    </row>
    <row r="354" spans="1:24" x14ac:dyDescent="0.3">
      <c r="A354" s="8"/>
      <c r="B354" s="9"/>
      <c r="C354" s="10"/>
      <c r="D354" s="10"/>
      <c r="N354" s="9"/>
      <c r="O354" s="10"/>
      <c r="P354" s="10"/>
      <c r="R354" s="9"/>
      <c r="S354" s="10"/>
      <c r="T354" s="10"/>
      <c r="V354" s="9"/>
      <c r="W354" s="10"/>
      <c r="X354" s="10"/>
    </row>
    <row r="355" spans="1:24" x14ac:dyDescent="0.3">
      <c r="A355" s="8"/>
      <c r="B355" s="9"/>
      <c r="C355" s="10"/>
      <c r="D355" s="10"/>
      <c r="N355" s="9"/>
      <c r="O355" s="10"/>
      <c r="P355" s="10"/>
      <c r="R355" s="9"/>
      <c r="S355" s="10"/>
      <c r="T355" s="10"/>
      <c r="V355" s="9"/>
      <c r="W355" s="10"/>
      <c r="X355" s="10"/>
    </row>
    <row r="356" spans="1:24" x14ac:dyDescent="0.3">
      <c r="A356" s="8"/>
      <c r="B356" s="9"/>
      <c r="C356" s="10"/>
      <c r="D356" s="10"/>
      <c r="N356" s="9"/>
      <c r="O356" s="10"/>
      <c r="P356" s="10"/>
      <c r="R356" s="9"/>
      <c r="S356" s="10"/>
      <c r="T356" s="10"/>
      <c r="V356" s="9"/>
      <c r="W356" s="10"/>
      <c r="X356" s="10"/>
    </row>
    <row r="357" spans="1:24" x14ac:dyDescent="0.3">
      <c r="A357" s="8"/>
      <c r="B357" s="9"/>
      <c r="C357" s="10"/>
      <c r="D357" s="10"/>
      <c r="N357" s="9"/>
      <c r="O357" s="10"/>
      <c r="P357" s="10"/>
      <c r="R357" s="9"/>
      <c r="S357" s="10"/>
      <c r="T357" s="10"/>
      <c r="V357" s="9"/>
      <c r="W357" s="10"/>
      <c r="X357" s="10"/>
    </row>
    <row r="358" spans="1:24" x14ac:dyDescent="0.3">
      <c r="A358" s="8"/>
      <c r="B358" s="9"/>
      <c r="C358" s="10"/>
      <c r="D358" s="10"/>
      <c r="N358" s="9"/>
      <c r="O358" s="10"/>
      <c r="P358" s="10"/>
      <c r="R358" s="9"/>
      <c r="S358" s="10"/>
      <c r="T358" s="10"/>
      <c r="V358" s="9"/>
      <c r="W358" s="10"/>
      <c r="X358" s="10"/>
    </row>
    <row r="359" spans="1:24" x14ac:dyDescent="0.3">
      <c r="A359" s="8"/>
      <c r="B359" s="9"/>
      <c r="C359" s="10"/>
      <c r="D359" s="10"/>
      <c r="N359" s="9"/>
      <c r="O359" s="10"/>
      <c r="P359" s="10"/>
      <c r="R359" s="9"/>
      <c r="S359" s="10"/>
      <c r="T359" s="10"/>
      <c r="V359" s="9"/>
      <c r="W359" s="10"/>
      <c r="X359" s="10"/>
    </row>
    <row r="360" spans="1:24" x14ac:dyDescent="0.3">
      <c r="A360" s="8"/>
      <c r="B360" s="9"/>
      <c r="C360" s="10"/>
      <c r="D360" s="10"/>
      <c r="N360" s="9"/>
      <c r="O360" s="10"/>
      <c r="P360" s="10"/>
      <c r="R360" s="9"/>
      <c r="S360" s="10"/>
      <c r="T360" s="10"/>
      <c r="V360" s="9"/>
      <c r="W360" s="10"/>
      <c r="X360" s="10"/>
    </row>
    <row r="361" spans="1:24" x14ac:dyDescent="0.3">
      <c r="A361" s="8"/>
      <c r="B361" s="9"/>
      <c r="C361" s="10"/>
      <c r="D361" s="10"/>
      <c r="N361" s="9"/>
      <c r="O361" s="10"/>
      <c r="P361" s="10"/>
      <c r="R361" s="9"/>
      <c r="S361" s="10"/>
      <c r="T361" s="10"/>
      <c r="V361" s="9"/>
      <c r="W361" s="10"/>
      <c r="X361" s="10"/>
    </row>
    <row r="362" spans="1:24" x14ac:dyDescent="0.3">
      <c r="A362" s="8"/>
      <c r="B362" s="9"/>
      <c r="C362" s="10"/>
      <c r="D362" s="10"/>
      <c r="N362" s="9"/>
      <c r="O362" s="10"/>
      <c r="P362" s="10"/>
      <c r="R362" s="9"/>
      <c r="S362" s="10"/>
      <c r="T362" s="10"/>
      <c r="V362" s="9"/>
      <c r="W362" s="10"/>
      <c r="X362" s="10"/>
    </row>
    <row r="363" spans="1:24" x14ac:dyDescent="0.3">
      <c r="A363" s="8"/>
      <c r="B363" s="9"/>
      <c r="C363" s="10"/>
      <c r="D363" s="10"/>
      <c r="N363" s="9"/>
      <c r="O363" s="10"/>
      <c r="P363" s="10"/>
      <c r="R363" s="9"/>
      <c r="S363" s="10"/>
      <c r="T363" s="10"/>
      <c r="V363" s="9"/>
      <c r="W363" s="10"/>
      <c r="X363" s="10"/>
    </row>
    <row r="364" spans="1:24" x14ac:dyDescent="0.3">
      <c r="A364" s="8"/>
      <c r="B364" s="9"/>
      <c r="C364" s="10"/>
      <c r="D364" s="10"/>
      <c r="N364" s="9"/>
      <c r="O364" s="10"/>
      <c r="P364" s="10"/>
      <c r="R364" s="9"/>
      <c r="S364" s="10"/>
      <c r="T364" s="10"/>
      <c r="V364" s="9"/>
      <c r="W364" s="10"/>
      <c r="X364" s="10"/>
    </row>
    <row r="365" spans="1:24" x14ac:dyDescent="0.3">
      <c r="A365" s="8"/>
      <c r="B365" s="9"/>
      <c r="C365" s="10"/>
      <c r="D365" s="10"/>
      <c r="N365" s="9"/>
      <c r="O365" s="10"/>
      <c r="P365" s="10"/>
      <c r="R365" s="9"/>
      <c r="S365" s="10"/>
      <c r="T365" s="10"/>
      <c r="V365" s="9"/>
      <c r="W365" s="10"/>
      <c r="X365" s="10"/>
    </row>
    <row r="366" spans="1:24" x14ac:dyDescent="0.3">
      <c r="A366" s="8"/>
      <c r="B366" s="9"/>
      <c r="C366" s="10"/>
      <c r="D366" s="10"/>
      <c r="N366" s="9"/>
      <c r="O366" s="10"/>
      <c r="P366" s="10"/>
      <c r="R366" s="9"/>
      <c r="S366" s="10"/>
      <c r="T366" s="10"/>
      <c r="V366" s="9"/>
      <c r="W366" s="10"/>
      <c r="X366" s="10"/>
    </row>
    <row r="367" spans="1:24" x14ac:dyDescent="0.3">
      <c r="A367" s="8"/>
      <c r="B367" s="9"/>
      <c r="C367" s="10"/>
      <c r="D367" s="10"/>
      <c r="N367" s="9"/>
      <c r="O367" s="10"/>
      <c r="P367" s="10"/>
      <c r="R367" s="9"/>
      <c r="S367" s="10"/>
      <c r="T367" s="10"/>
      <c r="V367" s="9"/>
      <c r="W367" s="10"/>
      <c r="X367" s="10"/>
    </row>
    <row r="368" spans="1:24" x14ac:dyDescent="0.3">
      <c r="A368" s="8"/>
      <c r="B368" s="9"/>
      <c r="C368" s="10"/>
      <c r="D368" s="10"/>
      <c r="N368" s="9"/>
      <c r="O368" s="10"/>
      <c r="P368" s="10"/>
      <c r="R368" s="9"/>
      <c r="S368" s="10"/>
      <c r="T368" s="10"/>
      <c r="V368" s="9"/>
      <c r="W368" s="10"/>
      <c r="X368" s="10"/>
    </row>
    <row r="369" spans="1:24" x14ac:dyDescent="0.3">
      <c r="A369" s="8"/>
      <c r="B369" s="9"/>
      <c r="C369" s="10"/>
      <c r="D369" s="10"/>
      <c r="N369" s="9"/>
      <c r="O369" s="10"/>
      <c r="P369" s="10"/>
      <c r="R369" s="9"/>
      <c r="S369" s="10"/>
      <c r="T369" s="10"/>
      <c r="V369" s="9"/>
      <c r="W369" s="10"/>
      <c r="X369" s="10"/>
    </row>
    <row r="370" spans="1:24" x14ac:dyDescent="0.3">
      <c r="A370" s="8"/>
      <c r="B370" s="9"/>
      <c r="C370" s="10"/>
      <c r="D370" s="10"/>
      <c r="N370" s="9"/>
      <c r="O370" s="10"/>
      <c r="P370" s="10"/>
      <c r="R370" s="9"/>
      <c r="S370" s="10"/>
      <c r="T370" s="10"/>
      <c r="V370" s="9"/>
      <c r="W370" s="10"/>
      <c r="X370" s="10"/>
    </row>
    <row r="371" spans="1:24" x14ac:dyDescent="0.3">
      <c r="A371" s="8"/>
      <c r="B371" s="9"/>
      <c r="C371" s="10"/>
      <c r="D371" s="10"/>
      <c r="N371" s="9"/>
      <c r="O371" s="10"/>
      <c r="P371" s="10"/>
      <c r="R371" s="9"/>
      <c r="S371" s="10"/>
      <c r="T371" s="10"/>
      <c r="V371" s="9"/>
      <c r="W371" s="10"/>
      <c r="X371" s="10"/>
    </row>
    <row r="372" spans="1:24" x14ac:dyDescent="0.3">
      <c r="A372" s="8"/>
      <c r="B372" s="9"/>
      <c r="C372" s="10"/>
      <c r="D372" s="10"/>
      <c r="N372" s="9"/>
      <c r="O372" s="10"/>
      <c r="P372" s="10"/>
      <c r="R372" s="9"/>
      <c r="S372" s="10"/>
      <c r="T372" s="10"/>
      <c r="V372" s="9"/>
      <c r="W372" s="10"/>
      <c r="X372" s="10"/>
    </row>
    <row r="373" spans="1:24" x14ac:dyDescent="0.3">
      <c r="A373" s="8"/>
      <c r="B373" s="9"/>
      <c r="C373" s="10"/>
      <c r="D373" s="10"/>
      <c r="N373" s="9"/>
      <c r="O373" s="10"/>
      <c r="P373" s="10"/>
      <c r="R373" s="9"/>
      <c r="S373" s="10"/>
      <c r="T373" s="10"/>
      <c r="V373" s="9"/>
      <c r="W373" s="10"/>
      <c r="X373" s="10"/>
    </row>
    <row r="374" spans="1:24" x14ac:dyDescent="0.3">
      <c r="A374" s="8"/>
      <c r="B374" s="9"/>
      <c r="C374" s="10"/>
      <c r="D374" s="10"/>
      <c r="N374" s="9"/>
      <c r="O374" s="10"/>
      <c r="P374" s="10"/>
      <c r="R374" s="9"/>
      <c r="S374" s="10"/>
      <c r="T374" s="10"/>
      <c r="V374" s="9"/>
      <c r="W374" s="10"/>
      <c r="X374" s="10"/>
    </row>
    <row r="375" spans="1:24" x14ac:dyDescent="0.3">
      <c r="A375" s="8"/>
      <c r="B375" s="9"/>
      <c r="C375" s="10"/>
      <c r="D375" s="10"/>
      <c r="N375" s="9"/>
      <c r="O375" s="10"/>
      <c r="P375" s="10"/>
      <c r="R375" s="9"/>
      <c r="S375" s="10"/>
      <c r="T375" s="10"/>
      <c r="V375" s="9"/>
      <c r="W375" s="10"/>
      <c r="X375" s="10"/>
    </row>
    <row r="376" spans="1:24" x14ac:dyDescent="0.3">
      <c r="A376" s="8"/>
      <c r="B376" s="9"/>
      <c r="C376" s="10"/>
      <c r="D376" s="10"/>
      <c r="N376" s="9"/>
      <c r="O376" s="10"/>
      <c r="P376" s="10"/>
      <c r="R376" s="9"/>
      <c r="S376" s="10"/>
      <c r="T376" s="10"/>
      <c r="V376" s="9"/>
      <c r="W376" s="10"/>
      <c r="X376" s="10"/>
    </row>
    <row r="377" spans="1:24" x14ac:dyDescent="0.3">
      <c r="A377" s="8"/>
      <c r="B377" s="9"/>
      <c r="C377" s="10"/>
      <c r="D377" s="10"/>
      <c r="N377" s="9"/>
      <c r="O377" s="10"/>
      <c r="P377" s="10"/>
      <c r="R377" s="9"/>
      <c r="S377" s="10"/>
      <c r="T377" s="10"/>
      <c r="V377" s="9"/>
      <c r="W377" s="10"/>
      <c r="X377" s="10"/>
    </row>
    <row r="378" spans="1:24" x14ac:dyDescent="0.3">
      <c r="A378" s="8"/>
      <c r="B378" s="9"/>
      <c r="C378" s="10"/>
      <c r="D378" s="10"/>
      <c r="N378" s="9"/>
      <c r="O378" s="10"/>
      <c r="P378" s="10"/>
      <c r="R378" s="9"/>
      <c r="S378" s="10"/>
      <c r="T378" s="10"/>
      <c r="V378" s="9"/>
      <c r="W378" s="10"/>
      <c r="X378" s="10"/>
    </row>
    <row r="379" spans="1:24" x14ac:dyDescent="0.3">
      <c r="A379" s="8"/>
      <c r="B379" s="9"/>
      <c r="C379" s="10"/>
      <c r="D379" s="10"/>
      <c r="N379" s="9"/>
      <c r="O379" s="10"/>
      <c r="P379" s="10"/>
      <c r="R379" s="9"/>
      <c r="S379" s="10"/>
      <c r="T379" s="10"/>
      <c r="V379" s="9"/>
      <c r="W379" s="10"/>
      <c r="X379" s="10"/>
    </row>
    <row r="380" spans="1:24" x14ac:dyDescent="0.3">
      <c r="A380" s="8"/>
      <c r="B380" s="9"/>
      <c r="C380" s="10"/>
      <c r="D380" s="10"/>
      <c r="N380" s="9"/>
      <c r="O380" s="10"/>
      <c r="P380" s="10"/>
      <c r="R380" s="9"/>
      <c r="S380" s="10"/>
      <c r="T380" s="10"/>
      <c r="V380" s="9"/>
      <c r="W380" s="10"/>
      <c r="X380" s="10"/>
    </row>
    <row r="381" spans="1:24" x14ac:dyDescent="0.3">
      <c r="A381" s="8"/>
      <c r="B381" s="9"/>
      <c r="C381" s="10"/>
      <c r="D381" s="10"/>
      <c r="N381" s="9"/>
      <c r="O381" s="10"/>
      <c r="P381" s="10"/>
      <c r="R381" s="9"/>
      <c r="S381" s="10"/>
      <c r="T381" s="10"/>
      <c r="V381" s="9"/>
      <c r="W381" s="10"/>
      <c r="X381" s="10"/>
    </row>
    <row r="382" spans="1:24" x14ac:dyDescent="0.3">
      <c r="A382" s="8"/>
      <c r="B382" s="9"/>
      <c r="C382" s="10"/>
      <c r="D382" s="10"/>
      <c r="N382" s="9"/>
      <c r="O382" s="10"/>
      <c r="P382" s="10"/>
      <c r="R382" s="9"/>
      <c r="S382" s="10"/>
      <c r="T382" s="10"/>
      <c r="V382" s="9"/>
      <c r="W382" s="10"/>
      <c r="X382" s="10"/>
    </row>
    <row r="383" spans="1:24" x14ac:dyDescent="0.3">
      <c r="A383" s="8"/>
      <c r="B383" s="9"/>
      <c r="C383" s="10"/>
      <c r="D383" s="10"/>
      <c r="N383" s="9"/>
      <c r="O383" s="10"/>
      <c r="P383" s="10"/>
      <c r="R383" s="9"/>
      <c r="S383" s="10"/>
      <c r="T383" s="10"/>
      <c r="V383" s="9"/>
      <c r="W383" s="10"/>
      <c r="X383" s="10"/>
    </row>
    <row r="384" spans="1:24" x14ac:dyDescent="0.3">
      <c r="A384" s="8"/>
      <c r="B384" s="9"/>
      <c r="C384" s="10"/>
      <c r="D384" s="10"/>
      <c r="N384" s="9"/>
      <c r="O384" s="10"/>
      <c r="P384" s="10"/>
      <c r="R384" s="9"/>
      <c r="S384" s="10"/>
      <c r="T384" s="10"/>
      <c r="V384" s="9"/>
      <c r="W384" s="10"/>
      <c r="X384" s="10"/>
    </row>
    <row r="385" spans="1:24" x14ac:dyDescent="0.3">
      <c r="A385" s="8"/>
      <c r="B385" s="9"/>
      <c r="C385" s="10"/>
      <c r="D385" s="10"/>
      <c r="N385" s="9"/>
      <c r="O385" s="10"/>
      <c r="P385" s="10"/>
      <c r="R385" s="9"/>
      <c r="S385" s="10"/>
      <c r="T385" s="10"/>
      <c r="V385" s="9"/>
      <c r="W385" s="10"/>
      <c r="X385" s="10"/>
    </row>
    <row r="386" spans="1:24" x14ac:dyDescent="0.3">
      <c r="A386" s="8"/>
      <c r="B386" s="9"/>
      <c r="C386" s="10"/>
      <c r="D386" s="10"/>
      <c r="N386" s="9"/>
      <c r="O386" s="10"/>
      <c r="P386" s="10"/>
      <c r="R386" s="9"/>
      <c r="S386" s="10"/>
      <c r="T386" s="10"/>
      <c r="V386" s="9"/>
      <c r="W386" s="10"/>
      <c r="X386" s="10"/>
    </row>
    <row r="387" spans="1:24" x14ac:dyDescent="0.3">
      <c r="A387" s="8"/>
      <c r="B387" s="9"/>
      <c r="C387" s="10"/>
      <c r="D387" s="10"/>
      <c r="N387" s="9"/>
      <c r="O387" s="10"/>
      <c r="P387" s="10"/>
      <c r="R387" s="9"/>
      <c r="S387" s="10"/>
      <c r="T387" s="10"/>
      <c r="V387" s="9"/>
      <c r="W387" s="10"/>
      <c r="X387" s="10"/>
    </row>
    <row r="388" spans="1:24" x14ac:dyDescent="0.3">
      <c r="A388" s="8"/>
      <c r="B388" s="9"/>
      <c r="C388" s="10"/>
      <c r="D388" s="10"/>
      <c r="N388" s="9"/>
      <c r="O388" s="10"/>
      <c r="P388" s="10"/>
      <c r="R388" s="9"/>
      <c r="S388" s="10"/>
      <c r="T388" s="10"/>
      <c r="V388" s="9"/>
      <c r="W388" s="10"/>
      <c r="X388" s="10"/>
    </row>
    <row r="389" spans="1:24" x14ac:dyDescent="0.3">
      <c r="A389" s="8"/>
      <c r="B389" s="9"/>
      <c r="C389" s="10"/>
      <c r="D389" s="10"/>
      <c r="N389" s="9"/>
      <c r="O389" s="10"/>
      <c r="P389" s="10"/>
      <c r="R389" s="9"/>
      <c r="S389" s="10"/>
      <c r="T389" s="10"/>
      <c r="V389" s="9"/>
      <c r="W389" s="10"/>
      <c r="X389" s="10"/>
    </row>
    <row r="390" spans="1:24" x14ac:dyDescent="0.3">
      <c r="A390" s="8"/>
      <c r="B390" s="9"/>
      <c r="C390" s="10"/>
      <c r="D390" s="10"/>
      <c r="N390" s="9"/>
      <c r="O390" s="10"/>
      <c r="P390" s="10"/>
      <c r="R390" s="9"/>
      <c r="S390" s="10"/>
      <c r="T390" s="10"/>
      <c r="V390" s="9"/>
      <c r="W390" s="10"/>
      <c r="X390" s="10"/>
    </row>
    <row r="391" spans="1:24" x14ac:dyDescent="0.3">
      <c r="A391" s="8"/>
      <c r="B391" s="9"/>
      <c r="C391" s="10"/>
      <c r="D391" s="10"/>
      <c r="N391" s="9"/>
      <c r="O391" s="10"/>
      <c r="P391" s="10"/>
      <c r="R391" s="9"/>
      <c r="S391" s="10"/>
      <c r="T391" s="10"/>
      <c r="V391" s="9"/>
      <c r="W391" s="10"/>
      <c r="X391" s="10"/>
    </row>
    <row r="392" spans="1:24" x14ac:dyDescent="0.3">
      <c r="A392" s="8"/>
      <c r="B392" s="9"/>
      <c r="C392" s="10"/>
      <c r="D392" s="10"/>
      <c r="N392" s="9"/>
      <c r="O392" s="10"/>
      <c r="P392" s="10"/>
      <c r="R392" s="9"/>
      <c r="S392" s="10"/>
      <c r="T392" s="10"/>
      <c r="V392" s="9"/>
      <c r="W392" s="10"/>
      <c r="X392" s="10"/>
    </row>
    <row r="393" spans="1:24" x14ac:dyDescent="0.3">
      <c r="A393" s="8"/>
      <c r="B393" s="9"/>
      <c r="C393" s="10"/>
      <c r="D393" s="10"/>
      <c r="N393" s="9"/>
      <c r="O393" s="10"/>
      <c r="P393" s="10"/>
      <c r="R393" s="9"/>
      <c r="S393" s="10"/>
      <c r="T393" s="10"/>
      <c r="V393" s="9"/>
      <c r="W393" s="10"/>
      <c r="X393" s="10"/>
    </row>
    <row r="394" spans="1:24" x14ac:dyDescent="0.3">
      <c r="A394" s="8"/>
      <c r="B394" s="9"/>
      <c r="C394" s="10"/>
      <c r="D394" s="10"/>
      <c r="N394" s="9"/>
      <c r="O394" s="10"/>
      <c r="P394" s="10"/>
      <c r="R394" s="9"/>
      <c r="S394" s="10"/>
      <c r="T394" s="10"/>
      <c r="V394" s="9"/>
      <c r="W394" s="10"/>
      <c r="X394" s="10"/>
    </row>
    <row r="395" spans="1:24" x14ac:dyDescent="0.3">
      <c r="A395" s="8"/>
      <c r="B395" s="9"/>
      <c r="C395" s="10"/>
      <c r="D395" s="10"/>
      <c r="N395" s="9"/>
      <c r="O395" s="10"/>
      <c r="P395" s="10"/>
      <c r="R395" s="9"/>
      <c r="S395" s="10"/>
      <c r="T395" s="10"/>
      <c r="V395" s="9"/>
      <c r="W395" s="10"/>
      <c r="X395" s="10"/>
    </row>
    <row r="396" spans="1:24" x14ac:dyDescent="0.3">
      <c r="A396" s="8"/>
      <c r="B396" s="9"/>
      <c r="C396" s="10"/>
      <c r="D396" s="10"/>
      <c r="N396" s="9"/>
      <c r="O396" s="10"/>
      <c r="P396" s="10"/>
      <c r="R396" s="9"/>
      <c r="S396" s="10"/>
      <c r="T396" s="10"/>
      <c r="V396" s="9"/>
      <c r="W396" s="10"/>
      <c r="X396" s="10"/>
    </row>
    <row r="397" spans="1:24" x14ac:dyDescent="0.3">
      <c r="A397" s="8"/>
      <c r="B397" s="9"/>
      <c r="C397" s="10"/>
      <c r="D397" s="10"/>
      <c r="N397" s="9"/>
      <c r="O397" s="10"/>
      <c r="P397" s="10"/>
      <c r="R397" s="9"/>
      <c r="S397" s="10"/>
      <c r="T397" s="10"/>
      <c r="V397" s="9"/>
      <c r="W397" s="10"/>
      <c r="X397" s="10"/>
    </row>
    <row r="398" spans="1:24" x14ac:dyDescent="0.3">
      <c r="A398" s="8"/>
      <c r="B398" s="9"/>
      <c r="C398" s="10"/>
      <c r="D398" s="10"/>
      <c r="N398" s="9"/>
      <c r="O398" s="10"/>
      <c r="P398" s="10"/>
      <c r="R398" s="9"/>
      <c r="S398" s="10"/>
      <c r="T398" s="10"/>
      <c r="V398" s="9"/>
      <c r="W398" s="10"/>
      <c r="X398" s="10"/>
    </row>
    <row r="399" spans="1:24" x14ac:dyDescent="0.3">
      <c r="A399" s="8"/>
      <c r="B399" s="9"/>
      <c r="C399" s="10"/>
      <c r="D399" s="10"/>
      <c r="N399" s="9"/>
      <c r="O399" s="10"/>
      <c r="P399" s="10"/>
      <c r="R399" s="9"/>
      <c r="S399" s="10"/>
      <c r="T399" s="10"/>
      <c r="V399" s="9"/>
      <c r="W399" s="10"/>
      <c r="X399" s="10"/>
    </row>
    <row r="400" spans="1:24" x14ac:dyDescent="0.3">
      <c r="A400" s="8"/>
      <c r="B400" s="9"/>
      <c r="C400" s="10"/>
      <c r="D400" s="10"/>
      <c r="N400" s="9"/>
      <c r="O400" s="10"/>
      <c r="P400" s="10"/>
      <c r="R400" s="9"/>
      <c r="S400" s="10"/>
      <c r="T400" s="10"/>
      <c r="V400" s="9"/>
      <c r="W400" s="10"/>
      <c r="X400" s="10"/>
    </row>
    <row r="401" spans="1:24" x14ac:dyDescent="0.3">
      <c r="A401" s="8"/>
      <c r="B401" s="9"/>
      <c r="C401" s="10"/>
      <c r="D401" s="10"/>
      <c r="N401" s="9"/>
      <c r="O401" s="10"/>
      <c r="P401" s="10"/>
      <c r="R401" s="9"/>
      <c r="S401" s="10"/>
      <c r="T401" s="10"/>
      <c r="V401" s="9"/>
      <c r="W401" s="10"/>
      <c r="X401" s="10"/>
    </row>
    <row r="402" spans="1:24" x14ac:dyDescent="0.3">
      <c r="A402" s="8"/>
      <c r="B402" s="9"/>
      <c r="C402" s="10"/>
      <c r="D402" s="10"/>
      <c r="N402" s="9"/>
      <c r="O402" s="10"/>
      <c r="P402" s="10"/>
      <c r="R402" s="9"/>
      <c r="S402" s="10"/>
      <c r="T402" s="10"/>
      <c r="V402" s="9"/>
      <c r="W402" s="10"/>
      <c r="X402" s="10"/>
    </row>
    <row r="403" spans="1:24" x14ac:dyDescent="0.3">
      <c r="A403" s="8"/>
      <c r="B403" s="9"/>
      <c r="C403" s="10"/>
      <c r="D403" s="10"/>
      <c r="N403" s="9"/>
      <c r="O403" s="10"/>
      <c r="P403" s="10"/>
      <c r="R403" s="9"/>
      <c r="S403" s="10"/>
      <c r="T403" s="10"/>
      <c r="V403" s="9"/>
      <c r="W403" s="10"/>
      <c r="X403" s="10"/>
    </row>
    <row r="404" spans="1:24" x14ac:dyDescent="0.3">
      <c r="A404" s="8"/>
      <c r="B404" s="9"/>
      <c r="C404" s="10"/>
      <c r="D404" s="10"/>
      <c r="N404" s="9"/>
      <c r="O404" s="10"/>
      <c r="P404" s="10"/>
      <c r="R404" s="9"/>
      <c r="S404" s="10"/>
      <c r="T404" s="10"/>
      <c r="V404" s="9"/>
      <c r="W404" s="10"/>
      <c r="X404" s="10"/>
    </row>
    <row r="405" spans="1:24" x14ac:dyDescent="0.3">
      <c r="A405" s="8"/>
      <c r="B405" s="9"/>
      <c r="C405" s="10"/>
      <c r="D405" s="10"/>
      <c r="N405" s="9"/>
      <c r="O405" s="10"/>
      <c r="P405" s="10"/>
      <c r="R405" s="9"/>
      <c r="S405" s="10"/>
      <c r="T405" s="10"/>
      <c r="V405" s="9"/>
      <c r="W405" s="10"/>
      <c r="X405" s="10"/>
    </row>
    <row r="406" spans="1:24" x14ac:dyDescent="0.3">
      <c r="A406" s="8"/>
      <c r="B406" s="9"/>
      <c r="C406" s="10"/>
      <c r="D406" s="10"/>
      <c r="N406" s="9"/>
      <c r="O406" s="10"/>
      <c r="P406" s="10"/>
      <c r="R406" s="9"/>
      <c r="S406" s="10"/>
      <c r="T406" s="10"/>
      <c r="V406" s="9"/>
      <c r="W406" s="10"/>
      <c r="X406" s="10"/>
    </row>
    <row r="407" spans="1:24" x14ac:dyDescent="0.3">
      <c r="A407" s="8"/>
      <c r="B407" s="9"/>
      <c r="C407" s="10"/>
      <c r="D407" s="10"/>
      <c r="N407" s="9"/>
      <c r="O407" s="10"/>
      <c r="P407" s="10"/>
      <c r="R407" s="9"/>
      <c r="S407" s="10"/>
      <c r="T407" s="10"/>
      <c r="V407" s="9"/>
      <c r="W407" s="10"/>
      <c r="X407" s="10"/>
    </row>
    <row r="408" spans="1:24" x14ac:dyDescent="0.3">
      <c r="A408" s="8"/>
      <c r="B408" s="9"/>
      <c r="C408" s="10"/>
      <c r="D408" s="10"/>
      <c r="N408" s="9"/>
      <c r="O408" s="10"/>
      <c r="P408" s="10"/>
      <c r="R408" s="9"/>
      <c r="S408" s="10"/>
      <c r="T408" s="10"/>
      <c r="V408" s="9"/>
      <c r="W408" s="10"/>
      <c r="X408" s="10"/>
    </row>
    <row r="409" spans="1:24" x14ac:dyDescent="0.3">
      <c r="A409" s="8"/>
      <c r="B409" s="9"/>
      <c r="C409" s="10"/>
      <c r="D409" s="10"/>
      <c r="N409" s="9"/>
      <c r="O409" s="10"/>
      <c r="P409" s="10"/>
      <c r="R409" s="9"/>
      <c r="S409" s="10"/>
      <c r="T409" s="10"/>
      <c r="V409" s="9"/>
      <c r="W409" s="10"/>
      <c r="X409" s="10"/>
    </row>
    <row r="410" spans="1:24" x14ac:dyDescent="0.3">
      <c r="A410" s="8"/>
      <c r="B410" s="9"/>
      <c r="C410" s="10"/>
      <c r="D410" s="10"/>
      <c r="N410" s="9"/>
      <c r="O410" s="10"/>
      <c r="P410" s="10"/>
      <c r="R410" s="9"/>
      <c r="S410" s="10"/>
      <c r="T410" s="10"/>
      <c r="V410" s="9"/>
      <c r="W410" s="10"/>
      <c r="X410" s="10"/>
    </row>
    <row r="411" spans="1:24" x14ac:dyDescent="0.3">
      <c r="B411" s="9"/>
      <c r="C411" s="10"/>
      <c r="D411" s="10"/>
      <c r="N411" s="9"/>
      <c r="O411" s="10"/>
      <c r="P411" s="10"/>
      <c r="R411" s="9"/>
      <c r="S411" s="10"/>
      <c r="T411" s="10"/>
      <c r="V411" s="9"/>
      <c r="W411" s="10"/>
      <c r="X411" s="10"/>
    </row>
    <row r="412" spans="1:24" x14ac:dyDescent="0.3">
      <c r="B412" s="9"/>
      <c r="C412" s="10"/>
      <c r="D412" s="10"/>
      <c r="N412" s="9"/>
      <c r="O412" s="10"/>
      <c r="P412" s="10"/>
      <c r="R412" s="9"/>
      <c r="S412" s="10"/>
      <c r="T412" s="10"/>
      <c r="V412" s="9"/>
      <c r="W412" s="10"/>
      <c r="X412" s="10"/>
    </row>
    <row r="413" spans="1:24" x14ac:dyDescent="0.3">
      <c r="B413" s="9"/>
      <c r="C413" s="10"/>
      <c r="D413" s="10"/>
      <c r="N413" s="9"/>
      <c r="O413" s="10"/>
      <c r="P413" s="10"/>
      <c r="R413" s="9"/>
      <c r="S413" s="10"/>
      <c r="T413" s="10"/>
      <c r="V413" s="9"/>
      <c r="W413" s="10"/>
      <c r="X413" s="10"/>
    </row>
    <row r="414" spans="1:24" x14ac:dyDescent="0.3">
      <c r="B414" s="9"/>
      <c r="C414" s="10"/>
      <c r="D414" s="10"/>
      <c r="N414" s="9"/>
      <c r="O414" s="10"/>
      <c r="P414" s="10"/>
      <c r="R414" s="9"/>
      <c r="S414" s="10"/>
      <c r="T414" s="10"/>
      <c r="V414" s="9"/>
      <c r="W414" s="10"/>
      <c r="X414" s="10"/>
    </row>
    <row r="415" spans="1:24" x14ac:dyDescent="0.3">
      <c r="B415" s="9"/>
      <c r="C415" s="10"/>
      <c r="D415" s="10"/>
      <c r="N415" s="9"/>
      <c r="O415" s="10"/>
      <c r="P415" s="10"/>
      <c r="R415" s="9"/>
      <c r="S415" s="10"/>
      <c r="T415" s="10"/>
      <c r="V415" s="9"/>
      <c r="W415" s="10"/>
      <c r="X415" s="10"/>
    </row>
    <row r="416" spans="1:24" x14ac:dyDescent="0.3">
      <c r="B416" s="9"/>
      <c r="C416" s="10"/>
      <c r="D416" s="10"/>
      <c r="N416" s="9"/>
      <c r="O416" s="10"/>
      <c r="P416" s="10"/>
      <c r="R416" s="9"/>
      <c r="S416" s="10"/>
      <c r="T416" s="10"/>
      <c r="V416" s="9"/>
      <c r="W416" s="10"/>
      <c r="X416" s="10"/>
    </row>
    <row r="417" spans="2:24" x14ac:dyDescent="0.3">
      <c r="B417" s="9"/>
      <c r="C417" s="10"/>
      <c r="D417" s="10"/>
      <c r="N417" s="9"/>
      <c r="O417" s="10"/>
      <c r="P417" s="10"/>
      <c r="R417" s="9"/>
      <c r="S417" s="10"/>
      <c r="T417" s="10"/>
      <c r="V417" s="9"/>
      <c r="W417" s="10"/>
      <c r="X417" s="10"/>
    </row>
    <row r="418" spans="2:24" x14ac:dyDescent="0.3">
      <c r="B418" s="9"/>
      <c r="C418" s="10"/>
      <c r="D418" s="10"/>
      <c r="N418" s="9"/>
      <c r="O418" s="10"/>
      <c r="P418" s="10"/>
      <c r="R418" s="9"/>
      <c r="S418" s="10"/>
      <c r="T418" s="10"/>
      <c r="V418" s="9"/>
      <c r="W418" s="10"/>
      <c r="X418" s="10"/>
    </row>
    <row r="419" spans="2:24" x14ac:dyDescent="0.3">
      <c r="B419" s="9"/>
      <c r="C419" s="10"/>
      <c r="D419" s="10"/>
      <c r="N419" s="9"/>
      <c r="O419" s="10"/>
      <c r="P419" s="10"/>
      <c r="R419" s="9"/>
      <c r="S419" s="10"/>
      <c r="T419" s="10"/>
      <c r="V419" s="9"/>
      <c r="W419" s="10"/>
      <c r="X419" s="10"/>
    </row>
    <row r="420" spans="2:24" x14ac:dyDescent="0.3">
      <c r="B420" s="9"/>
      <c r="C420" s="10"/>
      <c r="D420" s="10"/>
      <c r="N420" s="9"/>
      <c r="O420" s="10"/>
      <c r="P420" s="10"/>
      <c r="R420" s="9"/>
      <c r="S420" s="10"/>
      <c r="T420" s="10"/>
      <c r="V420" s="9"/>
      <c r="W420" s="10"/>
      <c r="X420" s="10"/>
    </row>
    <row r="421" spans="2:24" x14ac:dyDescent="0.3">
      <c r="B421" s="9"/>
      <c r="C421" s="10"/>
      <c r="D421" s="10"/>
      <c r="N421" s="9"/>
      <c r="O421" s="10"/>
      <c r="P421" s="10"/>
      <c r="R421" s="9"/>
      <c r="S421" s="10"/>
      <c r="T421" s="10"/>
      <c r="V421" s="9"/>
      <c r="W421" s="10"/>
      <c r="X421" s="10"/>
    </row>
    <row r="422" spans="2:24" x14ac:dyDescent="0.3">
      <c r="B422" s="9"/>
      <c r="C422" s="10"/>
      <c r="D422" s="10"/>
      <c r="N422" s="9"/>
      <c r="O422" s="10"/>
      <c r="P422" s="10"/>
      <c r="R422" s="9"/>
      <c r="S422" s="10"/>
      <c r="T422" s="10"/>
      <c r="V422" s="9"/>
      <c r="W422" s="10"/>
      <c r="X422" s="10"/>
    </row>
    <row r="423" spans="2:24" x14ac:dyDescent="0.3">
      <c r="B423" s="9"/>
      <c r="C423" s="10"/>
      <c r="D423" s="10"/>
      <c r="N423" s="9"/>
      <c r="O423" s="10"/>
      <c r="P423" s="10"/>
      <c r="R423" s="9"/>
      <c r="S423" s="10"/>
      <c r="T423" s="10"/>
      <c r="V423" s="9"/>
      <c r="W423" s="10"/>
      <c r="X423" s="10"/>
    </row>
    <row r="424" spans="2:24" x14ac:dyDescent="0.3">
      <c r="B424" s="9"/>
      <c r="C424" s="10"/>
      <c r="D424" s="10"/>
      <c r="N424" s="9"/>
      <c r="O424" s="10"/>
      <c r="P424" s="10"/>
      <c r="R424" s="9"/>
      <c r="S424" s="10"/>
      <c r="T424" s="10"/>
      <c r="V424" s="9"/>
      <c r="W424" s="10"/>
      <c r="X424" s="10"/>
    </row>
    <row r="425" spans="2:24" x14ac:dyDescent="0.3">
      <c r="B425" s="9"/>
      <c r="C425" s="10"/>
      <c r="D425" s="10"/>
      <c r="N425" s="9"/>
      <c r="O425" s="10"/>
      <c r="P425" s="10"/>
      <c r="R425" s="9"/>
      <c r="S425" s="10"/>
      <c r="T425" s="10"/>
      <c r="V425" s="9"/>
      <c r="W425" s="10"/>
      <c r="X425" s="10"/>
    </row>
    <row r="426" spans="2:24" x14ac:dyDescent="0.3">
      <c r="B426" s="9"/>
      <c r="C426" s="10"/>
      <c r="D426" s="10"/>
      <c r="N426" s="9"/>
      <c r="O426" s="10"/>
      <c r="P426" s="10"/>
      <c r="R426" s="9"/>
      <c r="S426" s="10"/>
      <c r="T426" s="10"/>
      <c r="V426" s="9"/>
      <c r="W426" s="10"/>
      <c r="X426" s="10"/>
    </row>
    <row r="427" spans="2:24" x14ac:dyDescent="0.3">
      <c r="B427" s="9"/>
      <c r="C427" s="10"/>
      <c r="D427" s="10"/>
      <c r="N427" s="9"/>
      <c r="O427" s="10"/>
      <c r="P427" s="10"/>
      <c r="R427" s="9"/>
      <c r="S427" s="10"/>
      <c r="T427" s="10"/>
      <c r="V427" s="9"/>
      <c r="W427" s="10"/>
      <c r="X427" s="10"/>
    </row>
    <row r="428" spans="2:24" x14ac:dyDescent="0.3">
      <c r="B428" s="9"/>
      <c r="C428" s="10"/>
      <c r="D428" s="10"/>
      <c r="N428" s="9"/>
      <c r="O428" s="10"/>
      <c r="P428" s="10"/>
      <c r="R428" s="9"/>
      <c r="S428" s="10"/>
      <c r="T428" s="10"/>
      <c r="V428" s="9"/>
      <c r="W428" s="10"/>
      <c r="X428" s="10"/>
    </row>
    <row r="429" spans="2:24" x14ac:dyDescent="0.3">
      <c r="B429" s="9"/>
      <c r="C429" s="10"/>
      <c r="D429" s="10"/>
      <c r="N429" s="9"/>
      <c r="O429" s="10"/>
      <c r="P429" s="10"/>
      <c r="R429" s="9"/>
      <c r="S429" s="10"/>
      <c r="T429" s="10"/>
      <c r="V429" s="9"/>
      <c r="W429" s="10"/>
      <c r="X429" s="10"/>
    </row>
    <row r="430" spans="2:24" x14ac:dyDescent="0.3">
      <c r="B430" s="9"/>
      <c r="C430" s="10"/>
      <c r="D430" s="10"/>
      <c r="N430" s="9"/>
      <c r="O430" s="10"/>
      <c r="P430" s="10"/>
      <c r="R430" s="9"/>
      <c r="S430" s="10"/>
      <c r="T430" s="10"/>
      <c r="V430" s="9"/>
      <c r="W430" s="10"/>
      <c r="X430" s="10"/>
    </row>
    <row r="431" spans="2:24" x14ac:dyDescent="0.3">
      <c r="B431" s="9"/>
      <c r="C431" s="10"/>
      <c r="D431" s="10"/>
      <c r="N431" s="9"/>
      <c r="O431" s="10"/>
      <c r="P431" s="10"/>
      <c r="R431" s="9"/>
      <c r="S431" s="10"/>
      <c r="T431" s="10"/>
      <c r="V431" s="9"/>
      <c r="W431" s="10"/>
      <c r="X431" s="10"/>
    </row>
    <row r="432" spans="2:24" x14ac:dyDescent="0.3">
      <c r="B432" s="9"/>
      <c r="C432" s="10"/>
      <c r="D432" s="10"/>
      <c r="N432" s="9"/>
      <c r="O432" s="10"/>
      <c r="P432" s="10"/>
      <c r="R432" s="9"/>
      <c r="S432" s="10"/>
      <c r="T432" s="10"/>
      <c r="V432" s="9"/>
      <c r="W432" s="10"/>
      <c r="X432" s="10"/>
    </row>
    <row r="433" spans="2:24" x14ac:dyDescent="0.3">
      <c r="B433" s="9"/>
      <c r="C433" s="10"/>
      <c r="D433" s="10"/>
      <c r="N433" s="9"/>
      <c r="O433" s="10"/>
      <c r="P433" s="10"/>
      <c r="R433" s="9"/>
      <c r="S433" s="10"/>
      <c r="T433" s="10"/>
      <c r="V433" s="9"/>
      <c r="W433" s="10"/>
      <c r="X433" s="10"/>
    </row>
    <row r="434" spans="2:24" x14ac:dyDescent="0.3">
      <c r="B434" s="9"/>
      <c r="C434" s="10"/>
      <c r="D434" s="10"/>
      <c r="N434" s="9"/>
      <c r="O434" s="10"/>
      <c r="P434" s="10"/>
      <c r="R434" s="9"/>
      <c r="S434" s="10"/>
      <c r="T434" s="10"/>
      <c r="V434" s="9"/>
      <c r="W434" s="10"/>
      <c r="X434" s="10"/>
    </row>
    <row r="435" spans="2:24" x14ac:dyDescent="0.3">
      <c r="B435" s="9"/>
      <c r="C435" s="10"/>
      <c r="D435" s="10"/>
      <c r="N435" s="9"/>
      <c r="O435" s="10"/>
      <c r="P435" s="10"/>
      <c r="R435" s="9"/>
      <c r="S435" s="10"/>
      <c r="T435" s="10"/>
      <c r="V435" s="9"/>
      <c r="W435" s="10"/>
      <c r="X435" s="10"/>
    </row>
    <row r="436" spans="2:24" x14ac:dyDescent="0.3">
      <c r="B436" s="9"/>
      <c r="C436" s="10"/>
      <c r="D436" s="10"/>
      <c r="N436" s="9"/>
      <c r="O436" s="10"/>
      <c r="P436" s="10"/>
      <c r="R436" s="9"/>
      <c r="S436" s="10"/>
      <c r="T436" s="10"/>
      <c r="V436" s="9"/>
      <c r="W436" s="10"/>
      <c r="X436" s="10"/>
    </row>
    <row r="437" spans="2:24" x14ac:dyDescent="0.3">
      <c r="B437" s="9"/>
      <c r="C437" s="10"/>
      <c r="D437" s="10"/>
      <c r="N437" s="9"/>
      <c r="O437" s="10"/>
      <c r="P437" s="10"/>
      <c r="R437" s="9"/>
      <c r="S437" s="10"/>
      <c r="T437" s="10"/>
      <c r="V437" s="9"/>
      <c r="W437" s="10"/>
      <c r="X437" s="10"/>
    </row>
    <row r="438" spans="2:24" x14ac:dyDescent="0.3">
      <c r="B438" s="9"/>
      <c r="C438" s="10"/>
      <c r="D438" s="10"/>
      <c r="N438" s="9"/>
      <c r="O438" s="10"/>
      <c r="P438" s="10"/>
      <c r="R438" s="9"/>
      <c r="S438" s="10"/>
      <c r="T438" s="10"/>
      <c r="V438" s="9"/>
      <c r="W438" s="10"/>
      <c r="X438" s="10"/>
    </row>
    <row r="439" spans="2:24" x14ac:dyDescent="0.3">
      <c r="B439" s="9"/>
      <c r="C439" s="10"/>
      <c r="D439" s="10"/>
      <c r="N439" s="9"/>
      <c r="O439" s="10"/>
      <c r="P439" s="10"/>
      <c r="R439" s="9"/>
      <c r="S439" s="10"/>
      <c r="T439" s="10"/>
      <c r="V439" s="9"/>
      <c r="W439" s="10"/>
      <c r="X439" s="10"/>
    </row>
    <row r="440" spans="2:24" x14ac:dyDescent="0.3">
      <c r="B440" s="9"/>
      <c r="C440" s="10"/>
      <c r="D440" s="10"/>
      <c r="N440" s="9"/>
      <c r="O440" s="10"/>
      <c r="P440" s="10"/>
      <c r="R440" s="9"/>
      <c r="S440" s="10"/>
      <c r="T440" s="10"/>
      <c r="V440" s="9"/>
      <c r="W440" s="10"/>
      <c r="X440" s="10"/>
    </row>
    <row r="441" spans="2:24" x14ac:dyDescent="0.3">
      <c r="B441" s="9"/>
      <c r="C441" s="10"/>
      <c r="D441" s="10"/>
      <c r="N441" s="9"/>
      <c r="O441" s="10"/>
      <c r="P441" s="10"/>
      <c r="R441" s="9"/>
      <c r="S441" s="10"/>
      <c r="T441" s="10"/>
      <c r="V441" s="9"/>
      <c r="W441" s="10"/>
      <c r="X441" s="10"/>
    </row>
    <row r="442" spans="2:24" x14ac:dyDescent="0.3">
      <c r="B442" s="9"/>
      <c r="C442" s="10"/>
      <c r="D442" s="10"/>
      <c r="N442" s="9"/>
      <c r="O442" s="10"/>
      <c r="P442" s="10"/>
      <c r="R442" s="9"/>
      <c r="S442" s="10"/>
      <c r="T442" s="10"/>
      <c r="V442" s="9"/>
      <c r="W442" s="10"/>
      <c r="X442" s="10"/>
    </row>
    <row r="443" spans="2:24" x14ac:dyDescent="0.3">
      <c r="B443" s="9"/>
      <c r="C443" s="10"/>
      <c r="D443" s="10"/>
      <c r="N443" s="9"/>
      <c r="O443" s="10"/>
      <c r="P443" s="10"/>
      <c r="R443" s="9"/>
      <c r="S443" s="10"/>
      <c r="T443" s="10"/>
      <c r="V443" s="9"/>
      <c r="W443" s="10"/>
      <c r="X443" s="10"/>
    </row>
    <row r="444" spans="2:24" x14ac:dyDescent="0.3">
      <c r="B444" s="9"/>
      <c r="C444" s="10"/>
      <c r="D444" s="10"/>
      <c r="N444" s="9"/>
      <c r="O444" s="10"/>
      <c r="P444" s="10"/>
      <c r="R444" s="9"/>
      <c r="S444" s="10"/>
      <c r="T444" s="10"/>
      <c r="V444" s="9"/>
      <c r="W444" s="10"/>
      <c r="X444" s="10"/>
    </row>
    <row r="445" spans="2:24" x14ac:dyDescent="0.3">
      <c r="B445" s="9"/>
      <c r="C445" s="10"/>
      <c r="D445" s="10"/>
      <c r="N445" s="9"/>
      <c r="O445" s="10"/>
      <c r="P445" s="10"/>
      <c r="R445" s="9"/>
      <c r="S445" s="10"/>
      <c r="T445" s="10"/>
      <c r="V445" s="9"/>
      <c r="W445" s="10"/>
      <c r="X445" s="10"/>
    </row>
    <row r="446" spans="2:24" x14ac:dyDescent="0.3">
      <c r="B446" s="9"/>
      <c r="C446" s="10"/>
      <c r="D446" s="10"/>
      <c r="N446" s="9"/>
      <c r="O446" s="10"/>
      <c r="P446" s="10"/>
      <c r="R446" s="9"/>
      <c r="S446" s="10"/>
      <c r="T446" s="10"/>
      <c r="V446" s="9"/>
      <c r="W446" s="10"/>
      <c r="X446" s="10"/>
    </row>
    <row r="447" spans="2:24" x14ac:dyDescent="0.3">
      <c r="B447" s="9"/>
      <c r="C447" s="10"/>
      <c r="D447" s="10"/>
      <c r="N447" s="9"/>
      <c r="O447" s="10"/>
      <c r="P447" s="10"/>
      <c r="R447" s="9"/>
      <c r="S447" s="10"/>
      <c r="T447" s="10"/>
      <c r="V447" s="9"/>
      <c r="W447" s="10"/>
      <c r="X447" s="10"/>
    </row>
    <row r="448" spans="2:24" x14ac:dyDescent="0.3">
      <c r="B448" s="9"/>
      <c r="C448" s="10"/>
      <c r="D448" s="10"/>
      <c r="N448" s="9"/>
      <c r="O448" s="10"/>
      <c r="P448" s="10"/>
      <c r="R448" s="9"/>
      <c r="S448" s="10"/>
      <c r="T448" s="10"/>
      <c r="V448" s="9"/>
      <c r="W448" s="10"/>
      <c r="X448" s="10"/>
    </row>
    <row r="449" spans="2:24" x14ac:dyDescent="0.3">
      <c r="B449" s="9"/>
      <c r="C449" s="10"/>
      <c r="D449" s="10"/>
      <c r="N449" s="9"/>
      <c r="O449" s="10"/>
      <c r="P449" s="10"/>
      <c r="R449" s="9"/>
      <c r="S449" s="10"/>
      <c r="T449" s="10"/>
      <c r="V449" s="9"/>
      <c r="W449" s="10"/>
      <c r="X449" s="10"/>
    </row>
    <row r="450" spans="2:24" x14ac:dyDescent="0.3">
      <c r="B450" s="9"/>
      <c r="C450" s="10"/>
      <c r="D450" s="10"/>
      <c r="N450" s="9"/>
      <c r="O450" s="10"/>
      <c r="P450" s="10"/>
      <c r="R450" s="9"/>
      <c r="S450" s="10"/>
      <c r="T450" s="10"/>
      <c r="V450" s="9"/>
      <c r="W450" s="10"/>
      <c r="X450" s="10"/>
    </row>
    <row r="451" spans="2:24" x14ac:dyDescent="0.3">
      <c r="B451" s="9"/>
      <c r="C451" s="10"/>
      <c r="D451" s="10"/>
      <c r="N451" s="9"/>
      <c r="O451" s="10"/>
      <c r="P451" s="10"/>
      <c r="R451" s="9"/>
      <c r="S451" s="10"/>
      <c r="T451" s="10"/>
      <c r="V451" s="9"/>
      <c r="W451" s="10"/>
      <c r="X451" s="10"/>
    </row>
    <row r="452" spans="2:24" x14ac:dyDescent="0.3">
      <c r="B452" s="9"/>
      <c r="C452" s="10"/>
      <c r="D452" s="10"/>
      <c r="N452" s="9"/>
      <c r="O452" s="10"/>
      <c r="P452" s="10"/>
      <c r="R452" s="9"/>
      <c r="S452" s="10"/>
      <c r="T452" s="10"/>
      <c r="V452" s="9"/>
      <c r="W452" s="10"/>
      <c r="X452" s="10"/>
    </row>
    <row r="453" spans="2:24" x14ac:dyDescent="0.3">
      <c r="B453" s="9"/>
      <c r="C453" s="10"/>
      <c r="D453" s="10"/>
      <c r="N453" s="9"/>
      <c r="O453" s="10"/>
      <c r="P453" s="10"/>
      <c r="R453" s="9"/>
      <c r="S453" s="10"/>
      <c r="T453" s="10"/>
      <c r="V453" s="9"/>
      <c r="W453" s="10"/>
      <c r="X453" s="10"/>
    </row>
    <row r="454" spans="2:24" x14ac:dyDescent="0.3">
      <c r="B454" s="9"/>
      <c r="C454" s="10"/>
      <c r="D454" s="10"/>
      <c r="N454" s="9"/>
      <c r="O454" s="10"/>
      <c r="P454" s="10"/>
      <c r="R454" s="9"/>
      <c r="S454" s="10"/>
      <c r="T454" s="10"/>
      <c r="V454" s="9"/>
      <c r="W454" s="10"/>
      <c r="X454" s="10"/>
    </row>
    <row r="455" spans="2:24" x14ac:dyDescent="0.3">
      <c r="B455" s="9"/>
      <c r="C455" s="10"/>
      <c r="D455" s="10"/>
      <c r="N455" s="9"/>
      <c r="O455" s="10"/>
      <c r="P455" s="10"/>
      <c r="R455" s="9"/>
      <c r="S455" s="10"/>
      <c r="T455" s="10"/>
      <c r="V455" s="9"/>
      <c r="W455" s="10"/>
      <c r="X455" s="10"/>
    </row>
    <row r="456" spans="2:24" x14ac:dyDescent="0.3">
      <c r="B456" s="9"/>
      <c r="C456" s="10"/>
      <c r="D456" s="10"/>
      <c r="N456" s="9"/>
      <c r="O456" s="10"/>
      <c r="P456" s="10"/>
      <c r="R456" s="9"/>
      <c r="S456" s="10"/>
      <c r="T456" s="10"/>
      <c r="V456" s="9"/>
      <c r="W456" s="10"/>
      <c r="X456" s="10"/>
    </row>
    <row r="457" spans="2:24" x14ac:dyDescent="0.3">
      <c r="B457" s="9"/>
      <c r="C457" s="10"/>
      <c r="D457" s="10"/>
      <c r="N457" s="9"/>
      <c r="O457" s="10"/>
      <c r="P457" s="10"/>
      <c r="R457" s="9"/>
      <c r="S457" s="10"/>
      <c r="T457" s="10"/>
      <c r="V457" s="9"/>
      <c r="W457" s="10"/>
      <c r="X457" s="10"/>
    </row>
    <row r="458" spans="2:24" x14ac:dyDescent="0.3">
      <c r="B458" s="9"/>
      <c r="C458" s="10"/>
      <c r="D458" s="10"/>
      <c r="N458" s="9"/>
      <c r="O458" s="10"/>
      <c r="P458" s="10"/>
      <c r="R458" s="9"/>
      <c r="S458" s="10"/>
      <c r="T458" s="10"/>
      <c r="V458" s="9"/>
      <c r="W458" s="10"/>
      <c r="X458" s="10"/>
    </row>
    <row r="459" spans="2:24" x14ac:dyDescent="0.3">
      <c r="B459" s="9"/>
      <c r="C459" s="10"/>
      <c r="D459" s="10"/>
      <c r="N459" s="9"/>
      <c r="O459" s="10"/>
      <c r="P459" s="10"/>
      <c r="R459" s="9"/>
      <c r="S459" s="10"/>
      <c r="T459" s="10"/>
      <c r="V459" s="9"/>
      <c r="W459" s="10"/>
      <c r="X459" s="10"/>
    </row>
    <row r="460" spans="2:24" x14ac:dyDescent="0.3">
      <c r="B460" s="9"/>
      <c r="C460" s="10"/>
      <c r="D460" s="10"/>
      <c r="N460" s="9"/>
      <c r="O460" s="10"/>
      <c r="P460" s="10"/>
      <c r="R460" s="9"/>
      <c r="S460" s="10"/>
      <c r="T460" s="10"/>
      <c r="V460" s="9"/>
      <c r="W460" s="10"/>
      <c r="X460" s="10"/>
    </row>
    <row r="461" spans="2:24" x14ac:dyDescent="0.3">
      <c r="B461" s="9"/>
      <c r="C461" s="10"/>
      <c r="D461" s="10"/>
      <c r="N461" s="9"/>
      <c r="O461" s="10"/>
      <c r="P461" s="10"/>
      <c r="R461" s="9"/>
      <c r="S461" s="10"/>
      <c r="T461" s="10"/>
      <c r="V461" s="9"/>
      <c r="W461" s="10"/>
      <c r="X461" s="10"/>
    </row>
    <row r="462" spans="2:24" x14ac:dyDescent="0.3">
      <c r="B462" s="9"/>
      <c r="C462" s="10"/>
      <c r="D462" s="10"/>
      <c r="N462" s="9"/>
      <c r="O462" s="10"/>
      <c r="P462" s="10"/>
      <c r="R462" s="9"/>
      <c r="S462" s="10"/>
      <c r="T462" s="10"/>
      <c r="V462" s="9"/>
      <c r="W462" s="10"/>
      <c r="X462" s="10"/>
    </row>
    <row r="463" spans="2:24" x14ac:dyDescent="0.3">
      <c r="B463" s="9"/>
      <c r="C463" s="10"/>
      <c r="D463" s="10"/>
      <c r="N463" s="9"/>
      <c r="O463" s="10"/>
      <c r="P463" s="10"/>
      <c r="R463" s="9"/>
      <c r="S463" s="10"/>
      <c r="T463" s="10"/>
      <c r="V463" s="9"/>
      <c r="W463" s="10"/>
      <c r="X463" s="10"/>
    </row>
    <row r="464" spans="2:24" x14ac:dyDescent="0.3">
      <c r="B464" s="9"/>
      <c r="C464" s="10"/>
      <c r="D464" s="10"/>
      <c r="N464" s="9"/>
      <c r="O464" s="10"/>
      <c r="P464" s="10"/>
      <c r="R464" s="9"/>
      <c r="S464" s="10"/>
      <c r="T464" s="10"/>
      <c r="V464" s="9"/>
      <c r="W464" s="10"/>
      <c r="X464" s="10"/>
    </row>
    <row r="465" spans="2:24" x14ac:dyDescent="0.3">
      <c r="B465" s="9"/>
      <c r="C465" s="10"/>
      <c r="D465" s="10"/>
      <c r="N465" s="9"/>
      <c r="O465" s="10"/>
      <c r="P465" s="10"/>
      <c r="R465" s="9"/>
      <c r="S465" s="10"/>
      <c r="T465" s="10"/>
      <c r="V465" s="9"/>
      <c r="W465" s="10"/>
      <c r="X465" s="10"/>
    </row>
    <row r="466" spans="2:24" x14ac:dyDescent="0.3">
      <c r="B466" s="9"/>
      <c r="C466" s="10"/>
      <c r="D466" s="10"/>
      <c r="N466" s="9"/>
      <c r="O466" s="10"/>
      <c r="P466" s="10"/>
      <c r="R466" s="9"/>
      <c r="S466" s="10"/>
      <c r="T466" s="10"/>
      <c r="V466" s="9"/>
      <c r="W466" s="10"/>
      <c r="X466" s="10"/>
    </row>
    <row r="467" spans="2:24" x14ac:dyDescent="0.3">
      <c r="B467" s="9"/>
      <c r="C467" s="10"/>
      <c r="D467" s="10"/>
      <c r="N467" s="9"/>
      <c r="O467" s="10"/>
      <c r="P467" s="10"/>
      <c r="R467" s="9"/>
      <c r="S467" s="10"/>
      <c r="T467" s="10"/>
      <c r="V467" s="9"/>
      <c r="W467" s="10"/>
      <c r="X467" s="10"/>
    </row>
    <row r="468" spans="2:24" x14ac:dyDescent="0.3">
      <c r="B468" s="9"/>
      <c r="C468" s="10"/>
      <c r="D468" s="10"/>
      <c r="N468" s="9"/>
      <c r="O468" s="10"/>
      <c r="P468" s="10"/>
      <c r="R468" s="9"/>
      <c r="S468" s="10"/>
      <c r="T468" s="10"/>
      <c r="V468" s="9"/>
      <c r="W468" s="10"/>
      <c r="X468" s="10"/>
    </row>
    <row r="469" spans="2:24" x14ac:dyDescent="0.3">
      <c r="B469" s="9"/>
      <c r="C469" s="10"/>
      <c r="D469" s="10"/>
      <c r="N469" s="9"/>
      <c r="O469" s="10"/>
      <c r="P469" s="10"/>
      <c r="R469" s="9"/>
      <c r="S469" s="10"/>
      <c r="T469" s="10"/>
      <c r="V469" s="9"/>
      <c r="W469" s="10"/>
      <c r="X469" s="10"/>
    </row>
    <row r="470" spans="2:24" x14ac:dyDescent="0.3">
      <c r="B470" s="9"/>
      <c r="C470" s="10"/>
      <c r="D470" s="10"/>
      <c r="N470" s="9"/>
      <c r="O470" s="10"/>
      <c r="P470" s="10"/>
      <c r="R470" s="9"/>
      <c r="S470" s="10"/>
      <c r="T470" s="10"/>
      <c r="V470" s="9"/>
      <c r="W470" s="10"/>
      <c r="X470" s="10"/>
    </row>
    <row r="471" spans="2:24" x14ac:dyDescent="0.3">
      <c r="B471" s="9"/>
      <c r="C471" s="10"/>
      <c r="D471" s="10"/>
      <c r="N471" s="9"/>
      <c r="O471" s="10"/>
      <c r="P471" s="10"/>
      <c r="R471" s="9"/>
      <c r="S471" s="10"/>
      <c r="T471" s="10"/>
      <c r="V471" s="9"/>
      <c r="W471" s="10"/>
      <c r="X471" s="10"/>
    </row>
    <row r="472" spans="2:24" x14ac:dyDescent="0.3">
      <c r="B472" s="9"/>
      <c r="C472" s="10"/>
      <c r="D472" s="10"/>
      <c r="N472" s="9"/>
      <c r="O472" s="10"/>
      <c r="P472" s="10"/>
      <c r="R472" s="9"/>
      <c r="S472" s="10"/>
      <c r="T472" s="10"/>
      <c r="V472" s="9"/>
      <c r="W472" s="10"/>
      <c r="X472" s="10"/>
    </row>
    <row r="473" spans="2:24" x14ac:dyDescent="0.3">
      <c r="B473" s="9"/>
      <c r="C473" s="10"/>
      <c r="D473" s="10"/>
      <c r="N473" s="9"/>
      <c r="O473" s="10"/>
      <c r="P473" s="10"/>
      <c r="R473" s="9"/>
      <c r="S473" s="10"/>
      <c r="T473" s="10"/>
      <c r="V473" s="9"/>
      <c r="W473" s="10"/>
      <c r="X473" s="10"/>
    </row>
    <row r="474" spans="2:24" x14ac:dyDescent="0.3">
      <c r="B474" s="9"/>
      <c r="C474" s="10"/>
      <c r="D474" s="10"/>
      <c r="N474" s="9"/>
      <c r="O474" s="10"/>
      <c r="P474" s="10"/>
      <c r="R474" s="9"/>
      <c r="S474" s="10"/>
      <c r="T474" s="10"/>
      <c r="V474" s="9"/>
      <c r="W474" s="10"/>
      <c r="X474" s="10"/>
    </row>
    <row r="475" spans="2:24" x14ac:dyDescent="0.3">
      <c r="B475" s="9"/>
      <c r="C475" s="10"/>
      <c r="D475" s="10"/>
      <c r="N475" s="9"/>
      <c r="O475" s="10"/>
      <c r="P475" s="10"/>
      <c r="R475" s="9"/>
      <c r="S475" s="10"/>
      <c r="T475" s="10"/>
      <c r="V475" s="9"/>
      <c r="W475" s="10"/>
      <c r="X475" s="10"/>
    </row>
    <row r="476" spans="2:24" x14ac:dyDescent="0.3">
      <c r="B476" s="9"/>
      <c r="C476" s="10"/>
      <c r="D476" s="10"/>
      <c r="N476" s="9"/>
      <c r="O476" s="10"/>
      <c r="P476" s="10"/>
      <c r="R476" s="9"/>
      <c r="S476" s="10"/>
      <c r="T476" s="10"/>
      <c r="V476" s="9"/>
      <c r="W476" s="10"/>
      <c r="X476" s="10"/>
    </row>
    <row r="477" spans="2:24" x14ac:dyDescent="0.3">
      <c r="B477" s="9"/>
      <c r="C477" s="10"/>
      <c r="D477" s="10"/>
      <c r="N477" s="9"/>
      <c r="O477" s="10"/>
      <c r="P477" s="10"/>
      <c r="R477" s="9"/>
      <c r="S477" s="10"/>
      <c r="T477" s="10"/>
      <c r="V477" s="9"/>
      <c r="W477" s="10"/>
      <c r="X477" s="10"/>
    </row>
    <row r="478" spans="2:24" x14ac:dyDescent="0.3">
      <c r="B478" s="9"/>
      <c r="C478" s="10"/>
      <c r="D478" s="10"/>
      <c r="N478" s="9"/>
      <c r="O478" s="10"/>
      <c r="P478" s="10"/>
      <c r="R478" s="9"/>
      <c r="S478" s="10"/>
      <c r="T478" s="10"/>
      <c r="V478" s="9"/>
      <c r="W478" s="10"/>
      <c r="X478" s="10"/>
    </row>
    <row r="479" spans="2:24" x14ac:dyDescent="0.3">
      <c r="B479" s="9"/>
      <c r="C479" s="10"/>
      <c r="D479" s="10"/>
      <c r="N479" s="9"/>
      <c r="O479" s="10"/>
      <c r="P479" s="10"/>
      <c r="R479" s="9"/>
      <c r="S479" s="10"/>
      <c r="T479" s="10"/>
      <c r="V479" s="9"/>
      <c r="W479" s="10"/>
      <c r="X479" s="10"/>
    </row>
    <row r="480" spans="2:24" x14ac:dyDescent="0.3">
      <c r="B480" s="9"/>
      <c r="C480" s="10"/>
      <c r="D480" s="10"/>
      <c r="N480" s="9"/>
      <c r="O480" s="10"/>
      <c r="P480" s="10"/>
      <c r="R480" s="9"/>
      <c r="S480" s="10"/>
      <c r="T480" s="10"/>
      <c r="V480" s="9"/>
      <c r="W480" s="10"/>
      <c r="X480" s="10"/>
    </row>
    <row r="481" spans="2:24" x14ac:dyDescent="0.3">
      <c r="B481" s="9"/>
      <c r="C481" s="10"/>
      <c r="D481" s="10"/>
      <c r="N481" s="9"/>
      <c r="O481" s="10"/>
      <c r="P481" s="10"/>
      <c r="R481" s="9"/>
      <c r="S481" s="10"/>
      <c r="T481" s="10"/>
      <c r="V481" s="9"/>
      <c r="W481" s="10"/>
      <c r="X481" s="10"/>
    </row>
    <row r="482" spans="2:24" x14ac:dyDescent="0.3">
      <c r="B482" s="9"/>
      <c r="C482" s="10"/>
      <c r="D482" s="10"/>
      <c r="N482" s="9"/>
      <c r="O482" s="10"/>
      <c r="P482" s="10"/>
      <c r="R482" s="9"/>
      <c r="S482" s="10"/>
      <c r="T482" s="10"/>
      <c r="V482" s="9"/>
      <c r="W482" s="10"/>
      <c r="X482" s="10"/>
    </row>
    <row r="483" spans="2:24" x14ac:dyDescent="0.3">
      <c r="B483" s="9"/>
      <c r="C483" s="10"/>
      <c r="D483" s="10"/>
      <c r="N483" s="9"/>
      <c r="O483" s="10"/>
      <c r="P483" s="10"/>
      <c r="R483" s="9"/>
      <c r="S483" s="10"/>
      <c r="T483" s="10"/>
      <c r="V483" s="9"/>
      <c r="W483" s="10"/>
      <c r="X483" s="10"/>
    </row>
    <row r="484" spans="2:24" x14ac:dyDescent="0.3">
      <c r="B484" s="9"/>
      <c r="C484" s="10"/>
      <c r="D484" s="10"/>
      <c r="N484" s="9"/>
      <c r="O484" s="10"/>
      <c r="P484" s="10"/>
      <c r="R484" s="9"/>
      <c r="S484" s="10"/>
      <c r="T484" s="10"/>
      <c r="V484" s="9"/>
      <c r="W484" s="10"/>
      <c r="X484" s="10"/>
    </row>
    <row r="485" spans="2:24" x14ac:dyDescent="0.3">
      <c r="B485" s="9"/>
      <c r="C485" s="10"/>
      <c r="D485" s="10"/>
      <c r="N485" s="9"/>
      <c r="O485" s="10"/>
      <c r="P485" s="10"/>
      <c r="R485" s="9"/>
      <c r="S485" s="10"/>
      <c r="T485" s="10"/>
      <c r="V485" s="9"/>
      <c r="W485" s="10"/>
      <c r="X485" s="10"/>
    </row>
    <row r="486" spans="2:24" x14ac:dyDescent="0.3">
      <c r="B486" s="9"/>
      <c r="C486" s="10"/>
      <c r="D486" s="10"/>
      <c r="N486" s="9"/>
      <c r="O486" s="10"/>
      <c r="P486" s="10"/>
      <c r="R486" s="9"/>
      <c r="S486" s="10"/>
      <c r="T486" s="10"/>
      <c r="V486" s="9"/>
      <c r="W486" s="10"/>
      <c r="X486" s="10"/>
    </row>
    <row r="487" spans="2:24" x14ac:dyDescent="0.3">
      <c r="B487" s="9"/>
      <c r="C487" s="10"/>
      <c r="D487" s="10"/>
      <c r="N487" s="9"/>
      <c r="O487" s="10"/>
      <c r="P487" s="10"/>
      <c r="R487" s="9"/>
      <c r="S487" s="10"/>
      <c r="T487" s="10"/>
      <c r="V487" s="9"/>
      <c r="W487" s="10"/>
      <c r="X487" s="10"/>
    </row>
    <row r="488" spans="2:24" x14ac:dyDescent="0.3">
      <c r="B488" s="9"/>
      <c r="C488" s="10"/>
      <c r="D488" s="10"/>
      <c r="N488" s="9"/>
      <c r="O488" s="10"/>
      <c r="P488" s="10"/>
      <c r="R488" s="9"/>
      <c r="S488" s="10"/>
      <c r="T488" s="10"/>
      <c r="V488" s="9"/>
      <c r="W488" s="10"/>
      <c r="X488" s="10"/>
    </row>
    <row r="489" spans="2:24" x14ac:dyDescent="0.3">
      <c r="B489" s="11"/>
      <c r="C489" s="12"/>
      <c r="D489" s="12"/>
      <c r="N489" s="11"/>
      <c r="O489" s="12"/>
      <c r="P489" s="12"/>
      <c r="R489" s="11"/>
      <c r="S489" s="12"/>
      <c r="T489" s="12"/>
      <c r="V489" s="11"/>
      <c r="W489" s="12"/>
      <c r="X489" s="12"/>
    </row>
  </sheetData>
  <phoneticPr fontId="9" type="noConversion"/>
  <pageMargins left="0.75" right="0.75" top="1" bottom="1" header="0.3" footer="0.3"/>
  <pageSetup paperSize="9" orientation="portrait" horizontalDpi="1200" verticalDpi="12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F12"/>
  <sheetViews>
    <sheetView workbookViewId="0">
      <selection activeCell="B7" sqref="B7"/>
    </sheetView>
  </sheetViews>
  <sheetFormatPr defaultColWidth="8.75" defaultRowHeight="14" x14ac:dyDescent="0.3"/>
  <cols>
    <col min="1" max="1" width="11.58203125" style="1" customWidth="1"/>
    <col min="2" max="2" width="21.58203125" style="1" customWidth="1"/>
    <col min="3" max="3" width="29.58203125" style="1" customWidth="1"/>
    <col min="4" max="5" width="21.58203125" style="1" customWidth="1"/>
    <col min="6" max="6" width="24.58203125" style="1" customWidth="1"/>
  </cols>
  <sheetData>
    <row r="5" spans="1:6" x14ac:dyDescent="0.3">
      <c r="A5" s="1" t="s">
        <v>346</v>
      </c>
      <c r="B5" s="1" t="s">
        <v>347</v>
      </c>
    </row>
    <row r="6" spans="1:6" x14ac:dyDescent="0.3">
      <c r="A6" s="1" t="s">
        <v>348</v>
      </c>
      <c r="B6" s="2" t="e">
        <f>#REF!-1</f>
        <v>#REF!</v>
      </c>
    </row>
    <row r="7" spans="1:6" x14ac:dyDescent="0.3">
      <c r="A7" s="1" t="s">
        <v>349</v>
      </c>
      <c r="B7" s="2" t="e">
        <f>#REF!</f>
        <v>#REF!</v>
      </c>
    </row>
    <row r="8" spans="1:6" x14ac:dyDescent="0.3">
      <c r="A8" s="1" t="s">
        <v>350</v>
      </c>
      <c r="B8" s="3" t="s">
        <v>351</v>
      </c>
    </row>
    <row r="9" spans="1:6" x14ac:dyDescent="0.3">
      <c r="A9" s="1" t="s">
        <v>352</v>
      </c>
      <c r="B9" s="3" t="s">
        <v>353</v>
      </c>
      <c r="C9" s="1" t="s">
        <v>354</v>
      </c>
      <c r="D9" s="1" t="s">
        <v>355</v>
      </c>
      <c r="E9" s="1" t="s">
        <v>356</v>
      </c>
      <c r="F9" s="1" t="s">
        <v>357</v>
      </c>
    </row>
    <row r="10" spans="1:6" x14ac:dyDescent="0.3">
      <c r="A10" s="1" t="s">
        <v>302</v>
      </c>
      <c r="B10" s="1" t="s">
        <v>358</v>
      </c>
      <c r="C10" s="1" t="s">
        <v>359</v>
      </c>
      <c r="D10" s="1" t="s">
        <v>360</v>
      </c>
      <c r="E10" s="1" t="s">
        <v>361</v>
      </c>
      <c r="F10" s="1" t="s">
        <v>362</v>
      </c>
    </row>
    <row r="11" spans="1:6" x14ac:dyDescent="0.3">
      <c r="A11" s="4" t="e">
        <f ca="1">[2]!wset("numberofchangeinshandsz","startdate="&amp;B6,"enddate="&amp;B7,"securityType="&amp;B8,"field=reportDate,riseNumberOfSHAndSZ,noRiseOrFallNumberOfSHAndSZ,fallNumberOfSHAndSZ,limitUpNumOfSHAndSZ,limitDownNumOfSHAndSZ","cols=6;rows=2")</f>
        <v>#NAME?</v>
      </c>
      <c r="B11" s="5">
        <v>1952</v>
      </c>
      <c r="C11" s="5">
        <v>134</v>
      </c>
      <c r="D11" s="5">
        <v>2579</v>
      </c>
      <c r="E11" s="5">
        <v>88</v>
      </c>
      <c r="F11" s="5">
        <v>23</v>
      </c>
    </row>
    <row r="12" spans="1:6" x14ac:dyDescent="0.3">
      <c r="A12" s="4">
        <v>44651</v>
      </c>
      <c r="B12" s="5">
        <v>2060</v>
      </c>
      <c r="C12" s="5">
        <v>139</v>
      </c>
      <c r="D12" s="5">
        <v>2463</v>
      </c>
      <c r="E12" s="5">
        <v>60</v>
      </c>
      <c r="F12" s="5">
        <v>22</v>
      </c>
    </row>
  </sheetData>
  <phoneticPr fontId="9" type="noConversion"/>
  <pageMargins left="0.75" right="0.75" top="1" bottom="1" header="0.3" footer="0.3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涨停数量 </vt:lpstr>
      <vt:lpstr>涨停行业分布</vt:lpstr>
      <vt:lpstr>大盘小盘&amp;成长价值</vt:lpstr>
      <vt:lpstr>连板个股</vt:lpstr>
      <vt:lpstr>指数</vt:lpstr>
      <vt:lpstr>涨跌停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</dc:creator>
  <cp:lastModifiedBy>霜瑜 董</cp:lastModifiedBy>
  <dcterms:created xsi:type="dcterms:W3CDTF">2022-03-24T08:15:00Z</dcterms:created>
  <dcterms:modified xsi:type="dcterms:W3CDTF">2026-05-09T06:22:15Z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f7cc4edb</vt:lpwstr>
  </property>
  <property fmtid="{D5CDD505-2E9C-101B-9397-08002B2CF9AE}" pid="3" name="ICV">
    <vt:lpwstr>BC3A5D44410640BDB3386BE23CF0D130_13</vt:lpwstr>
  </property>
  <property fmtid="{D5CDD505-2E9C-101B-9397-08002B2CF9AE}" pid="4" name="KSOProductBuildVer">
    <vt:lpwstr>2052-12.1.0.16120</vt:lpwstr>
  </property>
</Properties>
</file>